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lut-my.sharepoint.com/personal/mai_elsayed_lut_fi/Documents/LEMPS/EEM25/Paper extension/"/>
    </mc:Choice>
  </mc:AlternateContent>
  <xr:revisionPtr revIDLastSave="52" documentId="8_{923859EB-C037-4D63-8ACC-7349939D4EF0}" xr6:coauthVersionLast="47" xr6:coauthVersionMax="47" xr10:uidLastSave="{B24545A2-6D87-452E-8B14-05C7550365F2}"/>
  <bookViews>
    <workbookView minimized="1" xWindow="3624" yWindow="3624" windowWidth="17280" windowHeight="8832" activeTab="1" xr2:uid="{D5070D19-F27F-45C4-83AD-EC3BF598014C}"/>
  </bookViews>
  <sheets>
    <sheet name="Data" sheetId="1" r:id="rId1"/>
    <sheet name="Gini_2015" sheetId="4" r:id="rId2"/>
    <sheet name="Metadata - Countries" sheetId="2" r:id="rId3"/>
    <sheet name="Metadata - Indicators" sheetId="3" r:id="rId4"/>
  </sheets>
  <externalReferences>
    <externalReference r:id="rId5"/>
  </externalReferences>
  <definedNames>
    <definedName name="_xlnm._FilterDatabase" localSheetId="0" hidden="1">Data!$A$4:$BQ$270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4" l="1"/>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3" i="4"/>
  <c r="C4" i="4"/>
  <c r="C5" i="4"/>
  <c r="C6" i="4"/>
  <c r="C7" i="4"/>
  <c r="C8" i="4"/>
  <c r="C9" i="4"/>
  <c r="C10" i="4"/>
  <c r="C11" i="4"/>
  <c r="C12" i="4"/>
  <c r="C13" i="4"/>
  <c r="BS119" i="1"/>
  <c r="BS164" i="1"/>
  <c r="BH270" i="1" l="1"/>
  <c r="BH268" i="1"/>
  <c r="BH251" i="1"/>
  <c r="BH229" i="1"/>
  <c r="BH173" i="1"/>
  <c r="BH170" i="1"/>
  <c r="BH146" i="1"/>
  <c r="BH48" i="1"/>
  <c r="BH9" i="1"/>
  <c r="C2" i="4" s="1"/>
  <c r="BS182" i="1" l="1"/>
  <c r="BS59" i="1"/>
  <c r="BS181" i="1"/>
  <c r="BS30" i="1"/>
  <c r="BS22" i="1"/>
  <c r="BS227" i="1"/>
  <c r="BS127" i="1"/>
  <c r="BS226" i="1"/>
  <c r="BS63" i="1"/>
  <c r="BS80" i="1"/>
  <c r="BS228" i="1"/>
  <c r="BS253" i="1"/>
  <c r="BS155" i="1"/>
  <c r="BS125" i="1"/>
  <c r="BS6" i="1"/>
</calcChain>
</file>

<file path=xl/sharedStrings.xml><?xml version="1.0" encoding="utf-8"?>
<sst xmlns="http://schemas.openxmlformats.org/spreadsheetml/2006/main" count="2776" uniqueCount="742">
  <si>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</si>
  <si>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</si>
  <si>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</si>
  <si>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</si>
  <si>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</si>
  <si>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</si>
  <si>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</si>
  <si>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</si>
  <si>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</si>
  <si>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</si>
  <si>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</si>
  <si>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</si>
  <si>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</si>
  <si>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</si>
  <si>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</si>
  <si>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</si>
  <si>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</si>
  <si>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</si>
  <si>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</si>
  <si>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</si>
  <si>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</si>
  <si>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</si>
  <si>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</si>
  <si>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</si>
  <si>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</si>
  <si>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</si>
  <si>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</si>
  <si>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</si>
  <si>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</si>
  <si>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</si>
  <si>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</si>
  <si>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</si>
  <si>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</si>
  <si>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</si>
  <si>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</si>
  <si>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</si>
  <si>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</si>
  <si>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</si>
  <si>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</si>
  <si>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</si>
  <si>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</si>
  <si>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</si>
  <si>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</si>
  <si>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</si>
  <si>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</si>
  <si>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</si>
  <si>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</si>
  <si>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</si>
  <si>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</si>
  <si>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</si>
  <si>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</si>
  <si>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</si>
  <si>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</si>
  <si>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</si>
  <si>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</si>
  <si>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</si>
  <si>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</si>
  <si>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</si>
  <si>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</si>
  <si>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</si>
  <si>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</si>
  <si>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</si>
  <si>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</si>
  <si>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</si>
  <si>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</si>
  <si>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</si>
  <si>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</si>
  <si>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</si>
  <si>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</si>
  <si>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</si>
  <si>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</si>
  <si>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</si>
  <si>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</si>
  <si>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</si>
  <si>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</si>
  <si>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</si>
  <si>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</si>
  <si>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</si>
  <si>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</si>
  <si>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</si>
  <si>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</si>
  <si>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</si>
  <si>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</si>
  <si>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</si>
  <si>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</si>
  <si>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</si>
  <si>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</si>
  <si>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</si>
  <si>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</si>
  <si>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</si>
  <si>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</si>
  <si>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</si>
  <si>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</si>
  <si>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</si>
  <si>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</si>
  <si>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</si>
  <si>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</si>
  <si>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</si>
  <si>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</si>
  <si>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</si>
  <si>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</si>
  <si>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</si>
  <si>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</si>
  <si>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</si>
  <si>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</si>
  <si>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</si>
  <si>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</si>
  <si>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</si>
  <si>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</si>
  <si>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</si>
  <si>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</si>
  <si>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</si>
  <si>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</si>
  <si>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</si>
  <si>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</si>
  <si>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</si>
  <si>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</si>
  <si>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</si>
  <si>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</si>
  <si>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</si>
  <si>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</si>
  <si>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</si>
  <si>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</si>
  <si>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</si>
  <si>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</si>
  <si>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</si>
  <si>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</si>
  <si>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</si>
  <si>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</si>
  <si>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</si>
  <si>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</si>
  <si>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</si>
  <si>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</si>
  <si>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</si>
  <si>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</si>
  <si>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</si>
  <si>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</si>
  <si>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</si>
  <si>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</si>
  <si>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</si>
  <si>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</si>
  <si>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</si>
  <si>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</si>
  <si>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</si>
  <si>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</si>
  <si>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</si>
  <si>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</si>
  <si>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</si>
  <si>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</si>
  <si>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</si>
  <si>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</si>
  <si>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</si>
  <si>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</si>
  <si>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</si>
  <si>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</si>
  <si>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</si>
  <si>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</si>
  <si>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</si>
  <si>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</si>
  <si>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</si>
  <si>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</si>
  <si>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</si>
  <si>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</si>
  <si>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</si>
  <si>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</si>
  <si>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</si>
  <si>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</si>
  <si>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</si>
  <si>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</si>
  <si>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</si>
  <si>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</si>
  <si>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</si>
  <si>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</si>
  <si>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</si>
  <si>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</si>
  <si>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</si>
  <si>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</si>
  <si>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</si>
  <si>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</si>
  <si>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</si>
  <si>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</si>
  <si>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</si>
  <si>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</si>
  <si>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</si>
  <si>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</si>
  <si>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</si>
  <si>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</si>
  <si>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</si>
  <si>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</si>
  <si>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</si>
  <si>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</si>
  <si>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</si>
  <si>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</si>
  <si>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</si>
  <si>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</si>
  <si>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</si>
  <si>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</si>
  <si>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</si>
  <si>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</si>
  <si>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</si>
  <si>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</si>
  <si>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</si>
  <si>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</si>
  <si>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</si>
  <si>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</si>
  <si>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</si>
  <si>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</si>
  <si>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</si>
  <si>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</si>
  <si>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</si>
  <si>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</si>
  <si>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</si>
  <si>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</si>
  <si>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</si>
  <si>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</si>
  <si>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</si>
  <si>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</si>
  <si>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</si>
  <si>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</si>
  <si>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</si>
  <si>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</si>
  <si>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</si>
  <si>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</si>
  <si>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</si>
  <si>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SI.POV.GINI</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</si>
  <si>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</si>
  <si>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</si>
  <si>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</si>
  <si>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</si>
  <si>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</si>
  <si>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</si>
  <si>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</si>
  <si>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</si>
  <si>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</si>
  <si>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</si>
  <si>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</si>
  <si>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</si>
  <si>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</si>
  <si>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</si>
  <si>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</si>
  <si>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</si>
  <si>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</si>
  <si>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</si>
  <si>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</si>
  <si>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</si>
  <si>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</si>
  <si>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</si>
  <si>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</si>
  <si>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</si>
  <si>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</si>
  <si>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</si>
  <si>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</si>
  <si>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</si>
  <si>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</si>
  <si>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</si>
  <si>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</si>
  <si>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</si>
  <si>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</si>
  <si>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</si>
  <si>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</si>
  <si>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</si>
  <si>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</si>
  <si>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</si>
  <si>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</si>
  <si>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</si>
  <si>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</si>
  <si>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</si>
  <si>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</si>
  <si>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</si>
  <si>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NRU</t>
  </si>
  <si>
    <t>Rwanda</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</si>
  <si>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</si>
  <si>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</si>
  <si>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</si>
  <si>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</si>
  <si>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</si>
  <si>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</si>
  <si>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</si>
  <si>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</si>
  <si>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</si>
  <si>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</si>
  <si>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</si>
  <si>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</si>
  <si>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</si>
  <si>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</si>
  <si>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</si>
  <si>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</si>
  <si>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</si>
  <si>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</si>
  <si>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</si>
  <si>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</si>
  <si>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</si>
  <si>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</si>
  <si>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</si>
  <si>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</si>
  <si>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</si>
  <si>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</si>
  <si>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</si>
  <si>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</si>
  <si>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</si>
  <si>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</si>
  <si>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</si>
  <si>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</si>
  <si>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</si>
  <si>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</si>
  <si>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</si>
  <si>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</si>
  <si>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</si>
  <si>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</si>
  <si>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</si>
  <si>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</si>
  <si>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</si>
  <si>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</si>
  <si>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</si>
  <si>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</si>
  <si>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</si>
  <si>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</si>
  <si>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</si>
  <si>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</si>
  <si>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</si>
  <si>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</si>
  <si>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</si>
  <si>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</si>
  <si>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</si>
  <si>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</si>
  <si>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</si>
  <si>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</si>
  <si>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</si>
  <si>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</si>
  <si>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</si>
  <si>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</si>
  <si>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</si>
  <si>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</si>
  <si>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</si>
  <si>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</si>
  <si>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</si>
  <si>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</si>
  <si>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</si>
  <si>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</si>
  <si>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</si>
  <si>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</si>
  <si>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</si>
  <si>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</si>
  <si>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</si>
  <si>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</si>
  <si>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</si>
  <si>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</si>
  <si>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</si>
  <si>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</si>
  <si>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</si>
  <si>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</si>
  <si>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</si>
  <si>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</si>
  <si>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</si>
  <si>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</si>
  <si>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</si>
  <si>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</si>
  <si>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</si>
  <si>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</si>
  <si>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</si>
  <si>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</si>
  <si>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</si>
  <si>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</si>
  <si>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</si>
  <si>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</si>
  <si>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</si>
  <si>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</si>
  <si>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</si>
  <si>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</si>
  <si>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</si>
  <si>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</si>
  <si>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</si>
  <si>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</si>
  <si>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</si>
  <si>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</si>
  <si>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</si>
  <si>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</si>
  <si>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</si>
  <si>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</si>
  <si>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</si>
  <si>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</si>
  <si>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</si>
  <si>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</si>
  <si>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</si>
  <si>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</si>
  <si>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</si>
  <si>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</si>
  <si>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</si>
  <si>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</si>
  <si>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</si>
  <si>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</si>
  <si>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</si>
  <si>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</si>
  <si>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</si>
  <si>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</si>
  <si>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</si>
  <si>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</si>
  <si>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</si>
  <si>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</si>
  <si>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</si>
  <si>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</si>
  <si>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</si>
  <si>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</si>
  <si>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</si>
  <si>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</si>
  <si>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</si>
  <si>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</si>
  <si>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</si>
  <si>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</si>
  <si>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</si>
  <si>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</si>
  <si>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</si>
  <si>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</si>
  <si>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</si>
  <si>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</si>
  <si>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</si>
  <si>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</si>
  <si>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</si>
  <si>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</si>
  <si>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</si>
  <si>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</si>
  <si>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</si>
  <si>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</si>
  <si>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</si>
  <si>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</si>
  <si>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</si>
  <si>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</si>
  <si>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</si>
  <si>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</si>
  <si>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</si>
  <si>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</si>
  <si>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</si>
  <si>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</si>
  <si>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</si>
  <si>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</si>
  <si>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</si>
  <si>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</si>
  <si>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</si>
  <si>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</si>
  <si>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</si>
  <si>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</si>
  <si>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</si>
  <si>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</si>
  <si>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</si>
  <si>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</si>
  <si>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</si>
  <si>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</si>
  <si>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</si>
  <si>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</si>
  <si>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</si>
  <si>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</si>
  <si>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</si>
  <si>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</si>
  <si>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</si>
  <si>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</si>
  <si>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</si>
  <si>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</si>
  <si>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</si>
  <si>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</si>
  <si>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</si>
  <si>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</si>
  <si>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</si>
  <si>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</si>
  <si>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</si>
  <si>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</si>
  <si>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</si>
  <si>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</si>
  <si>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</si>
  <si>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</si>
  <si>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</si>
  <si>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</si>
  <si>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</si>
  <si>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</si>
  <si>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</si>
  <si>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</si>
  <si>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</si>
  <si>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</si>
  <si>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</si>
  <si>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</si>
  <si>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</si>
  <si>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</si>
  <si>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</si>
  <si>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</si>
  <si>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</si>
  <si>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</si>
  <si>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</si>
  <si>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</si>
  <si>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</si>
  <si>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</si>
  <si>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</si>
  <si>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</si>
  <si>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</si>
  <si>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</si>
  <si>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</si>
  <si>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</si>
  <si>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</si>
  <si>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</si>
  <si>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</si>
  <si>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</si>
  <si>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</si>
  <si>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</si>
  <si>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</si>
  <si>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</si>
  <si>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</si>
  <si>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</si>
  <si>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</si>
  <si>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</si>
  <si>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</si>
  <si>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</si>
  <si>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</si>
  <si>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</si>
  <si>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</si>
  <si>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</si>
  <si>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</si>
  <si>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</si>
  <si>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</si>
  <si>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</si>
  <si>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</si>
  <si>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</si>
  <si>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</si>
  <si>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</si>
  <si>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</si>
  <si>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</si>
  <si>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</si>
  <si>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</si>
  <si>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</si>
  <si>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</si>
  <si>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</si>
  <si>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</si>
  <si>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</si>
  <si>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</si>
  <si>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</si>
  <si>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</si>
  <si>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</si>
  <si>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</si>
  <si>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</si>
  <si>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</si>
  <si>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</si>
  <si>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</si>
  <si>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</si>
  <si>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</si>
  <si>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</si>
  <si>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</si>
  <si>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</si>
  <si>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</si>
  <si>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</si>
  <si>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</si>
  <si>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</si>
  <si>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</si>
  <si>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</si>
  <si>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</si>
  <si>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</si>
  <si>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</si>
  <si>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</si>
  <si>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</si>
  <si>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</si>
  <si>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</si>
  <si>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</si>
  <si>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</si>
  <si>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</si>
  <si>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</si>
  <si>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</si>
  <si>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</si>
  <si>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</si>
  <si>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</si>
  <si>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</si>
  <si>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</si>
  <si>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</si>
  <si>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</si>
  <si>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</si>
  <si>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</si>
  <si>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</si>
  <si>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</si>
  <si>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</si>
  <si>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</si>
  <si>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</si>
  <si>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</si>
  <si>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</si>
  <si>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</si>
  <si>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</si>
  <si>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</si>
  <si>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</si>
  <si>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</si>
  <si>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</si>
  <si>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</si>
  <si>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</si>
  <si>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</si>
  <si>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</si>
  <si>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</si>
  <si>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</si>
  <si>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</si>
  <si>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</si>
  <si>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</si>
  <si>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</si>
  <si>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</si>
  <si>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</si>
  <si>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</si>
  <si>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</si>
  <si>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</si>
  <si>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</si>
  <si>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</si>
  <si>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</si>
  <si>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</si>
  <si>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</si>
  <si>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</si>
  <si>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</si>
  <si>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</si>
  <si>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</si>
  <si>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</si>
  <si>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</si>
  <si>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</si>
  <si>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</si>
  <si>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</si>
  <si>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</si>
  <si>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</si>
  <si>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</si>
  <si>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</si>
  <si>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</si>
  <si>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</si>
  <si>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</si>
  <si>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</si>
  <si>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</si>
  <si>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</si>
  <si>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</si>
  <si>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</si>
  <si>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</si>
  <si>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</si>
  <si>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</si>
  <si>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</si>
  <si>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Gini index</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</si>
  <si>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</si>
  <si>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</si>
  <si>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</si>
  <si>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</si>
  <si>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</si>
  <si>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</si>
  <si>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</si>
  <si>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</si>
  <si>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</si>
  <si>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</si>
  <si>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</si>
  <si>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</si>
  <si>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</si>
  <si>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</si>
  <si>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</si>
  <si>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</si>
  <si>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</si>
  <si>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</si>
  <si>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</si>
  <si>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</si>
  <si>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</si>
  <si>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</si>
  <si>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</si>
  <si>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</si>
  <si>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</si>
  <si>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</si>
  <si>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</si>
  <si>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</si>
  <si>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</si>
  <si>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</si>
  <si>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</si>
  <si>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</si>
  <si>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</si>
  <si>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</si>
  <si>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</si>
  <si>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</si>
  <si>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</si>
  <si>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</si>
  <si>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</si>
  <si>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</si>
  <si>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</si>
  <si>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</si>
  <si>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</si>
  <si>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</si>
  <si>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</si>
  <si>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</si>
  <si>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</si>
  <si>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</si>
  <si>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</si>
  <si>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</si>
  <si>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</si>
  <si>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</si>
  <si>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</si>
  <si>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</si>
  <si>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</si>
  <si>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</si>
  <si>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</si>
  <si>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</si>
  <si>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</si>
  <si>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</si>
  <si>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</si>
  <si>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</si>
  <si>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</si>
  <si>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</si>
  <si>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</si>
  <si>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</si>
  <si>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</si>
  <si>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</si>
  <si>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</si>
  <si>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</si>
  <si>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</si>
  <si>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</si>
  <si>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</si>
  <si>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</si>
  <si>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</si>
  <si>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</si>
  <si>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</si>
  <si>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</si>
  <si>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</si>
  <si>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</si>
  <si>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</si>
  <si>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</si>
  <si>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</si>
  <si>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</si>
  <si>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</si>
  <si>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</si>
  <si>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</si>
  <si>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</si>
  <si>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</si>
  <si>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</si>
  <si>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</si>
  <si>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</si>
  <si>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</si>
  <si>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</si>
  <si>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</si>
  <si>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</si>
  <si>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</si>
  <si>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</si>
  <si>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</si>
  <si>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</si>
  <si>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</si>
  <si>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</si>
  <si>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</si>
  <si>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</si>
  <si>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</si>
  <si>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</si>
  <si>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</si>
  <si>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</si>
  <si>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</si>
  <si>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</si>
  <si>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</si>
  <si>
    <t>Gini_2015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</si>
</sst>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4" fontId="0" fillId="0" borderId="0" xfId="0" applyNumberFormat="1"/>
    <xf numFmtId="0" fontId="0" fillId="0" borderId="0" xfId="0" applyAlignment="1">
      <alignment wrapText="1"/>
    </xf>
    <xf numFmtId="9" fontId="1" fillId="0" borderId="0" xfId="1" applyFont="1"/>
    <xf numFmtId="164" fontId="1" fillId="0" borderId="0" xfId="1" applyNumberFormat="1" applyFont="1"/>
    <xf numFmtId="0" fontId="0" fillId="2" borderId="0" xfId="0" applyFill="1"/>
    <xf numFmtId="165" fontId="0" fillId="0" borderId="0" xfId="0" applyNumberFormat="1"/>
    <xf numFmtId="3" fontId="0" fillId="0" borderId="0" xfId="0" applyNumberFormat="1"/>
    <xf numFmtId="1" fontId="0" fillId="0" borderId="0" xfId="0" applyNumberFormat="1"/>
  </cellXfs>
  <cellStyles count="2">
    <cellStyle name="Normal" xfId="0" builtinId="0"/>
    <cellStyle name="Percent" xfId="1" builtinId="5"/>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lut-my.sharepoint.com/personal/mai_elsayed_lut_fi/Documents/LEMPS/EEM25/Paper%20extension/socioeconomic_data_ssp_iea_2015.xlsx" TargetMode="External"/><Relationship Id="rId1" Type="http://schemas.openxmlformats.org/officeDocument/2006/relationships/externalLinkPath" Target="socioeconomic_data_ssp_iea_2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Data_Africa"/>
      <sheetName val="POP_base"/>
      <sheetName val="GDP_PPP_base"/>
      <sheetName val="INC_PPP_base"/>
      <sheetName val="Elec_Access_base"/>
    </sheetNames>
    <sheetDataSet>
      <sheetData sheetId="0">
        <row r="11">
          <cell r="F11">
            <v>17917.184765927421</v>
          </cell>
        </row>
        <row r="12">
          <cell r="F12">
            <v>46445.406009637816</v>
          </cell>
        </row>
        <row r="31">
          <cell r="F31">
            <v>33991.850532458302</v>
          </cell>
        </row>
        <row r="32">
          <cell r="F32">
            <v>49213.699094976691</v>
          </cell>
        </row>
        <row r="39">
          <cell r="F39">
            <v>42558.079309552661</v>
          </cell>
        </row>
        <row r="58">
          <cell r="F58">
            <v>24147.473179148707</v>
          </cell>
        </row>
        <row r="62">
          <cell r="F62">
            <v>4881.3143444470206</v>
          </cell>
        </row>
        <row r="70">
          <cell r="F70">
            <v>8781.9201615572019</v>
          </cell>
        </row>
        <row r="77">
          <cell r="F77">
            <v>50121.819352529761</v>
          </cell>
        </row>
        <row r="82">
          <cell r="F82">
            <v>61002.101898832065</v>
          </cell>
        </row>
        <row r="97">
          <cell r="F97">
            <v>30063.702020611865</v>
          </cell>
        </row>
        <row r="98">
          <cell r="F98">
            <v>31435.416446911164</v>
          </cell>
        </row>
        <row r="102">
          <cell r="F102">
            <v>49096.494117944829</v>
          </cell>
        </row>
        <row r="108">
          <cell r="F108">
            <v>10675.694069614774</v>
          </cell>
        </row>
      </sheetData>
      <sheetData sheetId="1"/>
      <sheetData sheetId="2"/>
      <sheetData sheetId="3"/>
      <sheetData sheetId="4">
        <row r="85">
          <cell r="M85">
            <v>49170.1</v>
          </cell>
        </row>
        <row r="116">
          <cell r="M116">
            <v>39466.300000000003</v>
          </cell>
        </row>
      </sheetData>
      <sheetData sheetId="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0CCE7-9E49-40A7-B8BB-6F047D0B9B6B}">
  <dimension ref="A1:BS275"/>
  <sheetViews>
    <sheetView workbookViewId="0">
      <pane xSplit="1" ySplit="4" topLeftCell="AV259" activePane="bottomRight" state="frozen"/>
      <selection pane="topRight" activeCell="B1" sqref="B1"/>
      <selection pane="bottomLeft" activeCell="A5" sqref="A5"/>
      <selection pane="bottomRight" activeCell="BH4" sqref="BH4"/>
    </sheetView>
  </sheetViews>
  <sheetFormatPr defaultRowHeight="14.4" x14ac:dyDescent="0.3"/>
  <cols>
    <col min="1" max="1" width="60.21875" bestFit="1" customWidth="1"/>
    <col min="2" max="2" width="25.6640625" bestFit="1" customWidth="1"/>
    <col min="3" max="3" width="13.33203125" bestFit="1" customWidth="1"/>
    <col min="4" max="4" width="12.77734375" bestFit="1" customWidth="1"/>
    <col min="5" max="47" width="5" bestFit="1" customWidth="1"/>
    <col min="48" max="48" width="5.5546875" bestFit="1" customWidth="1"/>
    <col min="49" max="53" width="5" bestFit="1" customWidth="1"/>
    <col min="54" max="54" width="5.5546875" bestFit="1" customWidth="1"/>
    <col min="55" max="59" width="5" bestFit="1" customWidth="1"/>
    <col min="60" max="60" width="5.5546875" bestFit="1" customWidth="1"/>
    <col min="61" max="69" width="5" bestFit="1" customWidth="1"/>
  </cols>
  <sheetData>
    <row r="1" spans="1:71" x14ac:dyDescent="0.3">
      <c r="A1" t="s">
        <v>640</v>
      </c>
      <c r="B1" t="s">
        <v>412</v>
      </c>
    </row>
    <row r="2" spans="1:71" x14ac:dyDescent="0.3">
      <c r="A2" t="s">
        <v>65</v>
      </c>
      <c r="B2" s="1">
        <v>45937</v>
      </c>
    </row>
    <row r="4" spans="1:71" x14ac:dyDescent="0.3">
      <c r="A4" t="s">
        <v>718</v>
      </c>
      <c r="B4" t="s">
        <v>486</v>
      </c>
      <c r="C4" t="s">
        <v>229</v>
      </c>
      <c r="D4" t="s">
        <v>726</v>
      </c>
      <c r="E4" t="s">
        <v>656</v>
      </c>
      <c r="F4" t="s">
        <v>135</v>
      </c>
      <c r="G4" t="s">
        <v>192</v>
      </c>
      <c r="H4" t="s">
        <v>258</v>
      </c>
      <c r="I4" t="s">
        <v>321</v>
      </c>
      <c r="J4" t="s">
        <v>547</v>
      </c>
      <c r="K4" t="s">
        <v>601</v>
      </c>
      <c r="L4" t="s">
        <v>659</v>
      </c>
      <c r="M4" t="s">
        <v>710</v>
      </c>
      <c r="N4" t="s">
        <v>194</v>
      </c>
      <c r="O4" t="s">
        <v>725</v>
      </c>
      <c r="P4" t="s">
        <v>37</v>
      </c>
      <c r="Q4" t="s">
        <v>279</v>
      </c>
      <c r="R4" t="s">
        <v>335</v>
      </c>
      <c r="S4" t="s">
        <v>390</v>
      </c>
      <c r="T4" t="s">
        <v>446</v>
      </c>
      <c r="U4" t="s">
        <v>676</v>
      </c>
      <c r="V4" t="s">
        <v>731</v>
      </c>
      <c r="W4" t="s">
        <v>44</v>
      </c>
      <c r="X4" t="s">
        <v>115</v>
      </c>
      <c r="Y4" t="s">
        <v>61</v>
      </c>
      <c r="Z4" t="s">
        <v>132</v>
      </c>
      <c r="AA4" t="s">
        <v>185</v>
      </c>
      <c r="AB4" t="s">
        <v>402</v>
      </c>
      <c r="AC4" t="s">
        <v>463</v>
      </c>
      <c r="AD4" t="s">
        <v>543</v>
      </c>
      <c r="AE4" t="s">
        <v>597</v>
      </c>
      <c r="AF4" t="s">
        <v>66</v>
      </c>
      <c r="AG4" t="s">
        <v>136</v>
      </c>
      <c r="AH4" t="s">
        <v>193</v>
      </c>
      <c r="AI4" t="s">
        <v>147</v>
      </c>
      <c r="AJ4" t="s">
        <v>202</v>
      </c>
      <c r="AK4" t="s">
        <v>273</v>
      </c>
      <c r="AL4" t="s">
        <v>332</v>
      </c>
      <c r="AM4" t="s">
        <v>557</v>
      </c>
      <c r="AN4" t="s">
        <v>609</v>
      </c>
      <c r="AO4" t="s">
        <v>674</v>
      </c>
      <c r="AP4" t="s">
        <v>727</v>
      </c>
      <c r="AQ4" t="s">
        <v>209</v>
      </c>
      <c r="AR4" t="s">
        <v>280</v>
      </c>
      <c r="AS4" t="s">
        <v>578</v>
      </c>
      <c r="AT4" t="s">
        <v>631</v>
      </c>
      <c r="AU4" t="s">
        <v>106</v>
      </c>
      <c r="AV4" t="s">
        <v>172</v>
      </c>
      <c r="AW4" t="s">
        <v>234</v>
      </c>
      <c r="AX4" t="s">
        <v>306</v>
      </c>
      <c r="AY4" t="s">
        <v>522</v>
      </c>
      <c r="AZ4" t="s">
        <v>583</v>
      </c>
      <c r="BA4" t="s">
        <v>637</v>
      </c>
      <c r="BB4" t="s">
        <v>109</v>
      </c>
      <c r="BC4" t="s">
        <v>645</v>
      </c>
      <c r="BD4" t="s">
        <v>699</v>
      </c>
      <c r="BE4" t="s">
        <v>18</v>
      </c>
      <c r="BF4" t="s">
        <v>249</v>
      </c>
      <c r="BG4" t="s">
        <v>317</v>
      </c>
      <c r="BH4" t="s">
        <v>369</v>
      </c>
      <c r="BI4" t="s">
        <v>427</v>
      </c>
      <c r="BJ4" t="s">
        <v>650</v>
      </c>
      <c r="BK4" t="s">
        <v>703</v>
      </c>
      <c r="BL4" t="s">
        <v>22</v>
      </c>
      <c r="BM4" t="s">
        <v>717</v>
      </c>
      <c r="BN4" t="s">
        <v>33</v>
      </c>
      <c r="BO4" t="s">
        <v>102</v>
      </c>
      <c r="BP4" t="s">
        <v>170</v>
      </c>
      <c r="BQ4" t="s">
        <v>383</v>
      </c>
    </row>
    <row r="5" spans="1:71" x14ac:dyDescent="0.3">
      <c r="A5" t="s">
        <v>528</v>
      </c>
      <c r="B5" t="s">
        <v>12</v>
      </c>
      <c r="C5" t="s">
        <v>629</v>
      </c>
      <c r="D5" t="s">
        <v>224</v>
      </c>
    </row>
    <row r="6" spans="1:71" x14ac:dyDescent="0.3">
      <c r="A6" t="s">
        <v>541</v>
      </c>
      <c r="B6" t="s">
        <v>510</v>
      </c>
      <c r="C6" t="s">
        <v>629</v>
      </c>
      <c r="D6" t="s">
        <v>224</v>
      </c>
      <c r="BS6">
        <f>MIN(E5:BQ270)</f>
        <v>20.2</v>
      </c>
    </row>
    <row r="7" spans="1:71" x14ac:dyDescent="0.3">
      <c r="A7" t="s">
        <v>334</v>
      </c>
      <c r="B7" t="s">
        <v>627</v>
      </c>
      <c r="C7" t="s">
        <v>629</v>
      </c>
      <c r="D7" t="s">
        <v>224</v>
      </c>
    </row>
    <row r="8" spans="1:71" x14ac:dyDescent="0.3">
      <c r="A8" t="s">
        <v>704</v>
      </c>
      <c r="B8" t="s">
        <v>176</v>
      </c>
      <c r="C8" t="s">
        <v>629</v>
      </c>
      <c r="D8" t="s">
        <v>224</v>
      </c>
    </row>
    <row r="9" spans="1:71" x14ac:dyDescent="0.3">
      <c r="A9" t="s">
        <v>324</v>
      </c>
      <c r="B9" t="s">
        <v>17</v>
      </c>
      <c r="C9" t="s">
        <v>629</v>
      </c>
      <c r="D9" t="s">
        <v>224</v>
      </c>
      <c r="AS9">
        <v>51.9</v>
      </c>
      <c r="BA9">
        <v>42.7</v>
      </c>
      <c r="BH9" s="5">
        <f>BA9+((BK9-BA9)/(BK4-BA4))*(BH4-BA4)</f>
        <v>48.72</v>
      </c>
      <c r="BK9">
        <v>51.3</v>
      </c>
    </row>
    <row r="10" spans="1:71" x14ac:dyDescent="0.3">
      <c r="A10" t="s">
        <v>205</v>
      </c>
      <c r="B10" t="s">
        <v>461</v>
      </c>
      <c r="C10" t="s">
        <v>629</v>
      </c>
      <c r="D10" t="s">
        <v>224</v>
      </c>
      <c r="AO10">
        <v>27</v>
      </c>
      <c r="AU10">
        <v>31.7</v>
      </c>
      <c r="AX10">
        <v>30.6</v>
      </c>
      <c r="BA10">
        <v>30</v>
      </c>
      <c r="BE10">
        <v>29</v>
      </c>
      <c r="BG10">
        <v>34.6</v>
      </c>
      <c r="BH10">
        <v>32.799999999999997</v>
      </c>
      <c r="BI10">
        <v>33.700000000000003</v>
      </c>
      <c r="BJ10">
        <v>33.1</v>
      </c>
      <c r="BK10">
        <v>30.1</v>
      </c>
      <c r="BL10">
        <v>30.1</v>
      </c>
      <c r="BM10">
        <v>29.4</v>
      </c>
    </row>
    <row r="11" spans="1:71" x14ac:dyDescent="0.3">
      <c r="A11" t="s">
        <v>349</v>
      </c>
      <c r="B11" t="s">
        <v>736</v>
      </c>
      <c r="C11" t="s">
        <v>629</v>
      </c>
      <c r="D11" t="s">
        <v>224</v>
      </c>
    </row>
    <row r="12" spans="1:71" x14ac:dyDescent="0.3">
      <c r="A12" t="s">
        <v>114</v>
      </c>
      <c r="B12" t="s">
        <v>617</v>
      </c>
      <c r="C12" t="s">
        <v>629</v>
      </c>
      <c r="D12" t="s">
        <v>224</v>
      </c>
    </row>
    <row r="13" spans="1:71" x14ac:dyDescent="0.3">
      <c r="A13" t="s">
        <v>45</v>
      </c>
      <c r="B13" t="s">
        <v>215</v>
      </c>
      <c r="C13" t="s">
        <v>629</v>
      </c>
      <c r="D13" t="s">
        <v>224</v>
      </c>
      <c r="BF13">
        <v>32.5</v>
      </c>
      <c r="BK13">
        <v>26.4</v>
      </c>
    </row>
    <row r="14" spans="1:71" x14ac:dyDescent="0.3">
      <c r="A14" t="s">
        <v>316</v>
      </c>
      <c r="B14" t="s">
        <v>499</v>
      </c>
      <c r="C14" t="s">
        <v>629</v>
      </c>
      <c r="D14" t="s">
        <v>224</v>
      </c>
      <c r="Y14">
        <v>40.799999999999997</v>
      </c>
      <c r="AE14">
        <v>42.8</v>
      </c>
      <c r="AF14">
        <v>45.3</v>
      </c>
      <c r="AJ14">
        <v>46.8</v>
      </c>
      <c r="AK14">
        <v>45.5</v>
      </c>
      <c r="AL14">
        <v>44.8</v>
      </c>
      <c r="AM14">
        <v>45.9</v>
      </c>
      <c r="AN14">
        <v>48.9</v>
      </c>
      <c r="AO14">
        <v>49.5</v>
      </c>
      <c r="AP14">
        <v>49.1</v>
      </c>
      <c r="AQ14">
        <v>50.7</v>
      </c>
      <c r="AR14">
        <v>49.8</v>
      </c>
      <c r="AS14">
        <v>51</v>
      </c>
      <c r="AT14">
        <v>53.3</v>
      </c>
      <c r="AU14">
        <v>53.8</v>
      </c>
      <c r="AV14">
        <v>51</v>
      </c>
      <c r="AW14">
        <v>48.5</v>
      </c>
      <c r="AX14">
        <v>47.8</v>
      </c>
      <c r="AY14">
        <v>46.4</v>
      </c>
      <c r="AZ14">
        <v>46.3</v>
      </c>
      <c r="BA14">
        <v>45</v>
      </c>
      <c r="BB14">
        <v>43.8</v>
      </c>
      <c r="BC14">
        <v>43.7</v>
      </c>
      <c r="BD14">
        <v>42.7</v>
      </c>
      <c r="BE14">
        <v>41.4</v>
      </c>
      <c r="BF14">
        <v>41.1</v>
      </c>
      <c r="BG14">
        <v>41.8</v>
      </c>
      <c r="BI14">
        <v>42.3</v>
      </c>
      <c r="BJ14">
        <v>41.4</v>
      </c>
      <c r="BK14">
        <v>41.7</v>
      </c>
      <c r="BL14">
        <v>43.3</v>
      </c>
      <c r="BM14">
        <v>42.7</v>
      </c>
      <c r="BN14">
        <v>42.4</v>
      </c>
      <c r="BO14">
        <v>40.700000000000003</v>
      </c>
      <c r="BP14">
        <v>42.4</v>
      </c>
      <c r="BQ14">
        <v>42.4</v>
      </c>
    </row>
    <row r="15" spans="1:71" x14ac:dyDescent="0.3">
      <c r="A15" t="s">
        <v>88</v>
      </c>
      <c r="B15" t="s">
        <v>291</v>
      </c>
      <c r="C15" t="s">
        <v>629</v>
      </c>
      <c r="D15" t="s">
        <v>224</v>
      </c>
      <c r="AO15">
        <v>44.4</v>
      </c>
      <c r="AR15">
        <v>36.200000000000003</v>
      </c>
      <c r="AT15">
        <v>35.4</v>
      </c>
      <c r="AU15">
        <v>34.799999999999997</v>
      </c>
      <c r="AV15">
        <v>33</v>
      </c>
      <c r="AW15">
        <v>37.5</v>
      </c>
      <c r="AX15">
        <v>36</v>
      </c>
      <c r="AY15">
        <v>29.7</v>
      </c>
      <c r="AZ15">
        <v>31.2</v>
      </c>
      <c r="BA15">
        <v>29.2</v>
      </c>
      <c r="BB15">
        <v>28</v>
      </c>
      <c r="BC15">
        <v>30</v>
      </c>
      <c r="BD15">
        <v>29.4</v>
      </c>
      <c r="BE15">
        <v>29.6</v>
      </c>
      <c r="BF15">
        <v>30.6</v>
      </c>
      <c r="BG15">
        <v>31.5</v>
      </c>
      <c r="BH15">
        <v>32.4</v>
      </c>
      <c r="BI15">
        <v>32.5</v>
      </c>
      <c r="BJ15">
        <v>33.6</v>
      </c>
      <c r="BK15">
        <v>34.4</v>
      </c>
      <c r="BL15">
        <v>30</v>
      </c>
      <c r="BM15">
        <v>25.1</v>
      </c>
      <c r="BN15">
        <v>27.9</v>
      </c>
      <c r="BO15">
        <v>27.9</v>
      </c>
      <c r="BP15">
        <v>27.2</v>
      </c>
    </row>
    <row r="16" spans="1:71" x14ac:dyDescent="0.3">
      <c r="A16" t="s">
        <v>111</v>
      </c>
      <c r="B16" t="s">
        <v>358</v>
      </c>
      <c r="C16" t="s">
        <v>629</v>
      </c>
      <c r="D16" t="s">
        <v>224</v>
      </c>
    </row>
    <row r="17" spans="1:71" x14ac:dyDescent="0.3">
      <c r="A17" t="s">
        <v>416</v>
      </c>
      <c r="B17" t="s">
        <v>498</v>
      </c>
      <c r="C17" t="s">
        <v>629</v>
      </c>
      <c r="D17" t="s">
        <v>224</v>
      </c>
    </row>
    <row r="18" spans="1:71" x14ac:dyDescent="0.3">
      <c r="A18" t="s">
        <v>438</v>
      </c>
      <c r="B18" t="s">
        <v>307</v>
      </c>
      <c r="C18" t="s">
        <v>629</v>
      </c>
      <c r="D18" t="s">
        <v>224</v>
      </c>
      <c r="Z18">
        <v>31.3</v>
      </c>
      <c r="AD18">
        <v>32.5</v>
      </c>
      <c r="AH18">
        <v>33.200000000000003</v>
      </c>
      <c r="AN18">
        <v>32.6</v>
      </c>
      <c r="AT18">
        <v>33.5</v>
      </c>
      <c r="AV18">
        <v>33.5</v>
      </c>
      <c r="AW18">
        <v>33.1</v>
      </c>
      <c r="BA18">
        <v>35.4</v>
      </c>
      <c r="BC18">
        <v>34.700000000000003</v>
      </c>
      <c r="BG18">
        <v>34.4</v>
      </c>
      <c r="BI18">
        <v>33.700000000000003</v>
      </c>
      <c r="BK18">
        <v>34.299999999999997</v>
      </c>
      <c r="BM18">
        <v>33.799999999999997</v>
      </c>
    </row>
    <row r="19" spans="1:71" x14ac:dyDescent="0.3">
      <c r="A19" t="s">
        <v>62</v>
      </c>
      <c r="B19" t="s">
        <v>359</v>
      </c>
      <c r="C19" t="s">
        <v>629</v>
      </c>
      <c r="D19" t="s">
        <v>224</v>
      </c>
      <c r="AM19">
        <v>30.8</v>
      </c>
      <c r="AN19">
        <v>29.9</v>
      </c>
      <c r="AO19">
        <v>29.3</v>
      </c>
      <c r="AP19">
        <v>29.1</v>
      </c>
      <c r="AQ19">
        <v>31.3</v>
      </c>
      <c r="AR19">
        <v>29.7</v>
      </c>
      <c r="AS19">
        <v>29</v>
      </c>
      <c r="AV19">
        <v>29.5</v>
      </c>
      <c r="AW19">
        <v>29.8</v>
      </c>
      <c r="AX19">
        <v>28.7</v>
      </c>
      <c r="AY19">
        <v>29.6</v>
      </c>
      <c r="AZ19">
        <v>30.6</v>
      </c>
      <c r="BA19">
        <v>30.4</v>
      </c>
      <c r="BB19">
        <v>31.5</v>
      </c>
      <c r="BC19">
        <v>30.3</v>
      </c>
      <c r="BD19">
        <v>30.8</v>
      </c>
      <c r="BE19">
        <v>30.5</v>
      </c>
      <c r="BF19">
        <v>30.8</v>
      </c>
      <c r="BG19">
        <v>30.5</v>
      </c>
      <c r="BH19">
        <v>30.5</v>
      </c>
      <c r="BI19">
        <v>30.8</v>
      </c>
      <c r="BJ19">
        <v>29.7</v>
      </c>
      <c r="BK19">
        <v>30.8</v>
      </c>
      <c r="BL19">
        <v>30.2</v>
      </c>
      <c r="BM19">
        <v>29.8</v>
      </c>
      <c r="BN19">
        <v>30.7</v>
      </c>
      <c r="BO19">
        <v>30.9</v>
      </c>
      <c r="BP19">
        <v>31.2</v>
      </c>
    </row>
    <row r="20" spans="1:71" x14ac:dyDescent="0.3">
      <c r="A20" t="s">
        <v>536</v>
      </c>
      <c r="B20" t="s">
        <v>527</v>
      </c>
      <c r="C20" t="s">
        <v>629</v>
      </c>
      <c r="D20" t="s">
        <v>224</v>
      </c>
      <c r="AN20">
        <v>34.6</v>
      </c>
      <c r="AT20">
        <v>36.5</v>
      </c>
      <c r="AU20">
        <v>25.3</v>
      </c>
      <c r="AV20">
        <v>26.8</v>
      </c>
      <c r="AW20">
        <v>26.6</v>
      </c>
      <c r="AX20">
        <v>26.6</v>
      </c>
    </row>
    <row r="21" spans="1:71" x14ac:dyDescent="0.3">
      <c r="A21" t="s">
        <v>476</v>
      </c>
      <c r="B21" t="s">
        <v>549</v>
      </c>
      <c r="C21" t="s">
        <v>629</v>
      </c>
      <c r="D21" t="s">
        <v>224</v>
      </c>
      <c r="AK21">
        <v>33.299999999999997</v>
      </c>
      <c r="AQ21">
        <v>42.1</v>
      </c>
      <c r="AY21">
        <v>33.4</v>
      </c>
      <c r="BF21">
        <v>38.6</v>
      </c>
      <c r="BM21">
        <v>37.5</v>
      </c>
    </row>
    <row r="22" spans="1:71" x14ac:dyDescent="0.3">
      <c r="A22" t="s">
        <v>641</v>
      </c>
      <c r="B22" t="s">
        <v>47</v>
      </c>
      <c r="C22" t="s">
        <v>629</v>
      </c>
      <c r="D22" t="s">
        <v>224</v>
      </c>
      <c r="AD22">
        <v>25.2</v>
      </c>
      <c r="AG22">
        <v>25.7</v>
      </c>
      <c r="AK22">
        <v>24.9</v>
      </c>
      <c r="AN22">
        <v>28.4</v>
      </c>
      <c r="AP22">
        <v>26.8</v>
      </c>
      <c r="AS22">
        <v>33.1</v>
      </c>
      <c r="AV22">
        <v>28.1</v>
      </c>
      <c r="AW22">
        <v>30.5</v>
      </c>
      <c r="AX22">
        <v>29.3</v>
      </c>
      <c r="AY22">
        <v>28.1</v>
      </c>
      <c r="AZ22">
        <v>29.2</v>
      </c>
      <c r="BA22">
        <v>28.4</v>
      </c>
      <c r="BB22">
        <v>28.6</v>
      </c>
      <c r="BC22">
        <v>28.4</v>
      </c>
      <c r="BD22">
        <v>28.1</v>
      </c>
      <c r="BE22">
        <v>27.5</v>
      </c>
      <c r="BF22">
        <v>27.7</v>
      </c>
      <c r="BG22">
        <v>28.1</v>
      </c>
      <c r="BH22">
        <v>27.7</v>
      </c>
      <c r="BI22">
        <v>27.6</v>
      </c>
      <c r="BJ22">
        <v>27.4</v>
      </c>
      <c r="BK22">
        <v>27.2</v>
      </c>
      <c r="BL22">
        <v>27.2</v>
      </c>
      <c r="BM22">
        <v>26</v>
      </c>
      <c r="BN22">
        <v>26.6</v>
      </c>
      <c r="BO22">
        <v>26.4</v>
      </c>
      <c r="BP22">
        <v>26.8</v>
      </c>
      <c r="BS22" s="7">
        <f>[1]Data!$F$12</f>
        <v>46445.406009637816</v>
      </c>
    </row>
    <row r="23" spans="1:71" x14ac:dyDescent="0.3">
      <c r="A23" t="s">
        <v>628</v>
      </c>
      <c r="B23" t="s">
        <v>341</v>
      </c>
      <c r="C23" t="s">
        <v>629</v>
      </c>
      <c r="D23" t="s">
        <v>224</v>
      </c>
      <c r="AV23">
        <v>38.6</v>
      </c>
      <c r="BD23">
        <v>43.4</v>
      </c>
      <c r="BH23">
        <v>47.6</v>
      </c>
      <c r="BK23">
        <v>37.9</v>
      </c>
      <c r="BN23">
        <v>34.4</v>
      </c>
    </row>
    <row r="24" spans="1:71" x14ac:dyDescent="0.3">
      <c r="A24" t="s">
        <v>119</v>
      </c>
      <c r="B24" t="s">
        <v>462</v>
      </c>
      <c r="C24" t="s">
        <v>629</v>
      </c>
      <c r="D24" t="s">
        <v>224</v>
      </c>
      <c r="AM24">
        <v>48</v>
      </c>
      <c r="AQ24">
        <v>49.9</v>
      </c>
      <c r="AV24">
        <v>43.3</v>
      </c>
      <c r="BB24">
        <v>39.799999999999997</v>
      </c>
      <c r="BG24">
        <v>35.299999999999997</v>
      </c>
      <c r="BK24">
        <v>43</v>
      </c>
      <c r="BN24">
        <v>37.4</v>
      </c>
    </row>
    <row r="25" spans="1:71" x14ac:dyDescent="0.3">
      <c r="A25" t="s">
        <v>38</v>
      </c>
      <c r="B25" t="s">
        <v>151</v>
      </c>
      <c r="C25" t="s">
        <v>629</v>
      </c>
      <c r="D25" t="s">
        <v>224</v>
      </c>
      <c r="AB25">
        <v>25.9</v>
      </c>
      <c r="AD25">
        <v>26.9</v>
      </c>
      <c r="AG25">
        <v>28.8</v>
      </c>
      <c r="AJ25">
        <v>27.6</v>
      </c>
      <c r="AN25">
        <v>32.9</v>
      </c>
      <c r="AS25">
        <v>33.4</v>
      </c>
      <c r="AX25">
        <v>33.200000000000003</v>
      </c>
      <c r="BC25">
        <v>32.1</v>
      </c>
      <c r="BI25">
        <v>32.4</v>
      </c>
      <c r="BO25">
        <v>30.9</v>
      </c>
    </row>
    <row r="26" spans="1:71" x14ac:dyDescent="0.3">
      <c r="A26" t="s">
        <v>607</v>
      </c>
      <c r="B26" t="s">
        <v>153</v>
      </c>
      <c r="C26" t="s">
        <v>629</v>
      </c>
      <c r="D26" t="s">
        <v>224</v>
      </c>
      <c r="AH26">
        <v>23.4</v>
      </c>
      <c r="AK26">
        <v>30.7</v>
      </c>
      <c r="AM26">
        <v>24.3</v>
      </c>
      <c r="AN26">
        <v>32.799999999999997</v>
      </c>
      <c r="AP26">
        <v>26.4</v>
      </c>
      <c r="AT26">
        <v>32.700000000000003</v>
      </c>
      <c r="AV26">
        <v>28.9</v>
      </c>
      <c r="AY26">
        <v>35.700000000000003</v>
      </c>
      <c r="AZ26">
        <v>36.1</v>
      </c>
      <c r="BA26">
        <v>33.6</v>
      </c>
      <c r="BB26">
        <v>33.799999999999997</v>
      </c>
      <c r="BC26">
        <v>35.700000000000003</v>
      </c>
      <c r="BD26">
        <v>34.299999999999997</v>
      </c>
      <c r="BE26">
        <v>36</v>
      </c>
      <c r="BF26">
        <v>36.6</v>
      </c>
      <c r="BG26">
        <v>37.4</v>
      </c>
      <c r="BH26">
        <v>38.6</v>
      </c>
      <c r="BI26">
        <v>40.6</v>
      </c>
      <c r="BJ26">
        <v>40.4</v>
      </c>
      <c r="BK26">
        <v>41.3</v>
      </c>
      <c r="BL26">
        <v>40.299999999999997</v>
      </c>
      <c r="BM26">
        <v>40.5</v>
      </c>
      <c r="BN26">
        <v>39</v>
      </c>
      <c r="BO26">
        <v>38.200000000000003</v>
      </c>
      <c r="BP26">
        <v>39.5</v>
      </c>
    </row>
    <row r="27" spans="1:71" x14ac:dyDescent="0.3">
      <c r="A27" t="s">
        <v>370</v>
      </c>
      <c r="B27" t="s">
        <v>70</v>
      </c>
      <c r="C27" t="s">
        <v>629</v>
      </c>
      <c r="D27" t="s">
        <v>224</v>
      </c>
    </row>
    <row r="28" spans="1:71" x14ac:dyDescent="0.3">
      <c r="A28" t="s">
        <v>168</v>
      </c>
      <c r="B28" t="s">
        <v>300</v>
      </c>
      <c r="C28" t="s">
        <v>629</v>
      </c>
      <c r="D28" t="s">
        <v>224</v>
      </c>
    </row>
    <row r="29" spans="1:71" x14ac:dyDescent="0.3">
      <c r="A29" t="s">
        <v>397</v>
      </c>
      <c r="B29" t="s">
        <v>555</v>
      </c>
      <c r="C29" t="s">
        <v>629</v>
      </c>
      <c r="D29" t="s">
        <v>224</v>
      </c>
      <c r="AT29">
        <v>30</v>
      </c>
      <c r="AW29">
        <v>34</v>
      </c>
      <c r="AZ29">
        <v>33.1</v>
      </c>
      <c r="BD29">
        <v>33</v>
      </c>
    </row>
    <row r="30" spans="1:71" x14ac:dyDescent="0.3">
      <c r="A30" t="s">
        <v>589</v>
      </c>
      <c r="B30" t="s">
        <v>223</v>
      </c>
      <c r="C30" t="s">
        <v>629</v>
      </c>
      <c r="D30" t="s">
        <v>224</v>
      </c>
      <c r="AL30">
        <v>21.6</v>
      </c>
      <c r="AN30">
        <v>28.7</v>
      </c>
      <c r="AQ30">
        <v>32</v>
      </c>
      <c r="AR30">
        <v>31.7</v>
      </c>
      <c r="AS30">
        <v>31.2</v>
      </c>
      <c r="AT30">
        <v>30.6</v>
      </c>
      <c r="AU30">
        <v>30.3</v>
      </c>
      <c r="AV30">
        <v>28.8</v>
      </c>
      <c r="AW30">
        <v>26.5</v>
      </c>
      <c r="AX30">
        <v>27.6</v>
      </c>
      <c r="AY30">
        <v>28.3</v>
      </c>
      <c r="AZ30">
        <v>29.6</v>
      </c>
      <c r="BA30">
        <v>27.8</v>
      </c>
      <c r="BB30">
        <v>27.7</v>
      </c>
      <c r="BC30">
        <v>28.6</v>
      </c>
      <c r="BD30">
        <v>27.2</v>
      </c>
      <c r="BE30">
        <v>26.5</v>
      </c>
      <c r="BF30">
        <v>26.6</v>
      </c>
      <c r="BG30">
        <v>27.2</v>
      </c>
      <c r="BH30">
        <v>25.6</v>
      </c>
      <c r="BI30">
        <v>25.3</v>
      </c>
      <c r="BJ30">
        <v>25.4</v>
      </c>
      <c r="BK30">
        <v>25.2</v>
      </c>
      <c r="BL30">
        <v>25.3</v>
      </c>
      <c r="BM30">
        <v>24.4</v>
      </c>
      <c r="BS30" s="7">
        <f>[1]Data!$F$11</f>
        <v>17917.184765927421</v>
      </c>
    </row>
    <row r="31" spans="1:71" x14ac:dyDescent="0.3">
      <c r="A31" t="s">
        <v>320</v>
      </c>
      <c r="B31" t="s">
        <v>297</v>
      </c>
      <c r="C31" t="s">
        <v>629</v>
      </c>
      <c r="D31" t="s">
        <v>224</v>
      </c>
      <c r="AL31">
        <v>60.2</v>
      </c>
      <c r="AM31">
        <v>60.9</v>
      </c>
      <c r="AN31">
        <v>57.5</v>
      </c>
      <c r="AO31">
        <v>56.6</v>
      </c>
      <c r="AP31">
        <v>60.4</v>
      </c>
      <c r="AQ31">
        <v>54.9</v>
      </c>
      <c r="AR31">
        <v>53.2</v>
      </c>
      <c r="BK31">
        <v>39.9</v>
      </c>
    </row>
    <row r="32" spans="1:71" x14ac:dyDescent="0.3">
      <c r="A32" t="s">
        <v>378</v>
      </c>
      <c r="B32" t="s">
        <v>638</v>
      </c>
      <c r="C32" t="s">
        <v>629</v>
      </c>
      <c r="D32" t="s">
        <v>224</v>
      </c>
    </row>
    <row r="33" spans="1:68" x14ac:dyDescent="0.3">
      <c r="A33" t="s">
        <v>55</v>
      </c>
      <c r="B33" t="s">
        <v>517</v>
      </c>
      <c r="C33" t="s">
        <v>629</v>
      </c>
      <c r="D33" t="s">
        <v>224</v>
      </c>
      <c r="AI33">
        <v>42</v>
      </c>
      <c r="AK33">
        <v>49.1</v>
      </c>
      <c r="AP33">
        <v>58.1</v>
      </c>
      <c r="AR33">
        <v>58</v>
      </c>
      <c r="AS33">
        <v>61.6</v>
      </c>
      <c r="AT33">
        <v>57.4</v>
      </c>
      <c r="AU33">
        <v>59.3</v>
      </c>
      <c r="AW33">
        <v>55</v>
      </c>
      <c r="AX33">
        <v>58.5</v>
      </c>
      <c r="AY33">
        <v>56.7</v>
      </c>
      <c r="AZ33">
        <v>54.5</v>
      </c>
      <c r="BA33">
        <v>50.8</v>
      </c>
      <c r="BB33">
        <v>49.2</v>
      </c>
      <c r="BD33">
        <v>46.1</v>
      </c>
      <c r="BE33">
        <v>46.6</v>
      </c>
      <c r="BF33">
        <v>47.6</v>
      </c>
      <c r="BG33">
        <v>47.8</v>
      </c>
      <c r="BH33">
        <v>46.7</v>
      </c>
      <c r="BI33">
        <v>45.2</v>
      </c>
      <c r="BJ33">
        <v>44.6</v>
      </c>
      <c r="BK33">
        <v>42.6</v>
      </c>
      <c r="BL33">
        <v>41.6</v>
      </c>
      <c r="BM33">
        <v>43.6</v>
      </c>
      <c r="BN33">
        <v>40.9</v>
      </c>
      <c r="BO33">
        <v>41.2</v>
      </c>
      <c r="BP33">
        <v>42.1</v>
      </c>
    </row>
    <row r="34" spans="1:68" x14ac:dyDescent="0.3">
      <c r="A34" t="s">
        <v>592</v>
      </c>
      <c r="B34" t="s">
        <v>339</v>
      </c>
      <c r="C34" t="s">
        <v>629</v>
      </c>
      <c r="D34" t="s">
        <v>224</v>
      </c>
      <c r="Z34">
        <v>57.9</v>
      </c>
      <c r="AA34">
        <v>58.4</v>
      </c>
      <c r="AB34">
        <v>58.9</v>
      </c>
      <c r="AC34">
        <v>58.3</v>
      </c>
      <c r="AD34">
        <v>55.5</v>
      </c>
      <c r="AE34">
        <v>58.4</v>
      </c>
      <c r="AF34">
        <v>59.6</v>
      </c>
      <c r="AG34">
        <v>61.4</v>
      </c>
      <c r="AH34">
        <v>63.2</v>
      </c>
      <c r="AI34">
        <v>60.5</v>
      </c>
      <c r="AK34">
        <v>53.1</v>
      </c>
      <c r="AL34">
        <v>60.1</v>
      </c>
      <c r="AN34">
        <v>59.5</v>
      </c>
      <c r="AO34">
        <v>59.8</v>
      </c>
      <c r="AP34">
        <v>59.8</v>
      </c>
      <c r="AQ34">
        <v>59.6</v>
      </c>
      <c r="AR34">
        <v>59</v>
      </c>
      <c r="AT34">
        <v>58.4</v>
      </c>
      <c r="AU34">
        <v>58.1</v>
      </c>
      <c r="AV34">
        <v>57.6</v>
      </c>
      <c r="AW34">
        <v>56.5</v>
      </c>
      <c r="AX34">
        <v>56.3</v>
      </c>
      <c r="AY34">
        <v>55.6</v>
      </c>
      <c r="AZ34">
        <v>54.9</v>
      </c>
      <c r="BA34">
        <v>54</v>
      </c>
      <c r="BB34">
        <v>53.7</v>
      </c>
      <c r="BD34">
        <v>52.9</v>
      </c>
      <c r="BE34">
        <v>53.4</v>
      </c>
      <c r="BF34">
        <v>52.7</v>
      </c>
      <c r="BG34">
        <v>52</v>
      </c>
      <c r="BH34">
        <v>51.9</v>
      </c>
      <c r="BI34">
        <v>53.4</v>
      </c>
      <c r="BJ34">
        <v>53.3</v>
      </c>
      <c r="BK34">
        <v>53.9</v>
      </c>
      <c r="BL34">
        <v>53.5</v>
      </c>
      <c r="BM34">
        <v>48.9</v>
      </c>
      <c r="BN34">
        <v>52.9</v>
      </c>
      <c r="BO34">
        <v>52</v>
      </c>
      <c r="BP34">
        <v>51.6</v>
      </c>
    </row>
    <row r="35" spans="1:68" x14ac:dyDescent="0.3">
      <c r="A35" t="s">
        <v>562</v>
      </c>
      <c r="B35" t="s">
        <v>394</v>
      </c>
      <c r="C35" t="s">
        <v>629</v>
      </c>
      <c r="D35" t="s">
        <v>224</v>
      </c>
      <c r="BI35">
        <v>34.1</v>
      </c>
    </row>
    <row r="36" spans="1:68" x14ac:dyDescent="0.3">
      <c r="A36" t="s">
        <v>434</v>
      </c>
      <c r="B36" t="s">
        <v>128</v>
      </c>
      <c r="C36" t="s">
        <v>629</v>
      </c>
      <c r="D36" t="s">
        <v>224</v>
      </c>
    </row>
    <row r="37" spans="1:68" x14ac:dyDescent="0.3">
      <c r="A37" t="s">
        <v>571</v>
      </c>
      <c r="B37" t="s">
        <v>121</v>
      </c>
      <c r="C37" t="s">
        <v>629</v>
      </c>
      <c r="D37" t="s">
        <v>224</v>
      </c>
      <c r="AV37">
        <v>40.9</v>
      </c>
      <c r="AZ37">
        <v>38.1</v>
      </c>
      <c r="BE37">
        <v>38.799999999999997</v>
      </c>
      <c r="BJ37">
        <v>37.4</v>
      </c>
      <c r="BO37">
        <v>28.5</v>
      </c>
    </row>
    <row r="38" spans="1:68" x14ac:dyDescent="0.3">
      <c r="A38" t="s">
        <v>50</v>
      </c>
      <c r="B38" t="s">
        <v>401</v>
      </c>
      <c r="C38" t="s">
        <v>629</v>
      </c>
      <c r="D38" t="s">
        <v>224</v>
      </c>
      <c r="AD38">
        <v>54.2</v>
      </c>
      <c r="AL38">
        <v>60.1</v>
      </c>
      <c r="AU38">
        <v>61.5</v>
      </c>
      <c r="BB38">
        <v>56.9</v>
      </c>
      <c r="BH38">
        <v>54.9</v>
      </c>
    </row>
    <row r="39" spans="1:68" x14ac:dyDescent="0.3">
      <c r="A39" t="s">
        <v>187</v>
      </c>
      <c r="B39" t="s">
        <v>491</v>
      </c>
      <c r="C39" t="s">
        <v>629</v>
      </c>
      <c r="D39" t="s">
        <v>224</v>
      </c>
      <c r="AK39">
        <v>59.7</v>
      </c>
      <c r="BA39">
        <v>56.2</v>
      </c>
      <c r="BN39">
        <v>43</v>
      </c>
    </row>
    <row r="40" spans="1:68" x14ac:dyDescent="0.3">
      <c r="A40" t="s">
        <v>201</v>
      </c>
      <c r="B40" t="s">
        <v>563</v>
      </c>
      <c r="C40" t="s">
        <v>629</v>
      </c>
      <c r="D40" t="s">
        <v>224</v>
      </c>
      <c r="P40">
        <v>37.200000000000003</v>
      </c>
      <c r="R40">
        <v>34.9</v>
      </c>
      <c r="T40">
        <v>34.1</v>
      </c>
      <c r="V40">
        <v>33.700000000000003</v>
      </c>
      <c r="X40">
        <v>33.5</v>
      </c>
      <c r="Z40">
        <v>33</v>
      </c>
      <c r="AA40">
        <v>32.9</v>
      </c>
      <c r="AC40">
        <v>33.5</v>
      </c>
      <c r="AD40">
        <v>33.200000000000003</v>
      </c>
      <c r="AE40">
        <v>31.7</v>
      </c>
      <c r="AF40">
        <v>31.7</v>
      </c>
      <c r="AG40">
        <v>31.2</v>
      </c>
      <c r="AH40">
        <v>31</v>
      </c>
      <c r="AI40">
        <v>31.4</v>
      </c>
      <c r="AJ40">
        <v>31.9</v>
      </c>
      <c r="AK40">
        <v>31.6</v>
      </c>
      <c r="AL40">
        <v>31.7</v>
      </c>
      <c r="AM40">
        <v>31.3</v>
      </c>
      <c r="AN40">
        <v>31.5</v>
      </c>
      <c r="AO40">
        <v>32.799999999999997</v>
      </c>
      <c r="AP40">
        <v>33.1</v>
      </c>
      <c r="AQ40">
        <v>33.200000000000003</v>
      </c>
      <c r="AR40">
        <v>33.1</v>
      </c>
      <c r="AS40">
        <v>33.4</v>
      </c>
      <c r="AT40">
        <v>33.6</v>
      </c>
      <c r="AU40">
        <v>33.6</v>
      </c>
      <c r="AV40">
        <v>33.799999999999997</v>
      </c>
      <c r="AW40">
        <v>33.799999999999997</v>
      </c>
      <c r="AX40">
        <v>33.6</v>
      </c>
      <c r="AY40">
        <v>34.1</v>
      </c>
      <c r="AZ40">
        <v>33.799999999999997</v>
      </c>
      <c r="BA40">
        <v>33.9</v>
      </c>
      <c r="BB40">
        <v>34</v>
      </c>
      <c r="BC40">
        <v>33.6</v>
      </c>
      <c r="BD40">
        <v>32.700000000000003</v>
      </c>
      <c r="BE40">
        <v>33.5</v>
      </c>
      <c r="BF40">
        <v>33.799999999999997</v>
      </c>
      <c r="BG40">
        <v>33.200000000000003</v>
      </c>
      <c r="BH40">
        <v>33.700000000000003</v>
      </c>
      <c r="BI40">
        <v>32.700000000000003</v>
      </c>
      <c r="BJ40">
        <v>33.299999999999997</v>
      </c>
      <c r="BK40">
        <v>32.5</v>
      </c>
      <c r="BL40">
        <v>31.7</v>
      </c>
      <c r="BM40">
        <v>29.9</v>
      </c>
      <c r="BN40">
        <v>31.1</v>
      </c>
    </row>
    <row r="41" spans="1:68" x14ac:dyDescent="0.3">
      <c r="A41" t="s">
        <v>443</v>
      </c>
      <c r="B41" t="s">
        <v>237</v>
      </c>
      <c r="C41" t="s">
        <v>629</v>
      </c>
      <c r="D41" t="s">
        <v>224</v>
      </c>
    </row>
    <row r="42" spans="1:68" x14ac:dyDescent="0.3">
      <c r="A42" t="s">
        <v>190</v>
      </c>
      <c r="B42" t="s">
        <v>646</v>
      </c>
      <c r="C42" t="s">
        <v>629</v>
      </c>
      <c r="D42" t="s">
        <v>224</v>
      </c>
      <c r="AA42">
        <v>36</v>
      </c>
      <c r="AK42">
        <v>33.9</v>
      </c>
      <c r="AS42">
        <v>33.4</v>
      </c>
      <c r="AU42">
        <v>31.7</v>
      </c>
      <c r="AW42">
        <v>31.6</v>
      </c>
      <c r="AY42">
        <v>33.9</v>
      </c>
      <c r="AZ42">
        <v>34.299999999999997</v>
      </c>
      <c r="BA42">
        <v>33.799999999999997</v>
      </c>
      <c r="BB42">
        <v>32.9</v>
      </c>
      <c r="BC42">
        <v>32.6</v>
      </c>
      <c r="BD42">
        <v>31.7</v>
      </c>
      <c r="BE42">
        <v>31.6</v>
      </c>
      <c r="BF42">
        <v>32.5</v>
      </c>
      <c r="BG42">
        <v>32.5</v>
      </c>
      <c r="BH42">
        <v>32.299999999999997</v>
      </c>
      <c r="BI42">
        <v>33</v>
      </c>
      <c r="BJ42">
        <v>32.700000000000003</v>
      </c>
      <c r="BK42">
        <v>33.1</v>
      </c>
      <c r="BL42">
        <v>34</v>
      </c>
      <c r="BM42">
        <v>33.700000000000003</v>
      </c>
      <c r="BN42">
        <v>33.799999999999997</v>
      </c>
      <c r="BO42">
        <v>33.799999999999997</v>
      </c>
    </row>
    <row r="43" spans="1:68" x14ac:dyDescent="0.3">
      <c r="A43" t="s">
        <v>395</v>
      </c>
      <c r="B43" t="s">
        <v>318</v>
      </c>
      <c r="C43" t="s">
        <v>629</v>
      </c>
      <c r="D43" t="s">
        <v>224</v>
      </c>
    </row>
    <row r="44" spans="1:68" x14ac:dyDescent="0.3">
      <c r="A44" t="s">
        <v>166</v>
      </c>
      <c r="B44" t="s">
        <v>653</v>
      </c>
      <c r="C44" t="s">
        <v>629</v>
      </c>
      <c r="D44" t="s">
        <v>224</v>
      </c>
      <c r="AF44">
        <v>56.2</v>
      </c>
      <c r="AI44">
        <v>57.2</v>
      </c>
      <c r="AK44">
        <v>54.8</v>
      </c>
      <c r="AM44">
        <v>56.4</v>
      </c>
      <c r="AO44">
        <v>54.9</v>
      </c>
      <c r="AQ44">
        <v>55.5</v>
      </c>
      <c r="AS44">
        <v>52.8</v>
      </c>
      <c r="AV44">
        <v>51.5</v>
      </c>
      <c r="AY44">
        <v>47.7</v>
      </c>
      <c r="BB44">
        <v>47.4</v>
      </c>
      <c r="BD44">
        <v>46.9</v>
      </c>
      <c r="BF44">
        <v>46.8</v>
      </c>
      <c r="BH44">
        <v>45.3</v>
      </c>
      <c r="BJ44">
        <v>45.3</v>
      </c>
      <c r="BM44">
        <v>47</v>
      </c>
      <c r="BO44">
        <v>43</v>
      </c>
    </row>
    <row r="45" spans="1:68" x14ac:dyDescent="0.3">
      <c r="A45" t="s">
        <v>505</v>
      </c>
      <c r="B45" t="s">
        <v>188</v>
      </c>
      <c r="C45" t="s">
        <v>629</v>
      </c>
      <c r="D45" t="s">
        <v>224</v>
      </c>
      <c r="Z45">
        <v>28.2</v>
      </c>
      <c r="AC45">
        <v>27.1</v>
      </c>
      <c r="AF45">
        <v>29.4</v>
      </c>
      <c r="AI45">
        <v>32.200000000000003</v>
      </c>
      <c r="AL45">
        <v>33.9</v>
      </c>
      <c r="AO45">
        <v>35.200000000000003</v>
      </c>
      <c r="AR45">
        <v>38.700000000000003</v>
      </c>
      <c r="AU45">
        <v>42</v>
      </c>
      <c r="AX45">
        <v>40.9</v>
      </c>
      <c r="BA45">
        <v>43</v>
      </c>
      <c r="BC45">
        <v>43.7</v>
      </c>
      <c r="BD45">
        <v>42.4</v>
      </c>
      <c r="BE45">
        <v>42.2</v>
      </c>
      <c r="BF45">
        <v>39.700000000000003</v>
      </c>
      <c r="BG45">
        <v>39.200000000000003</v>
      </c>
      <c r="BH45">
        <v>38.6</v>
      </c>
      <c r="BI45">
        <v>38.5</v>
      </c>
      <c r="BJ45">
        <v>39.1</v>
      </c>
      <c r="BK45">
        <v>38.5</v>
      </c>
      <c r="BL45">
        <v>38.200000000000003</v>
      </c>
      <c r="BM45">
        <v>37.1</v>
      </c>
      <c r="BN45">
        <v>35.700000000000003</v>
      </c>
      <c r="BO45">
        <v>36</v>
      </c>
    </row>
    <row r="46" spans="1:68" x14ac:dyDescent="0.3">
      <c r="A46" t="s">
        <v>686</v>
      </c>
      <c r="B46" t="s">
        <v>336</v>
      </c>
      <c r="C46" t="s">
        <v>629</v>
      </c>
      <c r="D46" t="s">
        <v>224</v>
      </c>
      <c r="AD46">
        <v>45.5</v>
      </c>
      <c r="AE46">
        <v>38</v>
      </c>
      <c r="AF46">
        <v>40.5</v>
      </c>
      <c r="AG46">
        <v>36.9</v>
      </c>
      <c r="AK46">
        <v>39.4</v>
      </c>
      <c r="AN46">
        <v>40.6</v>
      </c>
      <c r="AQ46">
        <v>39</v>
      </c>
      <c r="AU46">
        <v>41.3</v>
      </c>
      <c r="BA46">
        <v>43.2</v>
      </c>
      <c r="BH46">
        <v>41.5</v>
      </c>
      <c r="BK46">
        <v>37.200000000000003</v>
      </c>
      <c r="BN46">
        <v>35.299999999999997</v>
      </c>
    </row>
    <row r="47" spans="1:68" x14ac:dyDescent="0.3">
      <c r="A47" t="s">
        <v>740</v>
      </c>
      <c r="B47" t="s">
        <v>78</v>
      </c>
      <c r="C47" t="s">
        <v>629</v>
      </c>
      <c r="D47" t="s">
        <v>224</v>
      </c>
      <c r="AO47">
        <v>44.4</v>
      </c>
      <c r="AT47">
        <v>42.1</v>
      </c>
      <c r="AZ47">
        <v>42.8</v>
      </c>
      <c r="BG47">
        <v>46.6</v>
      </c>
      <c r="BN47">
        <v>42.2</v>
      </c>
    </row>
    <row r="48" spans="1:68" x14ac:dyDescent="0.3">
      <c r="A48" t="s">
        <v>497</v>
      </c>
      <c r="B48" t="s">
        <v>228</v>
      </c>
      <c r="C48" t="s">
        <v>629</v>
      </c>
      <c r="D48" t="s">
        <v>224</v>
      </c>
      <c r="AW48">
        <v>41.6</v>
      </c>
      <c r="BE48">
        <v>42.1</v>
      </c>
      <c r="BH48" s="5">
        <f>BE48+((BM48-BE48)/(BM$4-BE$4))*($BH$4-BE$4)</f>
        <v>43.075000000000003</v>
      </c>
      <c r="BM48">
        <v>44.7</v>
      </c>
    </row>
    <row r="49" spans="1:71" x14ac:dyDescent="0.3">
      <c r="A49" t="s">
        <v>393</v>
      </c>
      <c r="B49" t="s">
        <v>410</v>
      </c>
      <c r="C49" t="s">
        <v>629</v>
      </c>
      <c r="D49" t="s">
        <v>224</v>
      </c>
      <c r="AX49">
        <v>47.3</v>
      </c>
      <c r="BD49">
        <v>48.9</v>
      </c>
    </row>
    <row r="50" spans="1:71" x14ac:dyDescent="0.3">
      <c r="A50" t="s">
        <v>558</v>
      </c>
      <c r="B50" t="s">
        <v>303</v>
      </c>
      <c r="C50" t="s">
        <v>629</v>
      </c>
      <c r="D50" t="s">
        <v>224</v>
      </c>
      <c r="Y50">
        <v>55.1</v>
      </c>
      <c r="AG50">
        <v>53.1</v>
      </c>
      <c r="AH50">
        <v>52.8</v>
      </c>
      <c r="AJ50">
        <v>51.3</v>
      </c>
      <c r="AK50">
        <v>51.3</v>
      </c>
      <c r="AO50">
        <v>56.8</v>
      </c>
      <c r="AR50">
        <v>58.5</v>
      </c>
      <c r="AS50">
        <v>58.4</v>
      </c>
      <c r="AT50">
        <v>57.3</v>
      </c>
      <c r="AU50">
        <v>56</v>
      </c>
      <c r="AV50">
        <v>53.6</v>
      </c>
      <c r="AW50">
        <v>55</v>
      </c>
      <c r="AX50">
        <v>53.9</v>
      </c>
      <c r="BA50">
        <v>55.3</v>
      </c>
      <c r="BB50">
        <v>54.3</v>
      </c>
      <c r="BC50">
        <v>54.6</v>
      </c>
      <c r="BD50">
        <v>53.5</v>
      </c>
      <c r="BE50">
        <v>52.6</v>
      </c>
      <c r="BF50">
        <v>52.6</v>
      </c>
      <c r="BG50">
        <v>52.5</v>
      </c>
      <c r="BH50">
        <v>51</v>
      </c>
      <c r="BI50">
        <v>50.6</v>
      </c>
      <c r="BJ50">
        <v>49.7</v>
      </c>
      <c r="BK50">
        <v>50.4</v>
      </c>
      <c r="BL50">
        <v>51.3</v>
      </c>
      <c r="BM50">
        <v>53.5</v>
      </c>
      <c r="BN50">
        <v>55.1</v>
      </c>
      <c r="BO50">
        <v>54.8</v>
      </c>
      <c r="BP50">
        <v>53.9</v>
      </c>
    </row>
    <row r="51" spans="1:71" x14ac:dyDescent="0.3">
      <c r="A51" t="s">
        <v>360</v>
      </c>
      <c r="B51" t="s">
        <v>356</v>
      </c>
      <c r="C51" t="s">
        <v>629</v>
      </c>
      <c r="D51" t="s">
        <v>224</v>
      </c>
      <c r="AW51">
        <v>55.9</v>
      </c>
      <c r="BG51">
        <v>45.3</v>
      </c>
    </row>
    <row r="52" spans="1:71" x14ac:dyDescent="0.3">
      <c r="A52" t="s">
        <v>495</v>
      </c>
      <c r="B52" t="s">
        <v>567</v>
      </c>
      <c r="C52" t="s">
        <v>629</v>
      </c>
      <c r="D52" t="s">
        <v>224</v>
      </c>
      <c r="AT52">
        <v>52.5</v>
      </c>
      <c r="AZ52">
        <v>47.2</v>
      </c>
      <c r="BH52">
        <v>42.4</v>
      </c>
    </row>
    <row r="53" spans="1:71" x14ac:dyDescent="0.3">
      <c r="A53" t="s">
        <v>344</v>
      </c>
      <c r="B53" t="s">
        <v>11</v>
      </c>
      <c r="C53" t="s">
        <v>629</v>
      </c>
      <c r="D53" t="s">
        <v>224</v>
      </c>
      <c r="Z53">
        <v>47.5</v>
      </c>
      <c r="AE53">
        <v>34.4</v>
      </c>
      <c r="AH53">
        <v>45.5</v>
      </c>
      <c r="AI53">
        <v>45.2</v>
      </c>
      <c r="AJ53">
        <v>46.6</v>
      </c>
      <c r="AK53">
        <v>45.6</v>
      </c>
      <c r="AL53">
        <v>45.9</v>
      </c>
      <c r="AM53">
        <v>46.7</v>
      </c>
      <c r="AN53">
        <v>45.7</v>
      </c>
      <c r="AO53">
        <v>46.5</v>
      </c>
      <c r="AP53">
        <v>45.6</v>
      </c>
      <c r="AQ53">
        <v>45.6</v>
      </c>
      <c r="AR53">
        <v>47.6</v>
      </c>
      <c r="AS53">
        <v>47.4</v>
      </c>
      <c r="AT53">
        <v>51.5</v>
      </c>
      <c r="AU53">
        <v>51.8</v>
      </c>
      <c r="AV53">
        <v>49.3</v>
      </c>
      <c r="AW53">
        <v>48.4</v>
      </c>
      <c r="AX53">
        <v>47.5</v>
      </c>
      <c r="AY53">
        <v>49.3</v>
      </c>
      <c r="AZ53">
        <v>49.3</v>
      </c>
      <c r="BA53">
        <v>48.6</v>
      </c>
      <c r="BB53">
        <v>50.6</v>
      </c>
      <c r="BC53">
        <v>48</v>
      </c>
      <c r="BD53">
        <v>48.8</v>
      </c>
      <c r="BE53">
        <v>48.4</v>
      </c>
      <c r="BF53">
        <v>49.2</v>
      </c>
      <c r="BG53">
        <v>48.6</v>
      </c>
      <c r="BH53">
        <v>48.4</v>
      </c>
      <c r="BI53">
        <v>48.7</v>
      </c>
      <c r="BJ53">
        <v>48.3</v>
      </c>
      <c r="BK53">
        <v>48</v>
      </c>
      <c r="BL53">
        <v>48.2</v>
      </c>
      <c r="BM53">
        <v>49.2</v>
      </c>
      <c r="BN53">
        <v>48.7</v>
      </c>
      <c r="BO53">
        <v>47.2</v>
      </c>
      <c r="BP53">
        <v>46.7</v>
      </c>
      <c r="BQ53">
        <v>45.8</v>
      </c>
    </row>
    <row r="54" spans="1:71" x14ac:dyDescent="0.3">
      <c r="A54" t="s">
        <v>345</v>
      </c>
      <c r="B54" t="s">
        <v>298</v>
      </c>
      <c r="C54" t="s">
        <v>629</v>
      </c>
      <c r="D54" t="s">
        <v>224</v>
      </c>
    </row>
    <row r="55" spans="1:71" x14ac:dyDescent="0.3">
      <c r="A55" t="s">
        <v>98</v>
      </c>
      <c r="B55" t="s">
        <v>254</v>
      </c>
      <c r="C55" t="s">
        <v>629</v>
      </c>
      <c r="D55" t="s">
        <v>224</v>
      </c>
    </row>
    <row r="56" spans="1:71" x14ac:dyDescent="0.3">
      <c r="A56" t="s">
        <v>373</v>
      </c>
      <c r="B56" t="s">
        <v>99</v>
      </c>
      <c r="C56" t="s">
        <v>629</v>
      </c>
      <c r="D56" t="s">
        <v>224</v>
      </c>
    </row>
    <row r="57" spans="1:71" x14ac:dyDescent="0.3">
      <c r="A57" t="s">
        <v>481</v>
      </c>
      <c r="B57" t="s">
        <v>649</v>
      </c>
      <c r="C57" t="s">
        <v>629</v>
      </c>
      <c r="D57" t="s">
        <v>224</v>
      </c>
    </row>
    <row r="58" spans="1:71" x14ac:dyDescent="0.3">
      <c r="A58" t="s">
        <v>447</v>
      </c>
      <c r="B58" t="s">
        <v>255</v>
      </c>
      <c r="C58" t="s">
        <v>629</v>
      </c>
      <c r="D58" t="s">
        <v>224</v>
      </c>
      <c r="AW58">
        <v>30.1</v>
      </c>
      <c r="AX58">
        <v>30.3</v>
      </c>
      <c r="AY58">
        <v>31.1</v>
      </c>
      <c r="AZ58">
        <v>31.1</v>
      </c>
      <c r="BA58">
        <v>31.7</v>
      </c>
      <c r="BB58">
        <v>32.1</v>
      </c>
      <c r="BC58">
        <v>31.5</v>
      </c>
      <c r="BD58">
        <v>32.6</v>
      </c>
      <c r="BE58">
        <v>34.299999999999997</v>
      </c>
      <c r="BF58">
        <v>37</v>
      </c>
      <c r="BG58">
        <v>35.6</v>
      </c>
      <c r="BH58">
        <v>34</v>
      </c>
      <c r="BI58">
        <v>32.9</v>
      </c>
      <c r="BJ58">
        <v>31.4</v>
      </c>
      <c r="BK58">
        <v>32.700000000000003</v>
      </c>
      <c r="BL58">
        <v>31.2</v>
      </c>
      <c r="BM58">
        <v>31.7</v>
      </c>
      <c r="BN58">
        <v>31.3</v>
      </c>
      <c r="BO58">
        <v>31.5</v>
      </c>
      <c r="BP58">
        <v>31.8</v>
      </c>
    </row>
    <row r="59" spans="1:71" x14ac:dyDescent="0.3">
      <c r="A59" t="s">
        <v>352</v>
      </c>
      <c r="B59" t="s">
        <v>666</v>
      </c>
      <c r="C59" t="s">
        <v>629</v>
      </c>
      <c r="D59" t="s">
        <v>224</v>
      </c>
      <c r="AK59">
        <v>20.7</v>
      </c>
      <c r="AL59">
        <v>26.6</v>
      </c>
      <c r="AO59">
        <v>25.8</v>
      </c>
      <c r="AU59">
        <v>26.6</v>
      </c>
      <c r="AW59">
        <v>27.5</v>
      </c>
      <c r="AX59">
        <v>26.9</v>
      </c>
      <c r="AY59">
        <v>26.7</v>
      </c>
      <c r="AZ59">
        <v>26</v>
      </c>
      <c r="BA59">
        <v>26.3</v>
      </c>
      <c r="BB59">
        <v>26.2</v>
      </c>
      <c r="BC59">
        <v>26.6</v>
      </c>
      <c r="BD59">
        <v>26.4</v>
      </c>
      <c r="BE59">
        <v>26.1</v>
      </c>
      <c r="BF59">
        <v>26.5</v>
      </c>
      <c r="BG59">
        <v>25.9</v>
      </c>
      <c r="BH59">
        <v>25.9</v>
      </c>
      <c r="BI59">
        <v>25.4</v>
      </c>
      <c r="BJ59">
        <v>24.9</v>
      </c>
      <c r="BK59">
        <v>25</v>
      </c>
      <c r="BL59">
        <v>25.3</v>
      </c>
      <c r="BM59">
        <v>26.2</v>
      </c>
      <c r="BN59">
        <v>26.2</v>
      </c>
      <c r="BO59">
        <v>25.9</v>
      </c>
      <c r="BP59">
        <v>25.7</v>
      </c>
      <c r="BS59" s="7">
        <f>[1]Data!$F$31</f>
        <v>33991.850532458302</v>
      </c>
    </row>
    <row r="60" spans="1:71" x14ac:dyDescent="0.3">
      <c r="A60" t="s">
        <v>484</v>
      </c>
      <c r="B60" t="s">
        <v>487</v>
      </c>
      <c r="C60" t="s">
        <v>629</v>
      </c>
      <c r="D60" t="s">
        <v>224</v>
      </c>
      <c r="AJ60">
        <v>29.5</v>
      </c>
      <c r="AK60">
        <v>29.1</v>
      </c>
      <c r="AL60">
        <v>28.6</v>
      </c>
      <c r="AM60">
        <v>29.2</v>
      </c>
      <c r="AN60">
        <v>28.8</v>
      </c>
      <c r="AO60">
        <v>28</v>
      </c>
      <c r="AP60">
        <v>28.2</v>
      </c>
      <c r="AQ60">
        <v>28.3</v>
      </c>
      <c r="AR60">
        <v>29</v>
      </c>
      <c r="AS60">
        <v>28.9</v>
      </c>
      <c r="AT60">
        <v>29.9</v>
      </c>
      <c r="AU60">
        <v>29.8</v>
      </c>
      <c r="AV60">
        <v>29.8</v>
      </c>
      <c r="AW60">
        <v>30.2</v>
      </c>
      <c r="AX60">
        <v>31.7</v>
      </c>
      <c r="AY60">
        <v>31</v>
      </c>
      <c r="AZ60">
        <v>31.2</v>
      </c>
      <c r="BA60">
        <v>30.8</v>
      </c>
      <c r="BB60">
        <v>30.5</v>
      </c>
      <c r="BC60">
        <v>30.2</v>
      </c>
      <c r="BD60">
        <v>30.6</v>
      </c>
      <c r="BE60">
        <v>31.1</v>
      </c>
      <c r="BF60">
        <v>31.5</v>
      </c>
      <c r="BG60">
        <v>30.8</v>
      </c>
      <c r="BH60">
        <v>31.7</v>
      </c>
      <c r="BI60">
        <v>31.4</v>
      </c>
      <c r="BJ60">
        <v>31.3</v>
      </c>
      <c r="BK60">
        <v>31.9</v>
      </c>
      <c r="BL60">
        <v>31.8</v>
      </c>
      <c r="BM60">
        <v>32.4</v>
      </c>
    </row>
    <row r="61" spans="1:71" x14ac:dyDescent="0.3">
      <c r="A61" t="s">
        <v>21</v>
      </c>
      <c r="B61" t="s">
        <v>247</v>
      </c>
      <c r="C61" t="s">
        <v>629</v>
      </c>
      <c r="D61" t="s">
        <v>224</v>
      </c>
      <c r="AU61">
        <v>40</v>
      </c>
      <c r="BE61">
        <v>45.1</v>
      </c>
      <c r="BF61">
        <v>44.1</v>
      </c>
      <c r="BJ61">
        <v>41.6</v>
      </c>
    </row>
    <row r="62" spans="1:71" x14ac:dyDescent="0.3">
      <c r="A62" t="s">
        <v>688</v>
      </c>
      <c r="B62" t="s">
        <v>262</v>
      </c>
      <c r="C62" t="s">
        <v>629</v>
      </c>
      <c r="D62" t="s">
        <v>224</v>
      </c>
    </row>
    <row r="63" spans="1:71" x14ac:dyDescent="0.3">
      <c r="A63" t="s">
        <v>310</v>
      </c>
      <c r="B63" t="s">
        <v>530</v>
      </c>
      <c r="C63" t="s">
        <v>629</v>
      </c>
      <c r="D63" t="s">
        <v>224</v>
      </c>
      <c r="AF63">
        <v>26.2</v>
      </c>
      <c r="AK63">
        <v>24.7</v>
      </c>
      <c r="AN63">
        <v>23</v>
      </c>
      <c r="AS63">
        <v>23.8</v>
      </c>
      <c r="AV63">
        <v>25.6</v>
      </c>
      <c r="AW63">
        <v>24.9</v>
      </c>
      <c r="AX63">
        <v>25.2</v>
      </c>
      <c r="AY63">
        <v>25.9</v>
      </c>
      <c r="AZ63">
        <v>26.2</v>
      </c>
      <c r="BA63">
        <v>25.2</v>
      </c>
      <c r="BB63">
        <v>26.7</v>
      </c>
      <c r="BC63">
        <v>27.2</v>
      </c>
      <c r="BD63">
        <v>27.3</v>
      </c>
      <c r="BE63">
        <v>27.8</v>
      </c>
      <c r="BF63">
        <v>28.5</v>
      </c>
      <c r="BG63">
        <v>28.4</v>
      </c>
      <c r="BH63">
        <v>28.2</v>
      </c>
      <c r="BI63">
        <v>28.2</v>
      </c>
      <c r="BJ63">
        <v>28.7</v>
      </c>
      <c r="BK63">
        <v>28.2</v>
      </c>
      <c r="BL63">
        <v>27.7</v>
      </c>
      <c r="BM63">
        <v>27.5</v>
      </c>
      <c r="BN63">
        <v>28.3</v>
      </c>
      <c r="BO63">
        <v>29.3</v>
      </c>
      <c r="BP63">
        <v>29.9</v>
      </c>
      <c r="BS63" s="7">
        <f>[1]Data!$F$32</f>
        <v>49213.699094976691</v>
      </c>
    </row>
    <row r="64" spans="1:71" x14ac:dyDescent="0.3">
      <c r="A64" t="s">
        <v>421</v>
      </c>
      <c r="B64" t="s">
        <v>713</v>
      </c>
      <c r="C64" t="s">
        <v>629</v>
      </c>
      <c r="D64" t="s">
        <v>224</v>
      </c>
      <c r="AE64">
        <v>47.8</v>
      </c>
      <c r="AH64">
        <v>50.4</v>
      </c>
      <c r="AK64">
        <v>51.1</v>
      </c>
      <c r="AO64">
        <v>47.4</v>
      </c>
      <c r="AP64">
        <v>48.9</v>
      </c>
      <c r="AS64">
        <v>51.5</v>
      </c>
      <c r="AT64">
        <v>50</v>
      </c>
      <c r="AU64">
        <v>49.7</v>
      </c>
      <c r="AV64">
        <v>52.1</v>
      </c>
      <c r="AW64">
        <v>52.1</v>
      </c>
      <c r="AX64">
        <v>50</v>
      </c>
      <c r="AY64">
        <v>52</v>
      </c>
      <c r="AZ64">
        <v>48.9</v>
      </c>
      <c r="BA64">
        <v>48.1</v>
      </c>
      <c r="BB64">
        <v>48.9</v>
      </c>
      <c r="BC64">
        <v>47.3</v>
      </c>
      <c r="BD64">
        <v>47.7</v>
      </c>
      <c r="BE64">
        <v>46.1</v>
      </c>
      <c r="BF64">
        <v>47.7</v>
      </c>
      <c r="BG64">
        <v>44.3</v>
      </c>
      <c r="BH64">
        <v>45.2</v>
      </c>
      <c r="BI64">
        <v>45.7</v>
      </c>
      <c r="BJ64">
        <v>42.2</v>
      </c>
      <c r="BK64">
        <v>43.7</v>
      </c>
      <c r="BL64">
        <v>41.9</v>
      </c>
      <c r="BM64">
        <v>39.6</v>
      </c>
      <c r="BN64">
        <v>38.5</v>
      </c>
      <c r="BO64">
        <v>37</v>
      </c>
      <c r="BP64">
        <v>38.4</v>
      </c>
      <c r="BQ64">
        <v>39</v>
      </c>
    </row>
    <row r="65" spans="1:71" x14ac:dyDescent="0.3">
      <c r="A65" t="s">
        <v>687</v>
      </c>
      <c r="B65" t="s">
        <v>30</v>
      </c>
      <c r="C65" t="s">
        <v>629</v>
      </c>
      <c r="D65" t="s">
        <v>224</v>
      </c>
      <c r="AG65">
        <v>37.4</v>
      </c>
      <c r="AN65">
        <v>35.299999999999997</v>
      </c>
      <c r="BD65">
        <v>27.6</v>
      </c>
    </row>
    <row r="66" spans="1:71" x14ac:dyDescent="0.3">
      <c r="A66" t="s">
        <v>211</v>
      </c>
      <c r="B66" t="s">
        <v>239</v>
      </c>
      <c r="C66" t="s">
        <v>629</v>
      </c>
      <c r="D66" t="s">
        <v>224</v>
      </c>
    </row>
    <row r="67" spans="1:71" x14ac:dyDescent="0.3">
      <c r="A67" t="s">
        <v>691</v>
      </c>
      <c r="B67" t="s">
        <v>361</v>
      </c>
      <c r="C67" t="s">
        <v>629</v>
      </c>
      <c r="D67" t="s">
        <v>224</v>
      </c>
    </row>
    <row r="68" spans="1:71" x14ac:dyDescent="0.3">
      <c r="A68" t="s">
        <v>489</v>
      </c>
      <c r="B68" t="s">
        <v>585</v>
      </c>
      <c r="C68" t="s">
        <v>629</v>
      </c>
      <c r="D68" t="s">
        <v>224</v>
      </c>
    </row>
    <row r="69" spans="1:71" x14ac:dyDescent="0.3">
      <c r="A69" t="s">
        <v>277</v>
      </c>
      <c r="B69" t="s">
        <v>326</v>
      </c>
      <c r="C69" t="s">
        <v>629</v>
      </c>
      <c r="D69" t="s">
        <v>224</v>
      </c>
    </row>
    <row r="70" spans="1:71" x14ac:dyDescent="0.3">
      <c r="A70" t="s">
        <v>399</v>
      </c>
      <c r="B70" t="s">
        <v>584</v>
      </c>
      <c r="C70" t="s">
        <v>629</v>
      </c>
      <c r="D70" t="s">
        <v>224</v>
      </c>
    </row>
    <row r="71" spans="1:71" x14ac:dyDescent="0.3">
      <c r="A71" t="s">
        <v>248</v>
      </c>
      <c r="B71" t="s">
        <v>110</v>
      </c>
      <c r="C71" t="s">
        <v>629</v>
      </c>
      <c r="D71" t="s">
        <v>224</v>
      </c>
      <c r="AF71">
        <v>50.5</v>
      </c>
      <c r="AM71">
        <v>53.3</v>
      </c>
      <c r="AN71">
        <v>50.8</v>
      </c>
      <c r="AQ71">
        <v>49.6</v>
      </c>
      <c r="AR71">
        <v>58.6</v>
      </c>
      <c r="AS71">
        <v>56.3</v>
      </c>
      <c r="AV71">
        <v>53.5</v>
      </c>
      <c r="AW71">
        <v>53.9</v>
      </c>
      <c r="AX71">
        <v>53.1</v>
      </c>
      <c r="AY71">
        <v>52.3</v>
      </c>
      <c r="AZ71">
        <v>53.4</v>
      </c>
      <c r="BA71">
        <v>49.8</v>
      </c>
      <c r="BB71">
        <v>48.5</v>
      </c>
      <c r="BC71">
        <v>48.8</v>
      </c>
      <c r="BD71">
        <v>45.9</v>
      </c>
      <c r="BE71">
        <v>46.1</v>
      </c>
      <c r="BF71">
        <v>46.9</v>
      </c>
      <c r="BG71">
        <v>45</v>
      </c>
      <c r="BH71">
        <v>46</v>
      </c>
      <c r="BI71">
        <v>45</v>
      </c>
      <c r="BJ71">
        <v>44.7</v>
      </c>
      <c r="BK71">
        <v>45.4</v>
      </c>
      <c r="BL71">
        <v>45.7</v>
      </c>
      <c r="BM71">
        <v>47.3</v>
      </c>
      <c r="BN71">
        <v>45.8</v>
      </c>
      <c r="BO71">
        <v>45.5</v>
      </c>
      <c r="BP71">
        <v>44.6</v>
      </c>
      <c r="BQ71">
        <v>45.2</v>
      </c>
    </row>
    <row r="72" spans="1:71" x14ac:dyDescent="0.3">
      <c r="A72" t="s">
        <v>260</v>
      </c>
      <c r="B72" t="s">
        <v>670</v>
      </c>
      <c r="C72" t="s">
        <v>629</v>
      </c>
      <c r="D72" t="s">
        <v>224</v>
      </c>
      <c r="AI72">
        <v>32</v>
      </c>
      <c r="AN72">
        <v>30.1</v>
      </c>
      <c r="AR72">
        <v>30.8</v>
      </c>
      <c r="AW72">
        <v>31.8</v>
      </c>
      <c r="BA72">
        <v>31.1</v>
      </c>
      <c r="BC72">
        <v>30.2</v>
      </c>
      <c r="BE72">
        <v>28.3</v>
      </c>
      <c r="BH72">
        <v>31.8</v>
      </c>
      <c r="BJ72">
        <v>31.5</v>
      </c>
      <c r="BL72">
        <v>31.9</v>
      </c>
      <c r="BN72">
        <v>28.5</v>
      </c>
    </row>
    <row r="73" spans="1:71" x14ac:dyDescent="0.3">
      <c r="A73" t="s">
        <v>143</v>
      </c>
      <c r="B73" t="s">
        <v>409</v>
      </c>
      <c r="C73" t="s">
        <v>629</v>
      </c>
      <c r="D73" t="s">
        <v>224</v>
      </c>
    </row>
    <row r="74" spans="1:71" x14ac:dyDescent="0.3">
      <c r="A74" t="s">
        <v>723</v>
      </c>
      <c r="B74" t="s">
        <v>171</v>
      </c>
      <c r="C74" t="s">
        <v>629</v>
      </c>
      <c r="D74" t="s">
        <v>224</v>
      </c>
    </row>
    <row r="75" spans="1:71" x14ac:dyDescent="0.3">
      <c r="A75" t="s">
        <v>81</v>
      </c>
      <c r="B75" t="s">
        <v>253</v>
      </c>
      <c r="C75" t="s">
        <v>629</v>
      </c>
      <c r="D75" t="s">
        <v>224</v>
      </c>
      <c r="Y75">
        <v>34.5</v>
      </c>
      <c r="AD75">
        <v>34.4</v>
      </c>
      <c r="AI75">
        <v>32</v>
      </c>
      <c r="AL75">
        <v>35.700000000000003</v>
      </c>
      <c r="AM75">
        <v>35.1</v>
      </c>
      <c r="AN75">
        <v>35.700000000000003</v>
      </c>
      <c r="AO75">
        <v>36.5</v>
      </c>
      <c r="AP75">
        <v>35.299999999999997</v>
      </c>
      <c r="AQ75">
        <v>34.6</v>
      </c>
      <c r="AR75">
        <v>33.799999999999997</v>
      </c>
      <c r="AS75">
        <v>34.1</v>
      </c>
      <c r="AV75">
        <v>31.8</v>
      </c>
      <c r="AW75">
        <v>33.299999999999997</v>
      </c>
      <c r="AX75">
        <v>32.4</v>
      </c>
      <c r="AY75">
        <v>33.5</v>
      </c>
      <c r="AZ75">
        <v>34.1</v>
      </c>
      <c r="BA75">
        <v>34.200000000000003</v>
      </c>
      <c r="BB75">
        <v>34.9</v>
      </c>
      <c r="BC75">
        <v>35.200000000000003</v>
      </c>
      <c r="BD75">
        <v>35.700000000000003</v>
      </c>
      <c r="BE75">
        <v>35.4</v>
      </c>
      <c r="BF75">
        <v>36.200000000000003</v>
      </c>
      <c r="BG75">
        <v>36.1</v>
      </c>
      <c r="BH75">
        <v>36.200000000000003</v>
      </c>
      <c r="BI75">
        <v>35.799999999999997</v>
      </c>
      <c r="BJ75">
        <v>34.700000000000003</v>
      </c>
      <c r="BK75">
        <v>34.700000000000003</v>
      </c>
      <c r="BL75">
        <v>34.299999999999997</v>
      </c>
      <c r="BM75">
        <v>34.9</v>
      </c>
      <c r="BN75">
        <v>33.9</v>
      </c>
      <c r="BO75">
        <v>33.6</v>
      </c>
      <c r="BP75">
        <v>33.4</v>
      </c>
    </row>
    <row r="76" spans="1:71" x14ac:dyDescent="0.3">
      <c r="A76" t="s">
        <v>515</v>
      </c>
      <c r="B76" t="s">
        <v>655</v>
      </c>
      <c r="C76" t="s">
        <v>629</v>
      </c>
      <c r="D76" t="s">
        <v>224</v>
      </c>
      <c r="AL76">
        <v>39.4</v>
      </c>
      <c r="AN76">
        <v>30.1</v>
      </c>
      <c r="AQ76">
        <v>37.6</v>
      </c>
      <c r="AS76">
        <v>35.799999999999997</v>
      </c>
      <c r="AT76">
        <v>36</v>
      </c>
      <c r="AU76">
        <v>35.799999999999997</v>
      </c>
      <c r="AV76">
        <v>37.200000000000003</v>
      </c>
      <c r="AW76">
        <v>33.6</v>
      </c>
      <c r="AX76">
        <v>33.4</v>
      </c>
      <c r="AY76">
        <v>33.700000000000003</v>
      </c>
      <c r="AZ76">
        <v>31.2</v>
      </c>
      <c r="BA76">
        <v>31.9</v>
      </c>
      <c r="BB76">
        <v>31.4</v>
      </c>
      <c r="BC76">
        <v>32</v>
      </c>
      <c r="BD76">
        <v>32.5</v>
      </c>
      <c r="BE76">
        <v>32.9</v>
      </c>
      <c r="BF76">
        <v>35.1</v>
      </c>
      <c r="BG76">
        <v>34.6</v>
      </c>
      <c r="BH76">
        <v>32.700000000000003</v>
      </c>
      <c r="BI76">
        <v>31.2</v>
      </c>
      <c r="BJ76">
        <v>30.4</v>
      </c>
      <c r="BK76">
        <v>30.3</v>
      </c>
      <c r="BL76">
        <v>30.8</v>
      </c>
      <c r="BM76">
        <v>30.7</v>
      </c>
      <c r="BN76">
        <v>31.8</v>
      </c>
      <c r="BO76">
        <v>32.299999999999997</v>
      </c>
      <c r="BP76">
        <v>30.7</v>
      </c>
    </row>
    <row r="77" spans="1:71" x14ac:dyDescent="0.3">
      <c r="A77" t="s">
        <v>158</v>
      </c>
      <c r="B77" t="s">
        <v>101</v>
      </c>
      <c r="C77" t="s">
        <v>629</v>
      </c>
      <c r="D77" t="s">
        <v>224</v>
      </c>
      <c r="AN77">
        <v>44.6</v>
      </c>
      <c r="AR77">
        <v>30</v>
      </c>
      <c r="AW77">
        <v>29.8</v>
      </c>
      <c r="BC77">
        <v>33.200000000000003</v>
      </c>
      <c r="BH77">
        <v>35</v>
      </c>
      <c r="BN77">
        <v>31.1</v>
      </c>
    </row>
    <row r="78" spans="1:71" x14ac:dyDescent="0.3">
      <c r="A78" t="s">
        <v>41</v>
      </c>
      <c r="B78" t="s">
        <v>702</v>
      </c>
      <c r="C78" t="s">
        <v>629</v>
      </c>
      <c r="D78" t="s">
        <v>224</v>
      </c>
    </row>
    <row r="79" spans="1:71" x14ac:dyDescent="0.3">
      <c r="A79" t="s">
        <v>219</v>
      </c>
      <c r="B79" t="s">
        <v>357</v>
      </c>
      <c r="C79" t="s">
        <v>629</v>
      </c>
      <c r="D79" t="s">
        <v>224</v>
      </c>
    </row>
    <row r="80" spans="1:71" x14ac:dyDescent="0.3">
      <c r="A80" t="s">
        <v>53</v>
      </c>
      <c r="B80" t="s">
        <v>26</v>
      </c>
      <c r="C80" t="s">
        <v>629</v>
      </c>
      <c r="D80" t="s">
        <v>224</v>
      </c>
      <c r="AF80">
        <v>22.2</v>
      </c>
      <c r="AJ80">
        <v>22.9</v>
      </c>
      <c r="AN80">
        <v>23.5</v>
      </c>
      <c r="AS80">
        <v>27.2</v>
      </c>
      <c r="AV80">
        <v>27.7</v>
      </c>
      <c r="AW80">
        <v>27.9</v>
      </c>
      <c r="AX80">
        <v>27.6</v>
      </c>
      <c r="AY80">
        <v>28</v>
      </c>
      <c r="AZ80">
        <v>28.3</v>
      </c>
      <c r="BA80">
        <v>27.8</v>
      </c>
      <c r="BB80">
        <v>27.5</v>
      </c>
      <c r="BC80">
        <v>27.7</v>
      </c>
      <c r="BD80">
        <v>27.6</v>
      </c>
      <c r="BE80">
        <v>27.1</v>
      </c>
      <c r="BF80">
        <v>27.2</v>
      </c>
      <c r="BG80">
        <v>26.8</v>
      </c>
      <c r="BH80">
        <v>27.1</v>
      </c>
      <c r="BI80">
        <v>27.1</v>
      </c>
      <c r="BJ80">
        <v>27.4</v>
      </c>
      <c r="BK80">
        <v>27.3</v>
      </c>
      <c r="BL80">
        <v>27.7</v>
      </c>
      <c r="BM80">
        <v>27.1</v>
      </c>
      <c r="BN80">
        <v>27.7</v>
      </c>
      <c r="BO80">
        <v>27.9</v>
      </c>
      <c r="BP80">
        <v>27.4</v>
      </c>
      <c r="BS80" s="7">
        <f>[1]Data!$F$39</f>
        <v>42558.079309552661</v>
      </c>
    </row>
    <row r="81" spans="1:69" x14ac:dyDescent="0.3">
      <c r="A81" t="s">
        <v>148</v>
      </c>
      <c r="B81" t="s">
        <v>391</v>
      </c>
      <c r="C81" t="s">
        <v>629</v>
      </c>
      <c r="D81" t="s">
        <v>224</v>
      </c>
      <c r="AU81">
        <v>38.1</v>
      </c>
      <c r="BA81">
        <v>40.4</v>
      </c>
      <c r="BF81">
        <v>36.700000000000003</v>
      </c>
      <c r="BL81">
        <v>30.7</v>
      </c>
    </row>
    <row r="82" spans="1:69" x14ac:dyDescent="0.3">
      <c r="A82" t="s">
        <v>379</v>
      </c>
      <c r="B82" t="s">
        <v>625</v>
      </c>
      <c r="C82" t="s">
        <v>629</v>
      </c>
      <c r="D82" t="s">
        <v>224</v>
      </c>
      <c r="O82">
        <v>37.1</v>
      </c>
      <c r="T82">
        <v>35.9</v>
      </c>
      <c r="X82">
        <v>34</v>
      </c>
      <c r="AC82">
        <v>33.4</v>
      </c>
      <c r="AI82">
        <v>32.1</v>
      </c>
      <c r="AO82">
        <v>32</v>
      </c>
      <c r="AP82">
        <v>31.9</v>
      </c>
      <c r="AQ82">
        <v>31.7</v>
      </c>
      <c r="AR82">
        <v>32.5</v>
      </c>
      <c r="AS82">
        <v>32.6</v>
      </c>
      <c r="AT82">
        <v>32.5</v>
      </c>
      <c r="AU82">
        <v>31.8</v>
      </c>
      <c r="AV82">
        <v>31.4</v>
      </c>
      <c r="AW82">
        <v>30.6</v>
      </c>
      <c r="AX82">
        <v>29.8</v>
      </c>
      <c r="AY82">
        <v>29.7</v>
      </c>
      <c r="AZ82">
        <v>32.4</v>
      </c>
      <c r="BA82">
        <v>33</v>
      </c>
      <c r="BB82">
        <v>32.700000000000003</v>
      </c>
      <c r="BC82">
        <v>33.700000000000003</v>
      </c>
      <c r="BD82">
        <v>33.299999999999997</v>
      </c>
      <c r="BE82">
        <v>33.1</v>
      </c>
      <c r="BF82">
        <v>32.5</v>
      </c>
      <c r="BG82">
        <v>32.299999999999997</v>
      </c>
      <c r="BH82">
        <v>32.700000000000003</v>
      </c>
      <c r="BI82">
        <v>31.9</v>
      </c>
      <c r="BJ82">
        <v>31.6</v>
      </c>
      <c r="BK82">
        <v>32.4</v>
      </c>
      <c r="BL82">
        <v>31.2</v>
      </c>
      <c r="BM82">
        <v>30.7</v>
      </c>
      <c r="BN82">
        <v>31.5</v>
      </c>
      <c r="BO82">
        <v>31.2</v>
      </c>
      <c r="BP82">
        <v>31.8</v>
      </c>
    </row>
    <row r="83" spans="1:69" x14ac:dyDescent="0.3">
      <c r="A83" t="s">
        <v>343</v>
      </c>
      <c r="B83" t="s">
        <v>472</v>
      </c>
      <c r="C83" t="s">
        <v>629</v>
      </c>
      <c r="D83" t="s">
        <v>224</v>
      </c>
    </row>
    <row r="84" spans="1:69" x14ac:dyDescent="0.3">
      <c r="A84" t="s">
        <v>388</v>
      </c>
      <c r="B84" t="s">
        <v>284</v>
      </c>
      <c r="C84" t="s">
        <v>629</v>
      </c>
      <c r="D84" t="s">
        <v>224</v>
      </c>
      <c r="AX84">
        <v>42.4</v>
      </c>
      <c r="BF84">
        <v>40.1</v>
      </c>
    </row>
    <row r="85" spans="1:69" x14ac:dyDescent="0.3">
      <c r="A85" t="s">
        <v>500</v>
      </c>
      <c r="B85" t="s">
        <v>371</v>
      </c>
      <c r="C85" t="s">
        <v>629</v>
      </c>
      <c r="D85" t="s">
        <v>224</v>
      </c>
      <c r="AX85">
        <v>42.2</v>
      </c>
      <c r="BJ85">
        <v>38</v>
      </c>
    </row>
    <row r="86" spans="1:69" x14ac:dyDescent="0.3">
      <c r="A86" t="s">
        <v>667</v>
      </c>
      <c r="B86" t="s">
        <v>586</v>
      </c>
      <c r="C86" t="s">
        <v>629</v>
      </c>
      <c r="D86" t="s">
        <v>224</v>
      </c>
      <c r="M86">
        <v>26.8</v>
      </c>
      <c r="N86">
        <v>27.9</v>
      </c>
      <c r="O86">
        <v>28</v>
      </c>
      <c r="P86">
        <v>29.3</v>
      </c>
      <c r="Q86">
        <v>28.8</v>
      </c>
      <c r="R86">
        <v>28.8</v>
      </c>
      <c r="S86">
        <v>29</v>
      </c>
      <c r="T86">
        <v>27.9</v>
      </c>
      <c r="U86">
        <v>27.6</v>
      </c>
      <c r="V86">
        <v>27.1</v>
      </c>
      <c r="W86">
        <v>27.2</v>
      </c>
      <c r="X86">
        <v>27.4</v>
      </c>
      <c r="Y86">
        <v>28.5</v>
      </c>
      <c r="Z86">
        <v>29.7</v>
      </c>
      <c r="AA86">
        <v>29.9</v>
      </c>
      <c r="AB86">
        <v>29.8</v>
      </c>
      <c r="AC86">
        <v>29.2</v>
      </c>
      <c r="AD86">
        <v>30.4</v>
      </c>
      <c r="AE86">
        <v>31.9</v>
      </c>
      <c r="AF86">
        <v>33.9</v>
      </c>
      <c r="AG86">
        <v>34.299999999999997</v>
      </c>
      <c r="AH86">
        <v>33.4</v>
      </c>
      <c r="AI86">
        <v>35.700000000000003</v>
      </c>
      <c r="AJ86">
        <v>35</v>
      </c>
      <c r="AK86">
        <v>35</v>
      </c>
      <c r="AL86">
        <v>35.1</v>
      </c>
      <c r="AM86">
        <v>36</v>
      </c>
      <c r="AN86">
        <v>35.5</v>
      </c>
      <c r="AO86">
        <v>35.299999999999997</v>
      </c>
      <c r="AP86">
        <v>35.700000000000003</v>
      </c>
      <c r="AQ86">
        <v>36.6</v>
      </c>
      <c r="AR86">
        <v>36.799999999999997</v>
      </c>
      <c r="AS86">
        <v>38.799999999999997</v>
      </c>
      <c r="AT86">
        <v>37.1</v>
      </c>
      <c r="AU86">
        <v>35.1</v>
      </c>
      <c r="AV86">
        <v>34.9</v>
      </c>
      <c r="AW86">
        <v>34.799999999999997</v>
      </c>
      <c r="AX86">
        <v>35.5</v>
      </c>
      <c r="AY86">
        <v>35.9</v>
      </c>
      <c r="AZ86">
        <v>34.4</v>
      </c>
      <c r="BA86">
        <v>35.4</v>
      </c>
      <c r="BB86">
        <v>35.1</v>
      </c>
      <c r="BC86">
        <v>33.700000000000003</v>
      </c>
      <c r="BD86">
        <v>33.200000000000003</v>
      </c>
      <c r="BE86">
        <v>33.1</v>
      </c>
      <c r="BF86">
        <v>32.700000000000003</v>
      </c>
      <c r="BG86">
        <v>33.1</v>
      </c>
      <c r="BH86">
        <v>33.299999999999997</v>
      </c>
      <c r="BI86">
        <v>33.1</v>
      </c>
      <c r="BJ86">
        <v>32.6</v>
      </c>
      <c r="BK86">
        <v>33.700000000000003</v>
      </c>
      <c r="BL86">
        <v>32.799999999999997</v>
      </c>
      <c r="BM86">
        <v>32.6</v>
      </c>
      <c r="BN86">
        <v>32.4</v>
      </c>
    </row>
    <row r="87" spans="1:69" x14ac:dyDescent="0.3">
      <c r="A87" t="s">
        <v>619</v>
      </c>
      <c r="B87" t="s">
        <v>467</v>
      </c>
      <c r="C87" t="s">
        <v>629</v>
      </c>
      <c r="D87" t="s">
        <v>224</v>
      </c>
      <c r="AO87">
        <v>37.1</v>
      </c>
      <c r="AP87">
        <v>40.700000000000003</v>
      </c>
      <c r="AQ87">
        <v>41.2</v>
      </c>
      <c r="AR87">
        <v>40.1</v>
      </c>
      <c r="AS87">
        <v>40.5</v>
      </c>
      <c r="AT87">
        <v>39.6</v>
      </c>
      <c r="AU87">
        <v>37.200000000000003</v>
      </c>
      <c r="AV87">
        <v>36.6</v>
      </c>
      <c r="AW87">
        <v>36.200000000000003</v>
      </c>
      <c r="AX87">
        <v>37.4</v>
      </c>
      <c r="AY87">
        <v>36.9</v>
      </c>
      <c r="AZ87">
        <v>38.1</v>
      </c>
      <c r="BA87">
        <v>38.5</v>
      </c>
      <c r="BB87">
        <v>38.200000000000003</v>
      </c>
      <c r="BC87">
        <v>39.5</v>
      </c>
      <c r="BD87">
        <v>39.6</v>
      </c>
      <c r="BE87">
        <v>39</v>
      </c>
      <c r="BF87">
        <v>38.6</v>
      </c>
      <c r="BG87">
        <v>37.6</v>
      </c>
      <c r="BH87">
        <v>36.5</v>
      </c>
      <c r="BI87">
        <v>36.6</v>
      </c>
      <c r="BJ87">
        <v>37.9</v>
      </c>
      <c r="BK87">
        <v>36.4</v>
      </c>
      <c r="BL87">
        <v>35.9</v>
      </c>
      <c r="BM87">
        <v>34.5</v>
      </c>
      <c r="BN87">
        <v>34.200000000000003</v>
      </c>
      <c r="BO87">
        <v>33.5</v>
      </c>
      <c r="BP87">
        <v>34.799999999999997</v>
      </c>
      <c r="BQ87">
        <v>33.9</v>
      </c>
    </row>
    <row r="88" spans="1:69" x14ac:dyDescent="0.3">
      <c r="A88" t="s">
        <v>169</v>
      </c>
      <c r="B88" t="s">
        <v>550</v>
      </c>
      <c r="C88" t="s">
        <v>629</v>
      </c>
      <c r="D88" t="s">
        <v>224</v>
      </c>
      <c r="AF88">
        <v>35.299999999999997</v>
      </c>
      <c r="AG88">
        <v>36</v>
      </c>
      <c r="AJ88">
        <v>38.4</v>
      </c>
      <c r="AQ88">
        <v>40.1</v>
      </c>
      <c r="AX88">
        <v>42.8</v>
      </c>
      <c r="BE88">
        <v>42.4</v>
      </c>
      <c r="BI88">
        <v>43.5</v>
      </c>
    </row>
    <row r="89" spans="1:69" x14ac:dyDescent="0.3">
      <c r="A89" t="s">
        <v>131</v>
      </c>
      <c r="B89" t="s">
        <v>681</v>
      </c>
      <c r="C89" t="s">
        <v>629</v>
      </c>
      <c r="D89" t="s">
        <v>224</v>
      </c>
    </row>
    <row r="90" spans="1:69" x14ac:dyDescent="0.3">
      <c r="A90" t="s">
        <v>575</v>
      </c>
      <c r="B90" t="s">
        <v>570</v>
      </c>
      <c r="C90" t="s">
        <v>629</v>
      </c>
      <c r="D90" t="s">
        <v>224</v>
      </c>
      <c r="AJ90">
        <v>45.6</v>
      </c>
      <c r="AM90">
        <v>46.1</v>
      </c>
      <c r="AU90">
        <v>43</v>
      </c>
      <c r="AZ90">
        <v>39.4</v>
      </c>
      <c r="BE90">
        <v>33.700000000000003</v>
      </c>
      <c r="BK90">
        <v>29.6</v>
      </c>
    </row>
    <row r="91" spans="1:69" x14ac:dyDescent="0.3">
      <c r="A91" t="s">
        <v>25</v>
      </c>
      <c r="B91" t="s">
        <v>85</v>
      </c>
      <c r="C91" t="s">
        <v>629</v>
      </c>
      <c r="D91" t="s">
        <v>224</v>
      </c>
      <c r="AQ91">
        <v>48.3</v>
      </c>
      <c r="AV91">
        <v>47.3</v>
      </c>
      <c r="BC91">
        <v>43.6</v>
      </c>
      <c r="BH91">
        <v>35.9</v>
      </c>
      <c r="BM91">
        <v>38.799999999999997</v>
      </c>
    </row>
    <row r="92" spans="1:69" x14ac:dyDescent="0.3">
      <c r="A92" t="s">
        <v>580</v>
      </c>
      <c r="B92" t="s">
        <v>162</v>
      </c>
      <c r="C92" t="s">
        <v>629</v>
      </c>
      <c r="D92" t="s">
        <v>224</v>
      </c>
      <c r="AJ92">
        <v>55.8</v>
      </c>
      <c r="AL92">
        <v>43.6</v>
      </c>
      <c r="AU92">
        <v>35.6</v>
      </c>
      <c r="BC92">
        <v>50.6</v>
      </c>
      <c r="BK92">
        <v>34.799999999999997</v>
      </c>
      <c r="BN92">
        <v>33.4</v>
      </c>
    </row>
    <row r="93" spans="1:69" x14ac:dyDescent="0.3">
      <c r="A93" t="s">
        <v>643</v>
      </c>
      <c r="B93" t="s">
        <v>232</v>
      </c>
      <c r="C93" t="s">
        <v>629</v>
      </c>
      <c r="D93" t="s">
        <v>224</v>
      </c>
      <c r="BO93">
        <v>38.5</v>
      </c>
    </row>
    <row r="94" spans="1:69" x14ac:dyDescent="0.3">
      <c r="A94" t="s">
        <v>689</v>
      </c>
      <c r="B94" t="s">
        <v>544</v>
      </c>
      <c r="C94" t="s">
        <v>629</v>
      </c>
      <c r="D94" t="s">
        <v>224</v>
      </c>
      <c r="AN94">
        <v>37</v>
      </c>
      <c r="AS94">
        <v>34.4</v>
      </c>
      <c r="AU94">
        <v>35.5</v>
      </c>
      <c r="AV94">
        <v>32.799999999999997</v>
      </c>
      <c r="AW94">
        <v>33.6</v>
      </c>
      <c r="AX94">
        <v>34.6</v>
      </c>
      <c r="AY94">
        <v>35.1</v>
      </c>
      <c r="AZ94">
        <v>34</v>
      </c>
      <c r="BA94">
        <v>33.6</v>
      </c>
      <c r="BB94">
        <v>33.6</v>
      </c>
      <c r="BC94">
        <v>34.1</v>
      </c>
      <c r="BD94">
        <v>34.799999999999997</v>
      </c>
      <c r="BE94">
        <v>36.299999999999997</v>
      </c>
      <c r="BF94">
        <v>36.1</v>
      </c>
      <c r="BG94">
        <v>35.799999999999997</v>
      </c>
      <c r="BH94">
        <v>36</v>
      </c>
      <c r="BI94">
        <v>35</v>
      </c>
      <c r="BJ94">
        <v>34.4</v>
      </c>
      <c r="BK94">
        <v>32.9</v>
      </c>
      <c r="BL94">
        <v>33.1</v>
      </c>
      <c r="BM94">
        <v>33.6</v>
      </c>
      <c r="BN94">
        <v>32.9</v>
      </c>
      <c r="BO94">
        <v>33.4</v>
      </c>
      <c r="BP94">
        <v>33.4</v>
      </c>
    </row>
    <row r="95" spans="1:69" x14ac:dyDescent="0.3">
      <c r="A95" t="s">
        <v>75</v>
      </c>
      <c r="B95" t="s">
        <v>598</v>
      </c>
      <c r="C95" t="s">
        <v>629</v>
      </c>
      <c r="D95" t="s">
        <v>224</v>
      </c>
      <c r="BK95">
        <v>43.8</v>
      </c>
    </row>
    <row r="96" spans="1:69" x14ac:dyDescent="0.3">
      <c r="A96" t="s">
        <v>525</v>
      </c>
      <c r="B96" t="s">
        <v>661</v>
      </c>
      <c r="C96" t="s">
        <v>629</v>
      </c>
      <c r="D96" t="s">
        <v>224</v>
      </c>
    </row>
    <row r="97" spans="1:69" x14ac:dyDescent="0.3">
      <c r="A97" t="s">
        <v>265</v>
      </c>
      <c r="B97" t="s">
        <v>139</v>
      </c>
      <c r="C97" t="s">
        <v>629</v>
      </c>
      <c r="D97" t="s">
        <v>224</v>
      </c>
      <c r="AE97">
        <v>54.1</v>
      </c>
      <c r="AH97">
        <v>58.8</v>
      </c>
      <c r="AQ97">
        <v>49.4</v>
      </c>
      <c r="AS97">
        <v>54.2</v>
      </c>
      <c r="AY97">
        <v>54.5</v>
      </c>
      <c r="BG97">
        <v>48.3</v>
      </c>
      <c r="BP97">
        <v>45.2</v>
      </c>
    </row>
    <row r="98" spans="1:69" x14ac:dyDescent="0.3">
      <c r="A98" t="s">
        <v>733</v>
      </c>
      <c r="B98" t="s">
        <v>40</v>
      </c>
      <c r="C98" t="s">
        <v>629</v>
      </c>
      <c r="D98" t="s">
        <v>224</v>
      </c>
    </row>
    <row r="99" spans="1:69" x14ac:dyDescent="0.3">
      <c r="A99" t="s">
        <v>363</v>
      </c>
      <c r="B99" t="s">
        <v>532</v>
      </c>
      <c r="C99" t="s">
        <v>629</v>
      </c>
      <c r="D99" t="s">
        <v>224</v>
      </c>
      <c r="AK99">
        <v>39.5</v>
      </c>
      <c r="AQ99">
        <v>45.1</v>
      </c>
    </row>
    <row r="100" spans="1:69" x14ac:dyDescent="0.3">
      <c r="A100" t="s">
        <v>351</v>
      </c>
      <c r="B100" t="s">
        <v>533</v>
      </c>
      <c r="C100" t="s">
        <v>629</v>
      </c>
      <c r="D100" t="s">
        <v>224</v>
      </c>
    </row>
    <row r="101" spans="1:69" x14ac:dyDescent="0.3">
      <c r="A101" t="s">
        <v>272</v>
      </c>
      <c r="B101" t="s">
        <v>340</v>
      </c>
      <c r="C101" t="s">
        <v>629</v>
      </c>
      <c r="D101" t="s">
        <v>224</v>
      </c>
    </row>
    <row r="102" spans="1:69" x14ac:dyDescent="0.3">
      <c r="A102" t="s">
        <v>551</v>
      </c>
      <c r="B102" t="s">
        <v>64</v>
      </c>
      <c r="C102" t="s">
        <v>629</v>
      </c>
      <c r="D102" t="s">
        <v>224</v>
      </c>
      <c r="AH102">
        <v>55.4</v>
      </c>
      <c r="AI102">
        <v>55.9</v>
      </c>
      <c r="AJ102">
        <v>51.8</v>
      </c>
      <c r="AK102">
        <v>51.8</v>
      </c>
      <c r="AL102">
        <v>53.4</v>
      </c>
      <c r="AM102">
        <v>55</v>
      </c>
      <c r="AN102">
        <v>55.5</v>
      </c>
      <c r="AO102">
        <v>55.7</v>
      </c>
      <c r="AP102">
        <v>52.7</v>
      </c>
      <c r="AQ102">
        <v>57.3</v>
      </c>
      <c r="AR102">
        <v>55.2</v>
      </c>
      <c r="AT102">
        <v>55.4</v>
      </c>
      <c r="AU102">
        <v>55.7</v>
      </c>
      <c r="AV102">
        <v>58.1</v>
      </c>
      <c r="AW102">
        <v>58.1</v>
      </c>
      <c r="AX102">
        <v>59.5</v>
      </c>
      <c r="AY102">
        <v>57.5</v>
      </c>
      <c r="AZ102">
        <v>55.8</v>
      </c>
      <c r="BA102">
        <v>55.5</v>
      </c>
      <c r="BB102">
        <v>51.3</v>
      </c>
      <c r="BC102">
        <v>53.1</v>
      </c>
      <c r="BD102">
        <v>52.6</v>
      </c>
      <c r="BE102">
        <v>53.4</v>
      </c>
      <c r="BF102">
        <v>50</v>
      </c>
      <c r="BG102">
        <v>49.9</v>
      </c>
      <c r="BH102">
        <v>49.2</v>
      </c>
      <c r="BI102">
        <v>49.8</v>
      </c>
      <c r="BJ102">
        <v>49.4</v>
      </c>
      <c r="BK102">
        <v>48.9</v>
      </c>
      <c r="BL102">
        <v>48.2</v>
      </c>
      <c r="BP102">
        <v>46.8</v>
      </c>
      <c r="BQ102">
        <v>45.7</v>
      </c>
    </row>
    <row r="103" spans="1:69" x14ac:dyDescent="0.3">
      <c r="A103" t="s">
        <v>682</v>
      </c>
      <c r="B103" t="s">
        <v>159</v>
      </c>
      <c r="C103" t="s">
        <v>629</v>
      </c>
      <c r="D103" t="s">
        <v>224</v>
      </c>
    </row>
    <row r="104" spans="1:69" x14ac:dyDescent="0.3">
      <c r="A104" t="s">
        <v>520</v>
      </c>
      <c r="B104" t="s">
        <v>624</v>
      </c>
      <c r="C104" t="s">
        <v>629</v>
      </c>
      <c r="D104" t="s">
        <v>224</v>
      </c>
      <c r="AG104">
        <v>22.8</v>
      </c>
      <c r="AQ104">
        <v>28.7</v>
      </c>
      <c r="AR104">
        <v>27.6</v>
      </c>
      <c r="AS104">
        <v>31.3</v>
      </c>
      <c r="AT104">
        <v>31.1</v>
      </c>
      <c r="AW104">
        <v>29.7</v>
      </c>
      <c r="BA104">
        <v>33.700000000000003</v>
      </c>
      <c r="BB104">
        <v>32.6</v>
      </c>
      <c r="BC104">
        <v>32.4</v>
      </c>
      <c r="BD104">
        <v>32.299999999999997</v>
      </c>
      <c r="BE104">
        <v>32.5</v>
      </c>
      <c r="BF104">
        <v>32</v>
      </c>
      <c r="BG104">
        <v>32.1</v>
      </c>
      <c r="BH104">
        <v>31.1</v>
      </c>
      <c r="BI104">
        <v>30.9</v>
      </c>
      <c r="BJ104">
        <v>30.4</v>
      </c>
      <c r="BK104">
        <v>29.7</v>
      </c>
      <c r="BL104">
        <v>28.9</v>
      </c>
      <c r="BM104">
        <v>29.5</v>
      </c>
      <c r="BN104">
        <v>28.9</v>
      </c>
      <c r="BO104">
        <v>30</v>
      </c>
      <c r="BP104">
        <v>30.1</v>
      </c>
    </row>
    <row r="105" spans="1:69" x14ac:dyDescent="0.3">
      <c r="A105" t="s">
        <v>5</v>
      </c>
      <c r="B105" t="s">
        <v>92</v>
      </c>
      <c r="C105" t="s">
        <v>629</v>
      </c>
      <c r="D105" t="s">
        <v>224</v>
      </c>
      <c r="AT105">
        <v>59</v>
      </c>
      <c r="BE105">
        <v>41.1</v>
      </c>
    </row>
    <row r="106" spans="1:69" x14ac:dyDescent="0.3">
      <c r="A106" t="s">
        <v>52</v>
      </c>
      <c r="B106" t="s">
        <v>636</v>
      </c>
      <c r="C106" t="s">
        <v>629</v>
      </c>
      <c r="D106" t="s">
        <v>224</v>
      </c>
      <c r="AF106">
        <v>20.9</v>
      </c>
      <c r="AH106">
        <v>25</v>
      </c>
      <c r="AJ106">
        <v>29.6</v>
      </c>
      <c r="AL106">
        <v>27.9</v>
      </c>
      <c r="AM106">
        <v>33.299999999999997</v>
      </c>
      <c r="AQ106">
        <v>26.4</v>
      </c>
      <c r="AR106">
        <v>30.2</v>
      </c>
      <c r="AS106">
        <v>27.2</v>
      </c>
      <c r="AT106">
        <v>26.9</v>
      </c>
      <c r="AU106">
        <v>26.8</v>
      </c>
      <c r="AV106">
        <v>30.9</v>
      </c>
      <c r="AW106">
        <v>29.9</v>
      </c>
      <c r="AX106">
        <v>34.700000000000003</v>
      </c>
      <c r="AY106">
        <v>28.3</v>
      </c>
      <c r="AZ106">
        <v>27.9</v>
      </c>
      <c r="BA106">
        <v>27.5</v>
      </c>
      <c r="BB106">
        <v>27</v>
      </c>
      <c r="BC106">
        <v>29.4</v>
      </c>
      <c r="BD106">
        <v>29.2</v>
      </c>
      <c r="BE106">
        <v>30.8</v>
      </c>
      <c r="BF106">
        <v>31.5</v>
      </c>
      <c r="BG106">
        <v>30.9</v>
      </c>
      <c r="BH106">
        <v>30.4</v>
      </c>
      <c r="BI106">
        <v>30.3</v>
      </c>
      <c r="BJ106">
        <v>30.6</v>
      </c>
    </row>
    <row r="107" spans="1:69" x14ac:dyDescent="0.3">
      <c r="A107" t="s">
        <v>714</v>
      </c>
      <c r="B107" t="s">
        <v>144</v>
      </c>
      <c r="C107" t="s">
        <v>629</v>
      </c>
      <c r="D107" t="s">
        <v>224</v>
      </c>
    </row>
    <row r="108" spans="1:69" x14ac:dyDescent="0.3">
      <c r="A108" t="s">
        <v>79</v>
      </c>
      <c r="B108" t="s">
        <v>276</v>
      </c>
      <c r="C108" t="s">
        <v>629</v>
      </c>
      <c r="D108" t="s">
        <v>224</v>
      </c>
    </row>
    <row r="109" spans="1:69" x14ac:dyDescent="0.3">
      <c r="A109" t="s">
        <v>735</v>
      </c>
      <c r="B109" t="s">
        <v>548</v>
      </c>
      <c r="C109" t="s">
        <v>629</v>
      </c>
      <c r="D109" t="s">
        <v>224</v>
      </c>
    </row>
    <row r="110" spans="1:69" x14ac:dyDescent="0.3">
      <c r="A110" t="s">
        <v>502</v>
      </c>
      <c r="B110" t="s">
        <v>1</v>
      </c>
      <c r="C110" t="s">
        <v>629</v>
      </c>
      <c r="D110" t="s">
        <v>224</v>
      </c>
    </row>
    <row r="111" spans="1:69" x14ac:dyDescent="0.3">
      <c r="A111" t="s">
        <v>471</v>
      </c>
      <c r="B111" t="s">
        <v>478</v>
      </c>
      <c r="C111" t="s">
        <v>629</v>
      </c>
      <c r="D111" t="s">
        <v>224</v>
      </c>
      <c r="AC111">
        <v>32.299999999999997</v>
      </c>
      <c r="AF111">
        <v>30.4</v>
      </c>
      <c r="AI111">
        <v>31.1</v>
      </c>
      <c r="AL111">
        <v>31.8</v>
      </c>
      <c r="AO111">
        <v>34.200000000000003</v>
      </c>
      <c r="AQ111">
        <v>30.9</v>
      </c>
      <c r="AR111">
        <v>30.8</v>
      </c>
      <c r="AS111">
        <v>30.3</v>
      </c>
      <c r="AT111">
        <v>31.2</v>
      </c>
      <c r="AU111">
        <v>30.2</v>
      </c>
      <c r="AV111">
        <v>29.3</v>
      </c>
      <c r="AW111">
        <v>30.4</v>
      </c>
      <c r="AX111">
        <v>29.9</v>
      </c>
      <c r="AY111">
        <v>31.5</v>
      </c>
      <c r="AZ111">
        <v>33.200000000000003</v>
      </c>
      <c r="BA111">
        <v>32.6</v>
      </c>
      <c r="BB111">
        <v>33.4</v>
      </c>
      <c r="BC111">
        <v>34.6</v>
      </c>
      <c r="BD111">
        <v>37.9</v>
      </c>
      <c r="BE111">
        <v>37.1</v>
      </c>
      <c r="BF111">
        <v>38.9</v>
      </c>
      <c r="BG111">
        <v>38.799999999999997</v>
      </c>
      <c r="BH111">
        <v>38.200000000000003</v>
      </c>
      <c r="BI111">
        <v>36.9</v>
      </c>
      <c r="BJ111">
        <v>36.4</v>
      </c>
      <c r="BK111">
        <v>36.299999999999997</v>
      </c>
      <c r="BL111">
        <v>35.4</v>
      </c>
      <c r="BM111">
        <v>35.299999999999997</v>
      </c>
      <c r="BN111">
        <v>35.5</v>
      </c>
      <c r="BO111">
        <v>35.5</v>
      </c>
      <c r="BP111">
        <v>36.1</v>
      </c>
      <c r="BQ111">
        <v>34.9</v>
      </c>
    </row>
    <row r="112" spans="1:69" x14ac:dyDescent="0.3">
      <c r="A112" t="s">
        <v>729</v>
      </c>
      <c r="B112" t="s">
        <v>673</v>
      </c>
      <c r="C112" t="s">
        <v>629</v>
      </c>
      <c r="D112" t="s">
        <v>224</v>
      </c>
    </row>
    <row r="113" spans="1:71" x14ac:dyDescent="0.3">
      <c r="A113" t="s">
        <v>301</v>
      </c>
      <c r="B113" t="s">
        <v>116</v>
      </c>
      <c r="C113" t="s">
        <v>629</v>
      </c>
      <c r="D113" t="s">
        <v>224</v>
      </c>
    </row>
    <row r="114" spans="1:71" x14ac:dyDescent="0.3">
      <c r="A114" t="s">
        <v>206</v>
      </c>
      <c r="B114" t="s">
        <v>595</v>
      </c>
      <c r="C114" t="s">
        <v>629</v>
      </c>
      <c r="D114" t="s">
        <v>224</v>
      </c>
      <c r="V114">
        <v>29.7</v>
      </c>
      <c r="AB114">
        <v>27.2</v>
      </c>
      <c r="AF114">
        <v>27.5</v>
      </c>
      <c r="AL114">
        <v>26.1</v>
      </c>
      <c r="AW114">
        <v>27.7</v>
      </c>
      <c r="BB114">
        <v>27.8</v>
      </c>
      <c r="BD114">
        <v>28.8</v>
      </c>
      <c r="BO114">
        <v>25.5</v>
      </c>
    </row>
    <row r="115" spans="1:71" x14ac:dyDescent="0.3">
      <c r="A115" t="s">
        <v>519</v>
      </c>
      <c r="B115" t="s">
        <v>374</v>
      </c>
      <c r="C115" t="s">
        <v>629</v>
      </c>
      <c r="D115" t="s">
        <v>224</v>
      </c>
    </row>
    <row r="116" spans="1:71" x14ac:dyDescent="0.3">
      <c r="A116" t="s">
        <v>105</v>
      </c>
      <c r="B116" t="s">
        <v>57</v>
      </c>
      <c r="C116" t="s">
        <v>629</v>
      </c>
      <c r="D116" t="s">
        <v>224</v>
      </c>
      <c r="AF116">
        <v>35.5</v>
      </c>
      <c r="AM116">
        <v>36.9</v>
      </c>
      <c r="AN116">
        <v>37</v>
      </c>
      <c r="AO116">
        <v>35.6</v>
      </c>
      <c r="AS116">
        <v>33</v>
      </c>
      <c r="AU116">
        <v>32.299999999999997</v>
      </c>
      <c r="AV116">
        <v>32.9</v>
      </c>
      <c r="AW116">
        <v>33.6</v>
      </c>
      <c r="AX116">
        <v>33.799999999999997</v>
      </c>
      <c r="AY116">
        <v>32.700000000000003</v>
      </c>
      <c r="AZ116">
        <v>31.9</v>
      </c>
      <c r="BA116">
        <v>30.9</v>
      </c>
      <c r="BB116">
        <v>32.700000000000003</v>
      </c>
      <c r="BC116">
        <v>32.299999999999997</v>
      </c>
      <c r="BD116">
        <v>32.9</v>
      </c>
      <c r="BE116">
        <v>33.200000000000003</v>
      </c>
      <c r="BF116">
        <v>33.5</v>
      </c>
      <c r="BG116">
        <v>31.9</v>
      </c>
      <c r="BH116">
        <v>31.8</v>
      </c>
      <c r="BI116">
        <v>32.799999999999997</v>
      </c>
      <c r="BJ116">
        <v>31.4</v>
      </c>
      <c r="BK116">
        <v>30.6</v>
      </c>
      <c r="BL116">
        <v>30.3</v>
      </c>
      <c r="BM116">
        <v>29.2</v>
      </c>
      <c r="BN116">
        <v>29.4</v>
      </c>
      <c r="BO116">
        <v>29.9</v>
      </c>
      <c r="BP116">
        <v>29</v>
      </c>
    </row>
    <row r="117" spans="1:71" x14ac:dyDescent="0.3">
      <c r="A117" t="s">
        <v>419</v>
      </c>
      <c r="B117" t="s">
        <v>181</v>
      </c>
      <c r="C117" t="s">
        <v>629</v>
      </c>
      <c r="D117" t="s">
        <v>224</v>
      </c>
      <c r="AE117">
        <v>47.4</v>
      </c>
      <c r="AI117">
        <v>43.6</v>
      </c>
      <c r="AM117">
        <v>43</v>
      </c>
      <c r="AQ117">
        <v>44.1</v>
      </c>
      <c r="AX117">
        <v>43.6</v>
      </c>
      <c r="AY117">
        <v>44.8</v>
      </c>
      <c r="BB117">
        <v>42.1</v>
      </c>
      <c r="BD117">
        <v>34.700000000000003</v>
      </c>
      <c r="BE117">
        <v>34.4</v>
      </c>
      <c r="BF117">
        <v>34</v>
      </c>
      <c r="BG117">
        <v>34.799999999999997</v>
      </c>
      <c r="BH117">
        <v>35.299999999999997</v>
      </c>
      <c r="BI117">
        <v>35.9</v>
      </c>
      <c r="BJ117">
        <v>36.700000000000003</v>
      </c>
      <c r="BK117">
        <v>37.4</v>
      </c>
      <c r="BL117">
        <v>36.5</v>
      </c>
      <c r="BM117">
        <v>35.799999999999997</v>
      </c>
      <c r="BN117">
        <v>35.5</v>
      </c>
      <c r="BO117">
        <v>34.799999999999997</v>
      </c>
      <c r="BP117">
        <v>35.9</v>
      </c>
    </row>
    <row r="118" spans="1:71" x14ac:dyDescent="0.3">
      <c r="A118" t="s">
        <v>0</v>
      </c>
      <c r="B118" t="s">
        <v>538</v>
      </c>
      <c r="C118" t="s">
        <v>629</v>
      </c>
      <c r="D118" t="s">
        <v>224</v>
      </c>
      <c r="AY118">
        <v>28.6</v>
      </c>
      <c r="BE118">
        <v>29.5</v>
      </c>
      <c r="BP118">
        <v>29.8</v>
      </c>
    </row>
    <row r="119" spans="1:71" x14ac:dyDescent="0.3">
      <c r="A119" t="s">
        <v>28</v>
      </c>
      <c r="B119" t="s">
        <v>145</v>
      </c>
      <c r="C119" t="s">
        <v>629</v>
      </c>
      <c r="D119" t="s">
        <v>224</v>
      </c>
      <c r="AV119">
        <v>26.8</v>
      </c>
      <c r="AW119">
        <v>28</v>
      </c>
      <c r="AX119">
        <v>29</v>
      </c>
      <c r="AY119">
        <v>30.2</v>
      </c>
      <c r="AZ119">
        <v>29.5</v>
      </c>
      <c r="BA119">
        <v>31.8</v>
      </c>
      <c r="BB119">
        <v>28.7</v>
      </c>
      <c r="BC119">
        <v>26.2</v>
      </c>
      <c r="BD119">
        <v>26.8</v>
      </c>
      <c r="BE119">
        <v>26.8</v>
      </c>
      <c r="BF119">
        <v>25.4</v>
      </c>
      <c r="BG119">
        <v>27.8</v>
      </c>
      <c r="BH119">
        <v>26.8</v>
      </c>
      <c r="BI119">
        <v>27.2</v>
      </c>
      <c r="BJ119">
        <v>26.1</v>
      </c>
      <c r="BK119">
        <v>26.6</v>
      </c>
      <c r="BL119">
        <v>26.8</v>
      </c>
      <c r="BS119" s="8">
        <f>[1]INC_PPP_base!$M$85</f>
        <v>49170.1</v>
      </c>
    </row>
    <row r="120" spans="1:71" x14ac:dyDescent="0.3">
      <c r="A120" t="s">
        <v>485</v>
      </c>
      <c r="B120" t="s">
        <v>669</v>
      </c>
      <c r="C120" t="s">
        <v>629</v>
      </c>
      <c r="D120" t="s">
        <v>224</v>
      </c>
      <c r="X120">
        <v>36.299999999999997</v>
      </c>
      <c r="AE120">
        <v>36.5</v>
      </c>
      <c r="AK120">
        <v>35.5</v>
      </c>
      <c r="AP120">
        <v>38.1</v>
      </c>
      <c r="AT120">
        <v>38.9</v>
      </c>
      <c r="AU120">
        <v>39.6</v>
      </c>
      <c r="AV120">
        <v>40.700000000000003</v>
      </c>
      <c r="AW120">
        <v>41.5</v>
      </c>
      <c r="AX120">
        <v>42.3</v>
      </c>
      <c r="AY120">
        <v>41.6</v>
      </c>
      <c r="AZ120">
        <v>41.1</v>
      </c>
      <c r="BA120">
        <v>41.6</v>
      </c>
      <c r="BB120">
        <v>42.6</v>
      </c>
      <c r="BC120">
        <v>42.6</v>
      </c>
      <c r="BD120">
        <v>41.4</v>
      </c>
      <c r="BE120">
        <v>41.3</v>
      </c>
      <c r="BF120">
        <v>39.9</v>
      </c>
      <c r="BG120">
        <v>39.799999999999997</v>
      </c>
      <c r="BH120">
        <v>39.700000000000003</v>
      </c>
      <c r="BI120">
        <v>39</v>
      </c>
      <c r="BJ120">
        <v>38.200000000000003</v>
      </c>
      <c r="BK120">
        <v>38.6</v>
      </c>
      <c r="BL120">
        <v>38.299999999999997</v>
      </c>
      <c r="BM120">
        <v>37.799999999999997</v>
      </c>
      <c r="BN120">
        <v>37.9</v>
      </c>
    </row>
    <row r="121" spans="1:71" x14ac:dyDescent="0.3">
      <c r="A121" t="s">
        <v>174</v>
      </c>
      <c r="B121" t="s">
        <v>564</v>
      </c>
      <c r="C121" t="s">
        <v>629</v>
      </c>
      <c r="D121" t="s">
        <v>224</v>
      </c>
      <c r="V121">
        <v>34</v>
      </c>
      <c r="W121">
        <v>33.299999999999997</v>
      </c>
      <c r="X121">
        <v>33.299999999999997</v>
      </c>
      <c r="Y121">
        <v>32.9</v>
      </c>
      <c r="Z121">
        <v>31.6</v>
      </c>
      <c r="AA121">
        <v>29.2</v>
      </c>
      <c r="AB121">
        <v>29.8</v>
      </c>
      <c r="AC121">
        <v>31.3</v>
      </c>
      <c r="AE121">
        <v>31.2</v>
      </c>
      <c r="AF121">
        <v>34.200000000000003</v>
      </c>
      <c r="AH121">
        <v>32.1</v>
      </c>
      <c r="AJ121">
        <v>31</v>
      </c>
      <c r="AL121">
        <v>35.1</v>
      </c>
      <c r="AN121">
        <v>35.200000000000003</v>
      </c>
      <c r="AQ121">
        <v>36.700000000000003</v>
      </c>
      <c r="AS121">
        <v>35.200000000000003</v>
      </c>
      <c r="AU121">
        <v>34.700000000000003</v>
      </c>
      <c r="AV121">
        <v>34.9</v>
      </c>
      <c r="AW121">
        <v>34.299999999999997</v>
      </c>
      <c r="AX121">
        <v>33.799999999999997</v>
      </c>
      <c r="AY121">
        <v>33.700000000000003</v>
      </c>
      <c r="AZ121">
        <v>32.9</v>
      </c>
      <c r="BA121">
        <v>33.799999999999997</v>
      </c>
      <c r="BB121">
        <v>33.799999999999997</v>
      </c>
      <c r="BC121">
        <v>34.700000000000003</v>
      </c>
      <c r="BD121">
        <v>35.1</v>
      </c>
      <c r="BE121">
        <v>35.200000000000003</v>
      </c>
      <c r="BF121">
        <v>34.9</v>
      </c>
      <c r="BG121">
        <v>34.700000000000003</v>
      </c>
      <c r="BH121">
        <v>35.4</v>
      </c>
      <c r="BI121">
        <v>35.200000000000003</v>
      </c>
      <c r="BJ121">
        <v>35.9</v>
      </c>
      <c r="BK121">
        <v>35.200000000000003</v>
      </c>
      <c r="BL121">
        <v>34.6</v>
      </c>
      <c r="BM121">
        <v>35.200000000000003</v>
      </c>
      <c r="BN121">
        <v>34.799999999999997</v>
      </c>
      <c r="BO121">
        <v>33.700000000000003</v>
      </c>
      <c r="BP121">
        <v>34.299999999999997</v>
      </c>
    </row>
    <row r="122" spans="1:71" x14ac:dyDescent="0.3">
      <c r="A122" t="s">
        <v>126</v>
      </c>
      <c r="B122" t="s">
        <v>700</v>
      </c>
      <c r="C122" t="s">
        <v>629</v>
      </c>
      <c r="D122" t="s">
        <v>224</v>
      </c>
      <c r="AG122">
        <v>43.2</v>
      </c>
      <c r="AI122">
        <v>41.1</v>
      </c>
      <c r="AL122">
        <v>35.700000000000003</v>
      </c>
      <c r="AO122">
        <v>40.4</v>
      </c>
      <c r="AR122">
        <v>44.1</v>
      </c>
      <c r="AU122">
        <v>48.3</v>
      </c>
      <c r="AW122">
        <v>45.5</v>
      </c>
      <c r="BK122">
        <v>35.299999999999997</v>
      </c>
      <c r="BN122">
        <v>39.9</v>
      </c>
    </row>
    <row r="123" spans="1:71" x14ac:dyDescent="0.3">
      <c r="A123" t="s">
        <v>574</v>
      </c>
      <c r="B123" t="s">
        <v>309</v>
      </c>
      <c r="C123" t="s">
        <v>629</v>
      </c>
      <c r="D123" t="s">
        <v>224</v>
      </c>
      <c r="AE123">
        <v>36.1</v>
      </c>
      <c r="AK123">
        <v>43.1</v>
      </c>
      <c r="AP123">
        <v>36.4</v>
      </c>
      <c r="AU123">
        <v>37</v>
      </c>
      <c r="AY123">
        <v>33.9</v>
      </c>
      <c r="BA123">
        <v>32.6</v>
      </c>
      <c r="BC123">
        <v>33.700000000000003</v>
      </c>
    </row>
    <row r="124" spans="1:71" x14ac:dyDescent="0.3">
      <c r="A124" t="s">
        <v>732</v>
      </c>
      <c r="B124" t="s">
        <v>565</v>
      </c>
      <c r="C124" t="s">
        <v>629</v>
      </c>
      <c r="D124" t="s">
        <v>224</v>
      </c>
      <c r="BA124">
        <v>34.6</v>
      </c>
      <c r="BB124">
        <v>33</v>
      </c>
      <c r="BC124">
        <v>31.5</v>
      </c>
      <c r="BD124">
        <v>33</v>
      </c>
      <c r="BE124">
        <v>32.5</v>
      </c>
      <c r="BF124">
        <v>31.5</v>
      </c>
      <c r="BG124">
        <v>31.3</v>
      </c>
      <c r="BH124">
        <v>30.7</v>
      </c>
      <c r="BI124">
        <v>31.8</v>
      </c>
      <c r="BJ124">
        <v>31.8</v>
      </c>
      <c r="BK124">
        <v>32.9</v>
      </c>
      <c r="BL124">
        <v>33</v>
      </c>
      <c r="BM124">
        <v>32.299999999999997</v>
      </c>
    </row>
    <row r="125" spans="1:71" x14ac:dyDescent="0.3">
      <c r="A125" t="s">
        <v>83</v>
      </c>
      <c r="B125" t="s">
        <v>290</v>
      </c>
      <c r="C125" t="s">
        <v>629</v>
      </c>
      <c r="D125" t="s">
        <v>224</v>
      </c>
      <c r="AL125">
        <v>32.700000000000003</v>
      </c>
      <c r="AO125">
        <v>35.4</v>
      </c>
      <c r="AT125">
        <v>36</v>
      </c>
      <c r="AU125">
        <v>34.799999999999997</v>
      </c>
      <c r="AV125">
        <v>33.700000000000003</v>
      </c>
      <c r="AW125">
        <v>31.8</v>
      </c>
      <c r="AX125">
        <v>39.799999999999997</v>
      </c>
      <c r="AY125">
        <v>30.2</v>
      </c>
      <c r="AZ125">
        <v>30.1</v>
      </c>
      <c r="BA125">
        <v>28.5</v>
      </c>
      <c r="BB125">
        <v>28.2</v>
      </c>
      <c r="BC125">
        <v>28</v>
      </c>
      <c r="BD125">
        <v>28</v>
      </c>
      <c r="BE125">
        <v>28.2</v>
      </c>
      <c r="BF125">
        <v>27.1</v>
      </c>
      <c r="BG125">
        <v>27</v>
      </c>
      <c r="BH125">
        <v>26.8</v>
      </c>
      <c r="BI125">
        <v>27.2</v>
      </c>
      <c r="BJ125">
        <v>27.5</v>
      </c>
      <c r="BK125">
        <v>27.8</v>
      </c>
      <c r="BL125">
        <v>28</v>
      </c>
      <c r="BM125">
        <v>28.7</v>
      </c>
      <c r="BN125">
        <v>29.2</v>
      </c>
      <c r="BS125" s="7">
        <f>[1]Data!$F$58</f>
        <v>24147.473179148707</v>
      </c>
    </row>
    <row r="126" spans="1:71" x14ac:dyDescent="0.3">
      <c r="A126" t="s">
        <v>737</v>
      </c>
      <c r="B126" t="s">
        <v>694</v>
      </c>
      <c r="C126" t="s">
        <v>629</v>
      </c>
      <c r="D126" t="s">
        <v>224</v>
      </c>
      <c r="AK126">
        <v>56.9</v>
      </c>
      <c r="AM126">
        <v>43.1</v>
      </c>
      <c r="AP126">
        <v>45</v>
      </c>
      <c r="AX126">
        <v>46.4</v>
      </c>
      <c r="BH126">
        <v>40.799999999999997</v>
      </c>
      <c r="BM126">
        <v>36.200000000000003</v>
      </c>
      <c r="BN126">
        <v>38.700000000000003</v>
      </c>
      <c r="BO126">
        <v>37.700000000000003</v>
      </c>
    </row>
    <row r="127" spans="1:71" x14ac:dyDescent="0.3">
      <c r="A127" t="s">
        <v>469</v>
      </c>
      <c r="B127" t="s">
        <v>422</v>
      </c>
      <c r="C127" t="s">
        <v>629</v>
      </c>
      <c r="D127" t="s">
        <v>224</v>
      </c>
      <c r="AQ127">
        <v>46.3</v>
      </c>
      <c r="AS127">
        <v>31</v>
      </c>
      <c r="AT127">
        <v>30.2</v>
      </c>
      <c r="AU127">
        <v>30.3</v>
      </c>
      <c r="AV127">
        <v>28.7</v>
      </c>
      <c r="AW127">
        <v>34.799999999999997</v>
      </c>
      <c r="AX127">
        <v>32.6</v>
      </c>
      <c r="AY127">
        <v>37.4</v>
      </c>
      <c r="AZ127">
        <v>33.9</v>
      </c>
      <c r="BA127">
        <v>31.5</v>
      </c>
      <c r="BB127">
        <v>29.9</v>
      </c>
      <c r="BC127">
        <v>30.1</v>
      </c>
      <c r="BD127">
        <v>27.8</v>
      </c>
      <c r="BE127">
        <v>27.4</v>
      </c>
      <c r="BF127">
        <v>28.8</v>
      </c>
      <c r="BG127">
        <v>26.8</v>
      </c>
      <c r="BH127">
        <v>29</v>
      </c>
      <c r="BI127">
        <v>26.8</v>
      </c>
      <c r="BJ127">
        <v>27.3</v>
      </c>
      <c r="BK127">
        <v>27.7</v>
      </c>
      <c r="BL127">
        <v>29.7</v>
      </c>
      <c r="BM127">
        <v>29</v>
      </c>
      <c r="BN127">
        <v>28.8</v>
      </c>
      <c r="BO127">
        <v>26.4</v>
      </c>
      <c r="BP127">
        <v>27.2</v>
      </c>
      <c r="BS127" s="7">
        <f>[1]Data!$F$62</f>
        <v>4881.3143444470206</v>
      </c>
    </row>
    <row r="128" spans="1:71" x14ac:dyDescent="0.3">
      <c r="A128" t="s">
        <v>672</v>
      </c>
      <c r="B128" t="s">
        <v>707</v>
      </c>
      <c r="C128" t="s">
        <v>629</v>
      </c>
      <c r="D128" t="s">
        <v>224</v>
      </c>
    </row>
    <row r="129" spans="1:67" x14ac:dyDescent="0.3">
      <c r="A129" t="s">
        <v>634</v>
      </c>
      <c r="B129" t="s">
        <v>526</v>
      </c>
      <c r="C129" t="s">
        <v>629</v>
      </c>
      <c r="D129" t="s">
        <v>224</v>
      </c>
      <c r="AY129">
        <v>37</v>
      </c>
      <c r="BL129">
        <v>27.8</v>
      </c>
    </row>
    <row r="130" spans="1:67" x14ac:dyDescent="0.3">
      <c r="A130" t="s">
        <v>167</v>
      </c>
      <c r="B130" t="s">
        <v>392</v>
      </c>
      <c r="C130" t="s">
        <v>629</v>
      </c>
      <c r="D130" t="s">
        <v>224</v>
      </c>
    </row>
    <row r="131" spans="1:67" x14ac:dyDescent="0.3">
      <c r="A131" t="s">
        <v>196</v>
      </c>
      <c r="B131" t="s">
        <v>665</v>
      </c>
      <c r="C131" t="s">
        <v>629</v>
      </c>
      <c r="D131" t="s">
        <v>224</v>
      </c>
      <c r="AY131">
        <v>31.7</v>
      </c>
      <c r="BA131">
        <v>32.299999999999997</v>
      </c>
      <c r="BC131">
        <v>32</v>
      </c>
      <c r="BE131">
        <v>31.6</v>
      </c>
      <c r="BG131">
        <v>31.2</v>
      </c>
      <c r="BI131">
        <v>35.200000000000003</v>
      </c>
      <c r="BJ131">
        <v>34.9</v>
      </c>
      <c r="BK131">
        <v>33.700000000000003</v>
      </c>
      <c r="BL131">
        <v>33.200000000000003</v>
      </c>
      <c r="BM131">
        <v>32.700000000000003</v>
      </c>
      <c r="BN131">
        <v>32.9</v>
      </c>
    </row>
    <row r="132" spans="1:67" x14ac:dyDescent="0.3">
      <c r="A132" t="s">
        <v>722</v>
      </c>
      <c r="B132" t="s">
        <v>508</v>
      </c>
      <c r="C132" t="s">
        <v>629</v>
      </c>
      <c r="D132" t="s">
        <v>224</v>
      </c>
    </row>
    <row r="133" spans="1:67" x14ac:dyDescent="0.3">
      <c r="A133" t="s">
        <v>285</v>
      </c>
      <c r="B133" t="s">
        <v>521</v>
      </c>
      <c r="C133" t="s">
        <v>629</v>
      </c>
      <c r="D133" t="s">
        <v>224</v>
      </c>
    </row>
    <row r="134" spans="1:67" x14ac:dyDescent="0.3">
      <c r="A134" t="s">
        <v>573</v>
      </c>
      <c r="B134" t="s">
        <v>242</v>
      </c>
      <c r="C134" t="s">
        <v>629</v>
      </c>
      <c r="D134" t="s">
        <v>224</v>
      </c>
      <c r="AK134">
        <v>34.299999999999997</v>
      </c>
      <c r="AP134">
        <v>34.9</v>
      </c>
      <c r="AU134">
        <v>32.6</v>
      </c>
      <c r="AZ134">
        <v>35.4</v>
      </c>
      <c r="BE134">
        <v>36</v>
      </c>
      <c r="BK134">
        <v>38.799999999999997</v>
      </c>
    </row>
    <row r="135" spans="1:67" x14ac:dyDescent="0.3">
      <c r="A135" t="s">
        <v>445</v>
      </c>
      <c r="B135" t="s">
        <v>261</v>
      </c>
      <c r="C135" t="s">
        <v>629</v>
      </c>
      <c r="D135" t="s">
        <v>224</v>
      </c>
      <c r="BD135">
        <v>31.8</v>
      </c>
      <c r="BO135">
        <v>35.299999999999997</v>
      </c>
    </row>
    <row r="136" spans="1:67" x14ac:dyDescent="0.3">
      <c r="A136" t="s">
        <v>245</v>
      </c>
      <c r="B136" t="s">
        <v>660</v>
      </c>
      <c r="C136" t="s">
        <v>629</v>
      </c>
      <c r="D136" t="s">
        <v>224</v>
      </c>
      <c r="AZ136">
        <v>36.4</v>
      </c>
      <c r="BG136">
        <v>33.200000000000003</v>
      </c>
      <c r="BI136">
        <v>35.299999999999997</v>
      </c>
    </row>
    <row r="137" spans="1:67" x14ac:dyDescent="0.3">
      <c r="A137" t="s">
        <v>554</v>
      </c>
      <c r="B137" t="s">
        <v>664</v>
      </c>
      <c r="C137" t="s">
        <v>629</v>
      </c>
      <c r="D137" t="s">
        <v>224</v>
      </c>
    </row>
    <row r="138" spans="1:67" x14ac:dyDescent="0.3">
      <c r="A138" t="s">
        <v>514</v>
      </c>
      <c r="B138" t="s">
        <v>381</v>
      </c>
      <c r="C138" t="s">
        <v>629</v>
      </c>
      <c r="D138" t="s">
        <v>224</v>
      </c>
      <c r="AN138">
        <v>42.6</v>
      </c>
      <c r="BH138">
        <v>43.7</v>
      </c>
    </row>
    <row r="139" spans="1:67" x14ac:dyDescent="0.3">
      <c r="A139" t="s">
        <v>604</v>
      </c>
      <c r="B139" t="s">
        <v>177</v>
      </c>
      <c r="C139" t="s">
        <v>629</v>
      </c>
      <c r="D139" t="s">
        <v>224</v>
      </c>
    </row>
    <row r="140" spans="1:67" x14ac:dyDescent="0.3">
      <c r="A140" t="s">
        <v>282</v>
      </c>
      <c r="B140" t="s">
        <v>588</v>
      </c>
      <c r="C140" t="s">
        <v>629</v>
      </c>
      <c r="D140" t="s">
        <v>224</v>
      </c>
    </row>
    <row r="141" spans="1:67" x14ac:dyDescent="0.3">
      <c r="A141" t="s">
        <v>647</v>
      </c>
      <c r="B141" t="s">
        <v>69</v>
      </c>
      <c r="C141" t="s">
        <v>629</v>
      </c>
      <c r="D141" t="s">
        <v>224</v>
      </c>
    </row>
    <row r="142" spans="1:67" x14ac:dyDescent="0.3">
      <c r="A142" t="s">
        <v>614</v>
      </c>
      <c r="B142" t="s">
        <v>354</v>
      </c>
      <c r="C142" t="s">
        <v>629</v>
      </c>
      <c r="D142" t="s">
        <v>224</v>
      </c>
    </row>
    <row r="143" spans="1:67" x14ac:dyDescent="0.3">
      <c r="A143" t="s">
        <v>3</v>
      </c>
      <c r="B143" t="s">
        <v>685</v>
      </c>
      <c r="C143" t="s">
        <v>629</v>
      </c>
      <c r="D143" t="s">
        <v>224</v>
      </c>
      <c r="AD143">
        <v>32.5</v>
      </c>
      <c r="AI143">
        <v>32.4</v>
      </c>
      <c r="AN143">
        <v>35.4</v>
      </c>
      <c r="AU143">
        <v>40.200000000000003</v>
      </c>
      <c r="AY143">
        <v>39.700000000000003</v>
      </c>
      <c r="BB143">
        <v>36.1</v>
      </c>
      <c r="BE143">
        <v>38.700000000000003</v>
      </c>
      <c r="BI143">
        <v>39.299999999999997</v>
      </c>
      <c r="BL143">
        <v>37.700000000000003</v>
      </c>
    </row>
    <row r="144" spans="1:67" x14ac:dyDescent="0.3">
      <c r="A144" t="s">
        <v>372</v>
      </c>
      <c r="B144" t="s">
        <v>222</v>
      </c>
      <c r="C144" t="s">
        <v>629</v>
      </c>
      <c r="D144" t="s">
        <v>224</v>
      </c>
    </row>
    <row r="145" spans="1:71" x14ac:dyDescent="0.3">
      <c r="A145" t="s">
        <v>327</v>
      </c>
      <c r="B145" t="s">
        <v>304</v>
      </c>
      <c r="C145" t="s">
        <v>629</v>
      </c>
      <c r="D145" t="s">
        <v>224</v>
      </c>
    </row>
    <row r="146" spans="1:71" x14ac:dyDescent="0.3">
      <c r="A146" t="s">
        <v>501</v>
      </c>
      <c r="B146" t="s">
        <v>256</v>
      </c>
      <c r="C146" t="s">
        <v>629</v>
      </c>
      <c r="D146" t="s">
        <v>224</v>
      </c>
      <c r="AE146">
        <v>56</v>
      </c>
      <c r="AM146">
        <v>63</v>
      </c>
      <c r="AU146">
        <v>51.2</v>
      </c>
      <c r="BH146" s="5">
        <f>AU146+((BJ146-AU146)/(BJ$4-AU$4))*($BH$4-AU$4)</f>
        <v>45.74</v>
      </c>
      <c r="BJ146">
        <v>44.9</v>
      </c>
    </row>
    <row r="147" spans="1:71" x14ac:dyDescent="0.3">
      <c r="A147" t="s">
        <v>415</v>
      </c>
      <c r="B147" t="s">
        <v>720</v>
      </c>
      <c r="C147" t="s">
        <v>629</v>
      </c>
      <c r="D147" t="s">
        <v>224</v>
      </c>
    </row>
    <row r="148" spans="1:71" x14ac:dyDescent="0.3">
      <c r="A148" t="s">
        <v>423</v>
      </c>
      <c r="B148" t="s">
        <v>113</v>
      </c>
      <c r="C148" t="s">
        <v>629</v>
      </c>
      <c r="D148" t="s">
        <v>224</v>
      </c>
      <c r="AL148">
        <v>33.200000000000003</v>
      </c>
      <c r="AO148">
        <v>32.299999999999997</v>
      </c>
      <c r="AQ148">
        <v>32.1</v>
      </c>
      <c r="AR148">
        <v>32</v>
      </c>
      <c r="AS148">
        <v>31.7</v>
      </c>
      <c r="AT148">
        <v>32</v>
      </c>
      <c r="AU148">
        <v>31.9</v>
      </c>
      <c r="AV148">
        <v>35.5</v>
      </c>
      <c r="AW148">
        <v>37</v>
      </c>
      <c r="AX148">
        <v>35.299999999999997</v>
      </c>
      <c r="AY148">
        <v>34.4</v>
      </c>
      <c r="AZ148">
        <v>34.799999999999997</v>
      </c>
      <c r="BA148">
        <v>35.700000000000003</v>
      </c>
      <c r="BB148">
        <v>37.200000000000003</v>
      </c>
      <c r="BC148">
        <v>33.6</v>
      </c>
      <c r="BD148">
        <v>32.5</v>
      </c>
      <c r="BE148">
        <v>35.1</v>
      </c>
      <c r="BF148">
        <v>35.299999999999997</v>
      </c>
      <c r="BG148">
        <v>37.700000000000003</v>
      </c>
      <c r="BH148">
        <v>37.4</v>
      </c>
      <c r="BI148">
        <v>38.4</v>
      </c>
      <c r="BJ148">
        <v>37.299999999999997</v>
      </c>
      <c r="BK148">
        <v>35.700000000000003</v>
      </c>
      <c r="BL148">
        <v>35.299999999999997</v>
      </c>
      <c r="BM148">
        <v>36</v>
      </c>
      <c r="BN148">
        <v>36.700000000000003</v>
      </c>
      <c r="BO148">
        <v>36.6</v>
      </c>
      <c r="BP148">
        <v>36</v>
      </c>
    </row>
    <row r="149" spans="1:71" x14ac:dyDescent="0.3">
      <c r="A149" t="s">
        <v>299</v>
      </c>
      <c r="B149" t="s">
        <v>545</v>
      </c>
      <c r="C149" t="s">
        <v>629</v>
      </c>
      <c r="D149" t="s">
        <v>224</v>
      </c>
      <c r="AD149">
        <v>26.3</v>
      </c>
      <c r="AE149">
        <v>28.1</v>
      </c>
      <c r="AF149">
        <v>29.5</v>
      </c>
      <c r="AG149">
        <v>28.8</v>
      </c>
      <c r="AH149">
        <v>30.8</v>
      </c>
      <c r="AI149">
        <v>27.7</v>
      </c>
      <c r="AJ149">
        <v>27.2</v>
      </c>
      <c r="AK149">
        <v>27.3</v>
      </c>
      <c r="AL149">
        <v>27</v>
      </c>
      <c r="AM149">
        <v>28.1</v>
      </c>
      <c r="AN149">
        <v>28.3</v>
      </c>
      <c r="AO149">
        <v>29</v>
      </c>
      <c r="AP149">
        <v>29.6</v>
      </c>
      <c r="AQ149">
        <v>30.6</v>
      </c>
      <c r="AR149">
        <v>30</v>
      </c>
      <c r="AS149">
        <v>30.1</v>
      </c>
      <c r="AT149">
        <v>30.9</v>
      </c>
      <c r="AU149">
        <v>31.1</v>
      </c>
      <c r="AV149">
        <v>30.2</v>
      </c>
      <c r="AW149">
        <v>30.2</v>
      </c>
      <c r="AX149">
        <v>30.8</v>
      </c>
      <c r="AY149">
        <v>30.9</v>
      </c>
      <c r="AZ149">
        <v>31.1</v>
      </c>
      <c r="BA149">
        <v>32.6</v>
      </c>
      <c r="BB149">
        <v>31.2</v>
      </c>
      <c r="BC149">
        <v>30.5</v>
      </c>
      <c r="BD149">
        <v>32.1</v>
      </c>
      <c r="BE149">
        <v>34.299999999999997</v>
      </c>
      <c r="BF149">
        <v>32</v>
      </c>
      <c r="BG149">
        <v>31.2</v>
      </c>
      <c r="BH149">
        <v>32.9</v>
      </c>
      <c r="BI149">
        <v>31.7</v>
      </c>
      <c r="BJ149">
        <v>34.5</v>
      </c>
      <c r="BK149">
        <v>35.4</v>
      </c>
      <c r="BL149">
        <v>34.200000000000003</v>
      </c>
      <c r="BM149">
        <v>33.4</v>
      </c>
      <c r="BN149">
        <v>32.700000000000003</v>
      </c>
      <c r="BO149">
        <v>34.1</v>
      </c>
      <c r="BP149">
        <v>33.6</v>
      </c>
    </row>
    <row r="150" spans="1:71" x14ac:dyDescent="0.3">
      <c r="A150" t="s">
        <v>275</v>
      </c>
      <c r="B150" t="s">
        <v>470</v>
      </c>
      <c r="C150" t="s">
        <v>629</v>
      </c>
      <c r="D150" t="s">
        <v>224</v>
      </c>
      <c r="AL150">
        <v>27</v>
      </c>
      <c r="AN150">
        <v>31</v>
      </c>
      <c r="AO150">
        <v>31.6</v>
      </c>
      <c r="AP150">
        <v>34.4</v>
      </c>
      <c r="AQ150">
        <v>33.299999999999997</v>
      </c>
      <c r="AU150">
        <v>35.1</v>
      </c>
      <c r="AV150">
        <v>36.5</v>
      </c>
      <c r="AW150">
        <v>36.4</v>
      </c>
      <c r="AX150">
        <v>39</v>
      </c>
      <c r="AY150">
        <v>35.6</v>
      </c>
      <c r="AZ150">
        <v>37.5</v>
      </c>
      <c r="BA150">
        <v>37.200000000000003</v>
      </c>
      <c r="BB150">
        <v>35.9</v>
      </c>
      <c r="BC150">
        <v>35</v>
      </c>
      <c r="BD150">
        <v>35.799999999999997</v>
      </c>
      <c r="BE150">
        <v>35.200000000000003</v>
      </c>
      <c r="BF150">
        <v>35.5</v>
      </c>
      <c r="BG150">
        <v>35.1</v>
      </c>
      <c r="BH150">
        <v>34.200000000000003</v>
      </c>
      <c r="BI150">
        <v>34.299999999999997</v>
      </c>
      <c r="BJ150">
        <v>35.6</v>
      </c>
      <c r="BK150">
        <v>35.1</v>
      </c>
      <c r="BL150">
        <v>34.5</v>
      </c>
      <c r="BM150">
        <v>35.700000000000003</v>
      </c>
      <c r="BN150">
        <v>34.299999999999997</v>
      </c>
      <c r="BO150">
        <v>33.700000000000003</v>
      </c>
      <c r="BP150">
        <v>34</v>
      </c>
    </row>
    <row r="151" spans="1:71" x14ac:dyDescent="0.3">
      <c r="A151" t="s">
        <v>577</v>
      </c>
      <c r="B151" t="s">
        <v>305</v>
      </c>
      <c r="C151" t="s">
        <v>629</v>
      </c>
      <c r="D151" t="s">
        <v>224</v>
      </c>
    </row>
    <row r="152" spans="1:71" x14ac:dyDescent="0.3">
      <c r="A152" t="s">
        <v>405</v>
      </c>
      <c r="B152" t="s">
        <v>474</v>
      </c>
      <c r="C152" t="s">
        <v>629</v>
      </c>
      <c r="D152" t="s">
        <v>224</v>
      </c>
    </row>
    <row r="153" spans="1:71" x14ac:dyDescent="0.3">
      <c r="A153" t="s">
        <v>36</v>
      </c>
      <c r="B153" t="s">
        <v>203</v>
      </c>
      <c r="C153" t="s">
        <v>629</v>
      </c>
      <c r="D153" t="s">
        <v>224</v>
      </c>
      <c r="AC153">
        <v>36.5</v>
      </c>
      <c r="AI153">
        <v>39.200000000000003</v>
      </c>
      <c r="AQ153">
        <v>39.4</v>
      </c>
      <c r="AS153">
        <v>40.6</v>
      </c>
      <c r="AY153">
        <v>40.700000000000003</v>
      </c>
      <c r="BF153">
        <v>39.5</v>
      </c>
    </row>
    <row r="154" spans="1:71" x14ac:dyDescent="0.3">
      <c r="A154" t="s">
        <v>413</v>
      </c>
      <c r="B154" t="s">
        <v>6</v>
      </c>
      <c r="C154" t="s">
        <v>629</v>
      </c>
      <c r="D154" t="s">
        <v>224</v>
      </c>
    </row>
    <row r="155" spans="1:71" x14ac:dyDescent="0.3">
      <c r="A155" t="s">
        <v>483</v>
      </c>
      <c r="B155" t="s">
        <v>87</v>
      </c>
      <c r="C155" t="s">
        <v>629</v>
      </c>
      <c r="D155" t="s">
        <v>224</v>
      </c>
      <c r="AP155">
        <v>36.9</v>
      </c>
      <c r="AQ155">
        <v>39.5</v>
      </c>
      <c r="AR155">
        <v>42.6</v>
      </c>
      <c r="AS155">
        <v>36.4</v>
      </c>
      <c r="AT155">
        <v>38</v>
      </c>
      <c r="AU155">
        <v>35.799999999999997</v>
      </c>
      <c r="AV155">
        <v>34.9</v>
      </c>
      <c r="AW155">
        <v>35</v>
      </c>
      <c r="AX155">
        <v>36.299999999999997</v>
      </c>
      <c r="AY155">
        <v>35.4</v>
      </c>
      <c r="AZ155">
        <v>34.4</v>
      </c>
      <c r="BA155">
        <v>34.700000000000003</v>
      </c>
      <c r="BB155">
        <v>32.9</v>
      </c>
      <c r="BC155">
        <v>32.1</v>
      </c>
      <c r="BD155">
        <v>30.6</v>
      </c>
      <c r="BE155">
        <v>29.2</v>
      </c>
      <c r="BF155">
        <v>28.5</v>
      </c>
      <c r="BG155">
        <v>26.8</v>
      </c>
      <c r="BH155">
        <v>27</v>
      </c>
      <c r="BI155">
        <v>26.3</v>
      </c>
      <c r="BJ155">
        <v>25.9</v>
      </c>
      <c r="BK155">
        <v>25.7</v>
      </c>
      <c r="BL155">
        <v>26</v>
      </c>
      <c r="BM155">
        <v>25</v>
      </c>
      <c r="BN155">
        <v>25.7</v>
      </c>
      <c r="BO155">
        <v>25.9</v>
      </c>
      <c r="BP155">
        <v>26.8</v>
      </c>
      <c r="BS155" s="7">
        <f>[1]Data!$F$70</f>
        <v>8781.9201615572019</v>
      </c>
    </row>
    <row r="156" spans="1:71" x14ac:dyDescent="0.3">
      <c r="A156" t="s">
        <v>426</v>
      </c>
      <c r="B156" t="s">
        <v>16</v>
      </c>
      <c r="C156" t="s">
        <v>629</v>
      </c>
      <c r="D156" t="s">
        <v>224</v>
      </c>
      <c r="Y156">
        <v>46.8</v>
      </c>
      <c r="AL156">
        <v>45.2</v>
      </c>
      <c r="AP156">
        <v>39.4</v>
      </c>
      <c r="AR156">
        <v>38.6</v>
      </c>
      <c r="AT156">
        <v>47.4</v>
      </c>
      <c r="AX156">
        <v>39.9</v>
      </c>
      <c r="BC156">
        <v>42.4</v>
      </c>
      <c r="BE156">
        <v>42.6</v>
      </c>
      <c r="BN156">
        <v>36.799999999999997</v>
      </c>
    </row>
    <row r="157" spans="1:71" x14ac:dyDescent="0.3">
      <c r="A157" t="s">
        <v>226</v>
      </c>
      <c r="B157" t="s">
        <v>96</v>
      </c>
      <c r="C157" t="s">
        <v>629</v>
      </c>
      <c r="D157" t="s">
        <v>224</v>
      </c>
      <c r="AU157">
        <v>41.3</v>
      </c>
      <c r="BB157">
        <v>38.4</v>
      </c>
      <c r="BI157">
        <v>31.3</v>
      </c>
      <c r="BL157">
        <v>29.3</v>
      </c>
    </row>
    <row r="158" spans="1:71" x14ac:dyDescent="0.3">
      <c r="A158" t="s">
        <v>582</v>
      </c>
      <c r="B158" t="s">
        <v>163</v>
      </c>
      <c r="C158" t="s">
        <v>629</v>
      </c>
      <c r="D158" t="s">
        <v>224</v>
      </c>
    </row>
    <row r="159" spans="1:71" x14ac:dyDescent="0.3">
      <c r="A159" t="s">
        <v>243</v>
      </c>
      <c r="B159" t="s">
        <v>308</v>
      </c>
      <c r="C159" t="s">
        <v>629</v>
      </c>
      <c r="D159" t="s">
        <v>224</v>
      </c>
      <c r="AC159">
        <v>48.5</v>
      </c>
      <c r="AH159">
        <v>50.1</v>
      </c>
      <c r="AK159">
        <v>52.3</v>
      </c>
      <c r="AM159">
        <v>53.4</v>
      </c>
      <c r="AO159">
        <v>52</v>
      </c>
      <c r="AQ159">
        <v>53.3</v>
      </c>
      <c r="AS159">
        <v>53.4</v>
      </c>
      <c r="AU159">
        <v>50.6</v>
      </c>
      <c r="AW159">
        <v>50.3</v>
      </c>
      <c r="AX159">
        <v>50.9</v>
      </c>
      <c r="AY159">
        <v>49.7</v>
      </c>
      <c r="BA159">
        <v>50.8</v>
      </c>
      <c r="BC159">
        <v>47.7</v>
      </c>
      <c r="BE159">
        <v>49.6</v>
      </c>
      <c r="BG159">
        <v>48.9</v>
      </c>
      <c r="BI159">
        <v>46.9</v>
      </c>
      <c r="BK159">
        <v>46</v>
      </c>
      <c r="BM159">
        <v>44.6</v>
      </c>
      <c r="BO159">
        <v>43.5</v>
      </c>
    </row>
    <row r="160" spans="1:71" x14ac:dyDescent="0.3">
      <c r="A160" t="s">
        <v>705</v>
      </c>
      <c r="B160" t="s">
        <v>639</v>
      </c>
      <c r="C160" t="s">
        <v>629</v>
      </c>
      <c r="D160" t="s">
        <v>224</v>
      </c>
      <c r="BL160">
        <v>35.5</v>
      </c>
    </row>
    <row r="161" spans="1:71" x14ac:dyDescent="0.3">
      <c r="A161" t="s">
        <v>457</v>
      </c>
      <c r="B161" t="s">
        <v>599</v>
      </c>
      <c r="C161" t="s">
        <v>629</v>
      </c>
      <c r="D161" t="s">
        <v>224</v>
      </c>
    </row>
    <row r="162" spans="1:71" x14ac:dyDescent="0.3">
      <c r="A162" t="s">
        <v>122</v>
      </c>
      <c r="B162" t="s">
        <v>652</v>
      </c>
      <c r="C162" t="s">
        <v>629</v>
      </c>
      <c r="D162" t="s">
        <v>224</v>
      </c>
      <c r="AQ162">
        <v>28.1</v>
      </c>
      <c r="AS162">
        <v>34.299999999999997</v>
      </c>
      <c r="AU162">
        <v>38.5</v>
      </c>
      <c r="AV162">
        <v>38.700000000000003</v>
      </c>
      <c r="AW162">
        <v>38.4</v>
      </c>
      <c r="AX162">
        <v>39.299999999999997</v>
      </c>
      <c r="AY162">
        <v>42.6</v>
      </c>
      <c r="BA162">
        <v>46.1</v>
      </c>
      <c r="BB162">
        <v>42.8</v>
      </c>
      <c r="BC162">
        <v>40.1</v>
      </c>
      <c r="BD162">
        <v>39.4</v>
      </c>
      <c r="BE162">
        <v>38.1</v>
      </c>
      <c r="BF162">
        <v>36.200000000000003</v>
      </c>
      <c r="BG162">
        <v>35.200000000000003</v>
      </c>
      <c r="BH162">
        <v>35.6</v>
      </c>
      <c r="BI162">
        <v>34.5</v>
      </c>
      <c r="BJ162">
        <v>34.200000000000003</v>
      </c>
      <c r="BK162">
        <v>33</v>
      </c>
      <c r="BL162">
        <v>33.5</v>
      </c>
    </row>
    <row r="163" spans="1:71" x14ac:dyDescent="0.3">
      <c r="A163" t="s">
        <v>355</v>
      </c>
      <c r="B163" t="s">
        <v>611</v>
      </c>
      <c r="C163" t="s">
        <v>629</v>
      </c>
      <c r="D163" t="s">
        <v>224</v>
      </c>
      <c r="AM163">
        <v>50.1</v>
      </c>
      <c r="AT163">
        <v>39.9</v>
      </c>
      <c r="AY163">
        <v>38.9</v>
      </c>
      <c r="BB163">
        <v>33</v>
      </c>
      <c r="BK163">
        <v>36</v>
      </c>
      <c r="BN163">
        <v>35.700000000000003</v>
      </c>
    </row>
    <row r="164" spans="1:71" x14ac:dyDescent="0.3">
      <c r="A164" t="s">
        <v>406</v>
      </c>
      <c r="B164" t="s">
        <v>118</v>
      </c>
      <c r="C164" t="s">
        <v>629</v>
      </c>
      <c r="D164" t="s">
        <v>224</v>
      </c>
      <c r="AY164">
        <v>28</v>
      </c>
      <c r="AZ164">
        <v>29.2</v>
      </c>
      <c r="BA164">
        <v>29</v>
      </c>
      <c r="BB164">
        <v>30.2</v>
      </c>
      <c r="BC164">
        <v>29</v>
      </c>
      <c r="BD164">
        <v>29.1</v>
      </c>
      <c r="BE164">
        <v>29.4</v>
      </c>
      <c r="BF164">
        <v>28.8</v>
      </c>
      <c r="BG164">
        <v>29</v>
      </c>
      <c r="BH164">
        <v>29.4</v>
      </c>
      <c r="BI164">
        <v>29.1</v>
      </c>
      <c r="BJ164">
        <v>29.2</v>
      </c>
      <c r="BK164">
        <v>28.7</v>
      </c>
      <c r="BL164">
        <v>31</v>
      </c>
      <c r="BM164">
        <v>31.4</v>
      </c>
      <c r="BN164">
        <v>31.6</v>
      </c>
      <c r="BO164">
        <v>34.6</v>
      </c>
      <c r="BS164" s="8">
        <f>[1]INC_PPP_base!$M$116</f>
        <v>39466.300000000003</v>
      </c>
    </row>
    <row r="165" spans="1:71" x14ac:dyDescent="0.3">
      <c r="A165" t="s">
        <v>432</v>
      </c>
      <c r="B165" t="s">
        <v>68</v>
      </c>
      <c r="C165" t="s">
        <v>629</v>
      </c>
      <c r="D165" t="s">
        <v>224</v>
      </c>
      <c r="BH165">
        <v>38.1</v>
      </c>
      <c r="BJ165">
        <v>30.7</v>
      </c>
    </row>
    <row r="166" spans="1:71" x14ac:dyDescent="0.3">
      <c r="A166" t="s">
        <v>658</v>
      </c>
      <c r="B166" t="s">
        <v>552</v>
      </c>
      <c r="C166" t="s">
        <v>629</v>
      </c>
      <c r="D166" t="s">
        <v>224</v>
      </c>
    </row>
    <row r="167" spans="1:71" x14ac:dyDescent="0.3">
      <c r="A167" t="s">
        <v>411</v>
      </c>
      <c r="B167" t="s">
        <v>199</v>
      </c>
      <c r="C167" t="s">
        <v>629</v>
      </c>
      <c r="D167" t="s">
        <v>224</v>
      </c>
      <c r="AX167">
        <v>30.2</v>
      </c>
      <c r="AY167">
        <v>30</v>
      </c>
      <c r="AZ167">
        <v>31.4</v>
      </c>
      <c r="BA167">
        <v>30.5</v>
      </c>
      <c r="BB167">
        <v>31</v>
      </c>
      <c r="BC167">
        <v>28.9</v>
      </c>
      <c r="BD167">
        <v>30.8</v>
      </c>
      <c r="BE167">
        <v>41.2</v>
      </c>
      <c r="BF167">
        <v>39</v>
      </c>
      <c r="BG167">
        <v>38.799999999999997</v>
      </c>
      <c r="BH167">
        <v>39</v>
      </c>
      <c r="BI167">
        <v>38.5</v>
      </c>
      <c r="BJ167">
        <v>36.9</v>
      </c>
      <c r="BK167">
        <v>36.799999999999997</v>
      </c>
      <c r="BL167">
        <v>35.700000000000003</v>
      </c>
      <c r="BM167">
        <v>35.4</v>
      </c>
      <c r="BN167">
        <v>34.299999999999997</v>
      </c>
    </row>
    <row r="168" spans="1:71" x14ac:dyDescent="0.3">
      <c r="A168" t="s">
        <v>404</v>
      </c>
      <c r="B168" t="s">
        <v>480</v>
      </c>
      <c r="C168" t="s">
        <v>629</v>
      </c>
      <c r="D168" t="s">
        <v>224</v>
      </c>
      <c r="AN168">
        <v>33.200000000000003</v>
      </c>
      <c r="AQ168">
        <v>30.3</v>
      </c>
      <c r="AU168">
        <v>32.9</v>
      </c>
      <c r="AZ168">
        <v>35.799999999999997</v>
      </c>
      <c r="BC168">
        <v>33.1</v>
      </c>
      <c r="BD168">
        <v>33.9</v>
      </c>
      <c r="BE168">
        <v>33.799999999999997</v>
      </c>
      <c r="BG168">
        <v>32</v>
      </c>
      <c r="BI168">
        <v>32.299999999999997</v>
      </c>
      <c r="BK168">
        <v>32.700000000000003</v>
      </c>
      <c r="BO168">
        <v>31.4</v>
      </c>
    </row>
    <row r="169" spans="1:71" x14ac:dyDescent="0.3">
      <c r="A169" t="s">
        <v>183</v>
      </c>
      <c r="B169" t="s">
        <v>612</v>
      </c>
      <c r="C169" t="s">
        <v>629</v>
      </c>
      <c r="D169" t="s">
        <v>224</v>
      </c>
    </row>
    <row r="170" spans="1:71" x14ac:dyDescent="0.3">
      <c r="A170" t="s">
        <v>605</v>
      </c>
      <c r="B170" t="s">
        <v>140</v>
      </c>
      <c r="C170" t="s">
        <v>629</v>
      </c>
      <c r="D170" t="s">
        <v>224</v>
      </c>
      <c r="AO170">
        <v>53.3</v>
      </c>
      <c r="AU170">
        <v>46.9</v>
      </c>
      <c r="BA170">
        <v>45.5</v>
      </c>
      <c r="BG170">
        <v>54</v>
      </c>
      <c r="BH170" s="5">
        <f>BG170+((BL170-BG170)/(BL$4-BG$4))*($BH$4-BG$4)</f>
        <v>53.34</v>
      </c>
      <c r="BL170">
        <v>50.7</v>
      </c>
      <c r="BO170">
        <v>49.6</v>
      </c>
    </row>
    <row r="171" spans="1:71" x14ac:dyDescent="0.3">
      <c r="A171" t="s">
        <v>58</v>
      </c>
      <c r="B171" t="s">
        <v>418</v>
      </c>
      <c r="C171" t="s">
        <v>629</v>
      </c>
      <c r="D171" t="s">
        <v>224</v>
      </c>
      <c r="AF171">
        <v>43.9</v>
      </c>
      <c r="AL171">
        <v>49.5</v>
      </c>
      <c r="AN171">
        <v>37.700000000000003</v>
      </c>
      <c r="AS171">
        <v>39</v>
      </c>
      <c r="AW171">
        <v>40.200000000000003</v>
      </c>
      <c r="BA171">
        <v>35.700000000000003</v>
      </c>
      <c r="BG171">
        <v>32.6</v>
      </c>
      <c r="BL171">
        <v>32</v>
      </c>
    </row>
    <row r="172" spans="1:71" x14ac:dyDescent="0.3">
      <c r="A172" t="s">
        <v>51</v>
      </c>
      <c r="B172" t="s">
        <v>428</v>
      </c>
      <c r="C172" t="s">
        <v>629</v>
      </c>
      <c r="D172" t="s">
        <v>224</v>
      </c>
      <c r="AY172">
        <v>35.700000000000003</v>
      </c>
      <c r="BE172">
        <v>38.5</v>
      </c>
      <c r="BJ172">
        <v>36.799999999999997</v>
      </c>
    </row>
    <row r="173" spans="1:71" x14ac:dyDescent="0.3">
      <c r="A173" t="s">
        <v>542</v>
      </c>
      <c r="B173" t="s">
        <v>244</v>
      </c>
      <c r="C173" t="s">
        <v>629</v>
      </c>
      <c r="D173" t="s">
        <v>224</v>
      </c>
      <c r="AP173">
        <v>65.8</v>
      </c>
      <c r="AW173">
        <v>39.9</v>
      </c>
      <c r="BC173">
        <v>45.5</v>
      </c>
      <c r="BH173" s="5">
        <f>BC173+((BI173-BC173)/(BI$4-BC$4))*($BH$4-BC$4)</f>
        <v>44.833333333333336</v>
      </c>
      <c r="BI173">
        <v>44.7</v>
      </c>
      <c r="BL173">
        <v>38.5</v>
      </c>
    </row>
    <row r="174" spans="1:71" x14ac:dyDescent="0.3">
      <c r="A174" t="s">
        <v>451</v>
      </c>
      <c r="B174" t="s">
        <v>587</v>
      </c>
      <c r="C174" t="s">
        <v>629</v>
      </c>
      <c r="D174" t="s">
        <v>224</v>
      </c>
      <c r="AC174">
        <v>48.5</v>
      </c>
      <c r="AF174">
        <v>47</v>
      </c>
      <c r="AH174">
        <v>46.2</v>
      </c>
      <c r="AK174">
        <v>47.7</v>
      </c>
      <c r="AN174">
        <v>48.5</v>
      </c>
      <c r="AP174">
        <v>49.1</v>
      </c>
      <c r="AV174">
        <v>46.4</v>
      </c>
      <c r="AY174">
        <v>44.8</v>
      </c>
      <c r="BA174">
        <v>45.5</v>
      </c>
      <c r="BD174">
        <v>43.9</v>
      </c>
      <c r="BF174">
        <v>41.3</v>
      </c>
      <c r="BH174">
        <v>41.1</v>
      </c>
      <c r="BK174">
        <v>41.2</v>
      </c>
      <c r="BN174">
        <v>40.700000000000003</v>
      </c>
    </row>
    <row r="175" spans="1:71" x14ac:dyDescent="0.3">
      <c r="A175" t="s">
        <v>225</v>
      </c>
      <c r="B175" t="s">
        <v>662</v>
      </c>
      <c r="C175" t="s">
        <v>629</v>
      </c>
      <c r="D175" t="s">
        <v>224</v>
      </c>
    </row>
    <row r="176" spans="1:71" x14ac:dyDescent="0.3">
      <c r="A176" t="s">
        <v>156</v>
      </c>
      <c r="B176" t="s">
        <v>267</v>
      </c>
      <c r="C176" t="s">
        <v>629</v>
      </c>
      <c r="D176" t="s">
        <v>224</v>
      </c>
      <c r="AL176">
        <v>71.099999999999994</v>
      </c>
      <c r="AV176">
        <v>63.3</v>
      </c>
      <c r="BB176">
        <v>61</v>
      </c>
      <c r="BH176">
        <v>59.1</v>
      </c>
    </row>
    <row r="177" spans="1:71" x14ac:dyDescent="0.3">
      <c r="A177" t="s">
        <v>721</v>
      </c>
      <c r="B177" t="s">
        <v>197</v>
      </c>
      <c r="C177" t="s">
        <v>629</v>
      </c>
      <c r="D177" t="s">
        <v>224</v>
      </c>
    </row>
    <row r="178" spans="1:71" x14ac:dyDescent="0.3">
      <c r="A178" t="s">
        <v>180</v>
      </c>
      <c r="B178" t="s">
        <v>141</v>
      </c>
      <c r="C178" t="s">
        <v>629</v>
      </c>
      <c r="D178" t="s">
        <v>224</v>
      </c>
      <c r="AK178">
        <v>36</v>
      </c>
      <c r="AM178">
        <v>41.5</v>
      </c>
      <c r="AX178">
        <v>44.4</v>
      </c>
      <c r="AZ178">
        <v>37.299999999999997</v>
      </c>
      <c r="BD178">
        <v>31.5</v>
      </c>
      <c r="BG178">
        <v>34.299999999999997</v>
      </c>
      <c r="BK178">
        <v>37.299999999999997</v>
      </c>
      <c r="BN178">
        <v>32.9</v>
      </c>
    </row>
    <row r="179" spans="1:71" x14ac:dyDescent="0.3">
      <c r="A179" t="s">
        <v>302</v>
      </c>
      <c r="B179" t="s">
        <v>683</v>
      </c>
      <c r="C179" t="s">
        <v>629</v>
      </c>
      <c r="D179" t="s">
        <v>224</v>
      </c>
      <c r="AD179">
        <v>38.700000000000003</v>
      </c>
      <c r="AK179">
        <v>44.9</v>
      </c>
      <c r="AO179">
        <v>51.9</v>
      </c>
      <c r="AV179">
        <v>40.1</v>
      </c>
      <c r="BC179">
        <v>35.700000000000003</v>
      </c>
      <c r="BE179">
        <v>35.5</v>
      </c>
      <c r="BH179">
        <v>35.9</v>
      </c>
      <c r="BK179">
        <v>35.1</v>
      </c>
      <c r="BO179">
        <v>33.9</v>
      </c>
    </row>
    <row r="180" spans="1:71" x14ac:dyDescent="0.3">
      <c r="A180" t="s">
        <v>603</v>
      </c>
      <c r="B180" t="s">
        <v>218</v>
      </c>
      <c r="C180" t="s">
        <v>629</v>
      </c>
      <c r="D180" t="s">
        <v>224</v>
      </c>
      <c r="AL180">
        <v>57.1</v>
      </c>
      <c r="AQ180">
        <v>54.4</v>
      </c>
      <c r="AT180">
        <v>52.9</v>
      </c>
      <c r="AX180">
        <v>48.8</v>
      </c>
      <c r="BB180">
        <v>43.9</v>
      </c>
      <c r="BG180">
        <v>46.2</v>
      </c>
    </row>
    <row r="181" spans="1:71" x14ac:dyDescent="0.3">
      <c r="A181" t="s">
        <v>14</v>
      </c>
      <c r="B181" t="s">
        <v>516</v>
      </c>
      <c r="C181" t="s">
        <v>629</v>
      </c>
      <c r="D181" t="s">
        <v>224</v>
      </c>
      <c r="AB181">
        <v>28.4</v>
      </c>
      <c r="AF181">
        <v>26.8</v>
      </c>
      <c r="AI181">
        <v>31.1</v>
      </c>
      <c r="AL181">
        <v>30.4</v>
      </c>
      <c r="AR181">
        <v>28.1</v>
      </c>
      <c r="AW181">
        <v>29.8</v>
      </c>
      <c r="AX181">
        <v>29</v>
      </c>
      <c r="AY181">
        <v>30</v>
      </c>
      <c r="AZ181">
        <v>29.6</v>
      </c>
      <c r="BA181">
        <v>29.3</v>
      </c>
      <c r="BB181">
        <v>27.9</v>
      </c>
      <c r="BC181">
        <v>27.8</v>
      </c>
      <c r="BD181">
        <v>27.8</v>
      </c>
      <c r="BE181">
        <v>27.6</v>
      </c>
      <c r="BF181">
        <v>28.1</v>
      </c>
      <c r="BG181">
        <v>28.6</v>
      </c>
      <c r="BH181">
        <v>28.2</v>
      </c>
      <c r="BI181">
        <v>28.2</v>
      </c>
      <c r="BJ181">
        <v>28.5</v>
      </c>
      <c r="BK181">
        <v>28.1</v>
      </c>
      <c r="BL181">
        <v>29.2</v>
      </c>
      <c r="BM181">
        <v>26</v>
      </c>
      <c r="BN181">
        <v>25.7</v>
      </c>
      <c r="BS181" s="7">
        <f>[1]Data!$F$77</f>
        <v>50121.819352529761</v>
      </c>
    </row>
    <row r="182" spans="1:71" x14ac:dyDescent="0.3">
      <c r="A182" t="s">
        <v>678</v>
      </c>
      <c r="B182" t="s">
        <v>596</v>
      </c>
      <c r="C182" t="s">
        <v>629</v>
      </c>
      <c r="D182" t="s">
        <v>224</v>
      </c>
      <c r="X182">
        <v>26.9</v>
      </c>
      <c r="AE182">
        <v>24.6</v>
      </c>
      <c r="AJ182">
        <v>25.2</v>
      </c>
      <c r="AN182">
        <v>26</v>
      </c>
      <c r="AS182">
        <v>27.4</v>
      </c>
      <c r="AV182">
        <v>27.6</v>
      </c>
      <c r="AW182">
        <v>31.6</v>
      </c>
      <c r="AX182">
        <v>30.6</v>
      </c>
      <c r="AY182">
        <v>26.4</v>
      </c>
      <c r="AZ182">
        <v>27.1</v>
      </c>
      <c r="BA182">
        <v>27</v>
      </c>
      <c r="BB182">
        <v>26.2</v>
      </c>
      <c r="BC182">
        <v>25.7</v>
      </c>
      <c r="BD182">
        <v>25.3</v>
      </c>
      <c r="BE182">
        <v>25.7</v>
      </c>
      <c r="BF182">
        <v>26.4</v>
      </c>
      <c r="BG182">
        <v>26.8</v>
      </c>
      <c r="BH182">
        <v>27.5</v>
      </c>
      <c r="BI182">
        <v>28.5</v>
      </c>
      <c r="BJ182">
        <v>27</v>
      </c>
      <c r="BK182">
        <v>27.6</v>
      </c>
      <c r="BL182">
        <v>27.7</v>
      </c>
      <c r="BM182">
        <v>28.4</v>
      </c>
      <c r="BN182">
        <v>29.1</v>
      </c>
      <c r="BO182">
        <v>26.9</v>
      </c>
      <c r="BP182">
        <v>26.5</v>
      </c>
      <c r="BS182" s="7">
        <f>[1]Data!$F$82</f>
        <v>61002.101898832065</v>
      </c>
    </row>
    <row r="183" spans="1:71" x14ac:dyDescent="0.3">
      <c r="A183" t="s">
        <v>214</v>
      </c>
      <c r="B183" t="s">
        <v>719</v>
      </c>
      <c r="C183" t="s">
        <v>629</v>
      </c>
      <c r="D183" t="s">
        <v>224</v>
      </c>
      <c r="AC183">
        <v>30.1</v>
      </c>
      <c r="AN183">
        <v>35.200000000000003</v>
      </c>
      <c r="AV183">
        <v>43.8</v>
      </c>
      <c r="BC183">
        <v>32.799999999999997</v>
      </c>
      <c r="BO183">
        <v>30</v>
      </c>
    </row>
    <row r="184" spans="1:71" x14ac:dyDescent="0.3">
      <c r="A184" t="s">
        <v>104</v>
      </c>
      <c r="B184" t="s">
        <v>269</v>
      </c>
      <c r="C184" t="s">
        <v>629</v>
      </c>
      <c r="D184" t="s">
        <v>224</v>
      </c>
      <c r="BE184">
        <v>32.4</v>
      </c>
    </row>
    <row r="185" spans="1:71" x14ac:dyDescent="0.3">
      <c r="A185" t="s">
        <v>560</v>
      </c>
      <c r="B185" t="s">
        <v>293</v>
      </c>
      <c r="C185" t="s">
        <v>629</v>
      </c>
      <c r="D185" t="s">
        <v>224</v>
      </c>
    </row>
    <row r="186" spans="1:71" x14ac:dyDescent="0.3">
      <c r="A186" t="s">
        <v>342</v>
      </c>
      <c r="B186" t="s">
        <v>651</v>
      </c>
      <c r="C186" t="s">
        <v>629</v>
      </c>
      <c r="D186" t="s">
        <v>224</v>
      </c>
    </row>
    <row r="187" spans="1:71" x14ac:dyDescent="0.3">
      <c r="A187" t="s">
        <v>695</v>
      </c>
      <c r="B187" t="s">
        <v>566</v>
      </c>
      <c r="C187" t="s">
        <v>629</v>
      </c>
      <c r="D187" t="s">
        <v>224</v>
      </c>
    </row>
    <row r="188" spans="1:71" x14ac:dyDescent="0.3">
      <c r="A188" t="s">
        <v>693</v>
      </c>
      <c r="B188" t="s">
        <v>420</v>
      </c>
      <c r="C188" t="s">
        <v>629</v>
      </c>
      <c r="D188" t="s">
        <v>224</v>
      </c>
    </row>
    <row r="189" spans="1:71" x14ac:dyDescent="0.3">
      <c r="A189" t="s">
        <v>738</v>
      </c>
      <c r="B189" t="s">
        <v>134</v>
      </c>
      <c r="C189" t="s">
        <v>629</v>
      </c>
      <c r="D189" t="s">
        <v>224</v>
      </c>
      <c r="AF189">
        <v>33.299999999999997</v>
      </c>
      <c r="AI189">
        <v>33.200000000000003</v>
      </c>
      <c r="AO189">
        <v>28.7</v>
      </c>
      <c r="AQ189">
        <v>33.1</v>
      </c>
      <c r="AT189">
        <v>28.7</v>
      </c>
      <c r="AW189">
        <v>30.9</v>
      </c>
      <c r="AX189">
        <v>31.3</v>
      </c>
      <c r="AZ189">
        <v>29.7</v>
      </c>
      <c r="BC189">
        <v>28.8</v>
      </c>
      <c r="BD189">
        <v>29.7</v>
      </c>
      <c r="BF189">
        <v>29.5</v>
      </c>
      <c r="BH189">
        <v>31.3</v>
      </c>
      <c r="BK189">
        <v>29.6</v>
      </c>
    </row>
    <row r="190" spans="1:71" x14ac:dyDescent="0.3">
      <c r="A190" t="s">
        <v>540</v>
      </c>
      <c r="B190" t="s">
        <v>464</v>
      </c>
      <c r="C190" t="s">
        <v>629</v>
      </c>
      <c r="D190" t="s">
        <v>224</v>
      </c>
      <c r="X190">
        <v>48.7</v>
      </c>
      <c r="AH190">
        <v>58.5</v>
      </c>
      <c r="AJ190">
        <v>58</v>
      </c>
      <c r="AN190">
        <v>57.6</v>
      </c>
      <c r="AP190">
        <v>58.1</v>
      </c>
      <c r="AQ190">
        <v>57.3</v>
      </c>
      <c r="AR190">
        <v>56.3</v>
      </c>
      <c r="AS190">
        <v>56.6</v>
      </c>
      <c r="AT190">
        <v>56.7</v>
      </c>
      <c r="AU190">
        <v>56.1</v>
      </c>
      <c r="AV190">
        <v>55.6</v>
      </c>
      <c r="AW190">
        <v>54.8</v>
      </c>
      <c r="AX190">
        <v>53.8</v>
      </c>
      <c r="AY190">
        <v>54.6</v>
      </c>
      <c r="AZ190">
        <v>52.7</v>
      </c>
      <c r="BA190">
        <v>52.7</v>
      </c>
      <c r="BB190">
        <v>51.8</v>
      </c>
      <c r="BC190">
        <v>51.6</v>
      </c>
      <c r="BD190">
        <v>51.3</v>
      </c>
      <c r="BE190">
        <v>51.7</v>
      </c>
      <c r="BF190">
        <v>51.5</v>
      </c>
      <c r="BG190">
        <v>50.5</v>
      </c>
      <c r="BH190">
        <v>50.8</v>
      </c>
      <c r="BI190">
        <v>50.4</v>
      </c>
      <c r="BJ190">
        <v>49.9</v>
      </c>
      <c r="BK190">
        <v>49.2</v>
      </c>
      <c r="BL190">
        <v>49.8</v>
      </c>
      <c r="BN190">
        <v>50.9</v>
      </c>
      <c r="BP190">
        <v>48.9</v>
      </c>
      <c r="BQ190">
        <v>49.7</v>
      </c>
    </row>
    <row r="191" spans="1:71" x14ac:dyDescent="0.3">
      <c r="A191" t="s">
        <v>494</v>
      </c>
      <c r="B191" t="s">
        <v>294</v>
      </c>
      <c r="C191" t="s">
        <v>629</v>
      </c>
      <c r="D191" t="s">
        <v>224</v>
      </c>
      <c r="AD191">
        <v>45.6</v>
      </c>
      <c r="AM191">
        <v>44</v>
      </c>
      <c r="AP191">
        <v>53.3</v>
      </c>
      <c r="AQ191">
        <v>55.1</v>
      </c>
      <c r="AR191">
        <v>54.8</v>
      </c>
      <c r="AS191">
        <v>49.1</v>
      </c>
      <c r="AT191">
        <v>51.3</v>
      </c>
      <c r="AU191">
        <v>53.6</v>
      </c>
      <c r="AV191">
        <v>53.1</v>
      </c>
      <c r="AW191">
        <v>49.9</v>
      </c>
      <c r="AX191">
        <v>50.4</v>
      </c>
      <c r="AY191">
        <v>50.3</v>
      </c>
      <c r="AZ191">
        <v>50</v>
      </c>
      <c r="BA191">
        <v>47.5</v>
      </c>
      <c r="BB191">
        <v>47</v>
      </c>
      <c r="BC191">
        <v>45.5</v>
      </c>
      <c r="BD191">
        <v>44.7</v>
      </c>
      <c r="BE191">
        <v>44.4</v>
      </c>
      <c r="BF191">
        <v>43.9</v>
      </c>
      <c r="BG191">
        <v>43.1</v>
      </c>
      <c r="BH191">
        <v>43.4</v>
      </c>
      <c r="BI191">
        <v>43.6</v>
      </c>
      <c r="BJ191">
        <v>43.3</v>
      </c>
      <c r="BK191">
        <v>42.4</v>
      </c>
      <c r="BL191">
        <v>41.5</v>
      </c>
      <c r="BM191">
        <v>43.7</v>
      </c>
      <c r="BN191">
        <v>40.1</v>
      </c>
      <c r="BO191">
        <v>40.299999999999997</v>
      </c>
      <c r="BP191">
        <v>40.700000000000003</v>
      </c>
      <c r="BQ191">
        <v>40.1</v>
      </c>
    </row>
    <row r="192" spans="1:71" x14ac:dyDescent="0.3">
      <c r="A192" t="s">
        <v>283</v>
      </c>
      <c r="B192" t="s">
        <v>579</v>
      </c>
      <c r="C192" t="s">
        <v>629</v>
      </c>
      <c r="D192" t="s">
        <v>224</v>
      </c>
      <c r="AD192">
        <v>41</v>
      </c>
      <c r="AG192">
        <v>40.700000000000003</v>
      </c>
      <c r="AJ192">
        <v>43.8</v>
      </c>
      <c r="AM192">
        <v>42.9</v>
      </c>
      <c r="AP192">
        <v>46</v>
      </c>
      <c r="AS192">
        <v>47.7</v>
      </c>
      <c r="AV192">
        <v>46.6</v>
      </c>
      <c r="AY192">
        <v>47.2</v>
      </c>
      <c r="BB192">
        <v>46.3</v>
      </c>
      <c r="BE192">
        <v>46.5</v>
      </c>
      <c r="BH192">
        <v>44.6</v>
      </c>
      <c r="BK192">
        <v>42.3</v>
      </c>
      <c r="BN192">
        <v>40.700000000000003</v>
      </c>
      <c r="BP192">
        <v>39.299999999999997</v>
      </c>
    </row>
    <row r="193" spans="1:69" x14ac:dyDescent="0.3">
      <c r="A193" t="s">
        <v>677</v>
      </c>
      <c r="B193" t="s">
        <v>382</v>
      </c>
      <c r="C193" t="s">
        <v>629</v>
      </c>
      <c r="D193" t="s">
        <v>224</v>
      </c>
    </row>
    <row r="194" spans="1:69" x14ac:dyDescent="0.3">
      <c r="A194" t="s">
        <v>453</v>
      </c>
      <c r="B194" t="s">
        <v>259</v>
      </c>
      <c r="C194" t="s">
        <v>629</v>
      </c>
      <c r="D194" t="s">
        <v>224</v>
      </c>
      <c r="AO194">
        <v>45.8</v>
      </c>
      <c r="BB194">
        <v>41.9</v>
      </c>
    </row>
    <row r="195" spans="1:69" x14ac:dyDescent="0.3">
      <c r="A195" t="s">
        <v>74</v>
      </c>
      <c r="B195" t="s">
        <v>42</v>
      </c>
      <c r="C195" t="s">
        <v>629</v>
      </c>
      <c r="D195" t="s">
        <v>224</v>
      </c>
      <c r="AD195">
        <v>25.1</v>
      </c>
      <c r="AE195">
        <v>28</v>
      </c>
      <c r="AF195">
        <v>25.5</v>
      </c>
      <c r="AH195">
        <v>26.8</v>
      </c>
      <c r="AK195">
        <v>29.3</v>
      </c>
      <c r="AL195">
        <v>26.7</v>
      </c>
      <c r="AN195">
        <v>34.6</v>
      </c>
      <c r="AO195">
        <v>32.6</v>
      </c>
      <c r="AQ195">
        <v>32.299999999999997</v>
      </c>
      <c r="AR195">
        <v>32.299999999999997</v>
      </c>
      <c r="AS195">
        <v>33</v>
      </c>
      <c r="AT195">
        <v>32.799999999999997</v>
      </c>
      <c r="AU195">
        <v>34.1</v>
      </c>
      <c r="AV195">
        <v>34.9</v>
      </c>
      <c r="AW195">
        <v>38</v>
      </c>
      <c r="AX195">
        <v>35.799999999999997</v>
      </c>
      <c r="AY195">
        <v>34.700000000000003</v>
      </c>
      <c r="AZ195">
        <v>34</v>
      </c>
      <c r="BA195">
        <v>33.5</v>
      </c>
      <c r="BB195">
        <v>33.4</v>
      </c>
      <c r="BC195">
        <v>33.200000000000003</v>
      </c>
      <c r="BD195">
        <v>33.200000000000003</v>
      </c>
      <c r="BE195">
        <v>33</v>
      </c>
      <c r="BF195">
        <v>33.1</v>
      </c>
      <c r="BG195">
        <v>32.799999999999997</v>
      </c>
      <c r="BH195">
        <v>31.8</v>
      </c>
      <c r="BI195">
        <v>31.2</v>
      </c>
      <c r="BJ195">
        <v>29.7</v>
      </c>
      <c r="BK195">
        <v>30.2</v>
      </c>
      <c r="BL195">
        <v>28.8</v>
      </c>
      <c r="BM195">
        <v>28.5</v>
      </c>
      <c r="BN195">
        <v>28.5</v>
      </c>
      <c r="BO195">
        <v>28.9</v>
      </c>
      <c r="BP195">
        <v>28.5</v>
      </c>
    </row>
    <row r="196" spans="1:69" x14ac:dyDescent="0.3">
      <c r="A196" t="s">
        <v>235</v>
      </c>
      <c r="B196" t="s">
        <v>292</v>
      </c>
      <c r="C196" t="s">
        <v>629</v>
      </c>
      <c r="D196" t="s">
        <v>224</v>
      </c>
    </row>
    <row r="197" spans="1:69" x14ac:dyDescent="0.3">
      <c r="A197" t="s">
        <v>266</v>
      </c>
      <c r="B197" t="s">
        <v>684</v>
      </c>
      <c r="C197" t="s">
        <v>629</v>
      </c>
      <c r="D197" t="s">
        <v>224</v>
      </c>
    </row>
    <row r="198" spans="1:69" x14ac:dyDescent="0.3">
      <c r="A198" t="s">
        <v>524</v>
      </c>
      <c r="B198" t="s">
        <v>59</v>
      </c>
      <c r="C198" t="s">
        <v>629</v>
      </c>
      <c r="D198" t="s">
        <v>224</v>
      </c>
    </row>
    <row r="199" spans="1:69" x14ac:dyDescent="0.3">
      <c r="A199" t="s">
        <v>433</v>
      </c>
      <c r="B199" t="s">
        <v>191</v>
      </c>
      <c r="C199" t="s">
        <v>629</v>
      </c>
      <c r="D199" t="s">
        <v>224</v>
      </c>
      <c r="AV199">
        <v>38.799999999999997</v>
      </c>
      <c r="AW199">
        <v>38.9</v>
      </c>
      <c r="AX199">
        <v>38.5</v>
      </c>
      <c r="AY199">
        <v>38.1</v>
      </c>
      <c r="AZ199">
        <v>36.799999999999997</v>
      </c>
      <c r="BA199">
        <v>36.6</v>
      </c>
      <c r="BB199">
        <v>34.9</v>
      </c>
      <c r="BC199">
        <v>35.799999999999997</v>
      </c>
      <c r="BD199">
        <v>36.299999999999997</v>
      </c>
      <c r="BE199">
        <v>36</v>
      </c>
      <c r="BF199">
        <v>36.200000000000003</v>
      </c>
      <c r="BG199">
        <v>35.6</v>
      </c>
      <c r="BH199">
        <v>35.5</v>
      </c>
      <c r="BI199">
        <v>35.200000000000003</v>
      </c>
      <c r="BJ199">
        <v>33.799999999999997</v>
      </c>
      <c r="BK199">
        <v>33.5</v>
      </c>
      <c r="BL199">
        <v>32.799999999999997</v>
      </c>
      <c r="BM199">
        <v>34.700000000000003</v>
      </c>
      <c r="BN199">
        <v>34.6</v>
      </c>
      <c r="BO199">
        <v>36.299999999999997</v>
      </c>
      <c r="BP199">
        <v>33.9</v>
      </c>
    </row>
    <row r="200" spans="1:69" x14ac:dyDescent="0.3">
      <c r="A200" t="s">
        <v>493</v>
      </c>
      <c r="B200" t="s">
        <v>71</v>
      </c>
      <c r="C200" t="s">
        <v>629</v>
      </c>
      <c r="D200" t="s">
        <v>224</v>
      </c>
      <c r="AI200">
        <v>40.799999999999997</v>
      </c>
      <c r="AN200">
        <v>58.1</v>
      </c>
      <c r="AP200">
        <v>54.9</v>
      </c>
      <c r="AR200">
        <v>54.6</v>
      </c>
      <c r="AT200">
        <v>54.6</v>
      </c>
      <c r="AU200">
        <v>57.3</v>
      </c>
      <c r="AV200">
        <v>54.9</v>
      </c>
      <c r="AW200">
        <v>52.3</v>
      </c>
      <c r="AX200">
        <v>51.4</v>
      </c>
      <c r="AY200">
        <v>53</v>
      </c>
      <c r="AZ200">
        <v>53</v>
      </c>
      <c r="BA200">
        <v>50.7</v>
      </c>
      <c r="BB200">
        <v>49.1</v>
      </c>
      <c r="BC200">
        <v>51</v>
      </c>
      <c r="BD200">
        <v>52.3</v>
      </c>
      <c r="BE200">
        <v>47.6</v>
      </c>
      <c r="BF200">
        <v>47.9</v>
      </c>
      <c r="BG200">
        <v>50.7</v>
      </c>
      <c r="BH200">
        <v>47.6</v>
      </c>
      <c r="BI200">
        <v>47.9</v>
      </c>
      <c r="BJ200">
        <v>48.5</v>
      </c>
      <c r="BK200">
        <v>46</v>
      </c>
      <c r="BL200">
        <v>45.7</v>
      </c>
      <c r="BM200">
        <v>43.5</v>
      </c>
      <c r="BN200">
        <v>42.9</v>
      </c>
      <c r="BO200">
        <v>44.6</v>
      </c>
      <c r="BP200">
        <v>44.2</v>
      </c>
      <c r="BQ200">
        <v>44.2</v>
      </c>
    </row>
    <row r="201" spans="1:69" x14ac:dyDescent="0.3">
      <c r="A201" t="s">
        <v>86</v>
      </c>
      <c r="B201" t="s">
        <v>198</v>
      </c>
      <c r="C201" t="s">
        <v>629</v>
      </c>
      <c r="D201" t="s">
        <v>224</v>
      </c>
      <c r="AW201">
        <v>34</v>
      </c>
      <c r="AX201">
        <v>34.700000000000003</v>
      </c>
      <c r="AY201">
        <v>34</v>
      </c>
      <c r="AZ201">
        <v>35.6</v>
      </c>
      <c r="BB201">
        <v>34.5</v>
      </c>
      <c r="BC201">
        <v>35.299999999999997</v>
      </c>
      <c r="BD201">
        <v>34.4</v>
      </c>
      <c r="BI201">
        <v>33.700000000000003</v>
      </c>
      <c r="BP201">
        <v>36.4</v>
      </c>
    </row>
    <row r="202" spans="1:69" x14ac:dyDescent="0.3">
      <c r="A202" t="s">
        <v>130</v>
      </c>
      <c r="B202" t="s">
        <v>208</v>
      </c>
      <c r="C202" t="s">
        <v>629</v>
      </c>
      <c r="D202" t="s">
        <v>224</v>
      </c>
    </row>
    <row r="203" spans="1:69" x14ac:dyDescent="0.3">
      <c r="A203" t="s">
        <v>591</v>
      </c>
      <c r="B203" t="s">
        <v>278</v>
      </c>
      <c r="C203" t="s">
        <v>629</v>
      </c>
      <c r="D203" t="s">
        <v>224</v>
      </c>
    </row>
    <row r="204" spans="1:69" x14ac:dyDescent="0.3">
      <c r="A204" t="s">
        <v>362</v>
      </c>
      <c r="B204" t="s">
        <v>576</v>
      </c>
      <c r="C204" t="s">
        <v>629</v>
      </c>
      <c r="D204" t="s">
        <v>224</v>
      </c>
    </row>
    <row r="205" spans="1:69" x14ac:dyDescent="0.3">
      <c r="A205" t="s">
        <v>613</v>
      </c>
      <c r="B205" t="s">
        <v>24</v>
      </c>
      <c r="C205" t="s">
        <v>629</v>
      </c>
      <c r="D205" t="s">
        <v>224</v>
      </c>
      <c r="BJ205">
        <v>35.1</v>
      </c>
    </row>
    <row r="206" spans="1:69" x14ac:dyDescent="0.3">
      <c r="A206" t="s">
        <v>553</v>
      </c>
      <c r="B206" t="s">
        <v>331</v>
      </c>
      <c r="C206" t="s">
        <v>629</v>
      </c>
      <c r="D206" t="s">
        <v>224</v>
      </c>
      <c r="AH206">
        <v>23.3</v>
      </c>
      <c r="AK206">
        <v>25.5</v>
      </c>
      <c r="AM206">
        <v>28.2</v>
      </c>
      <c r="AN206">
        <v>31.2</v>
      </c>
      <c r="AP206">
        <v>30.5</v>
      </c>
      <c r="AQ206">
        <v>31.1</v>
      </c>
      <c r="AR206">
        <v>29.4</v>
      </c>
      <c r="AS206">
        <v>29.3</v>
      </c>
      <c r="AT206">
        <v>29.4</v>
      </c>
      <c r="AU206">
        <v>30.2</v>
      </c>
      <c r="AV206">
        <v>29.9</v>
      </c>
      <c r="AW206">
        <v>30</v>
      </c>
      <c r="AX206">
        <v>29.8</v>
      </c>
      <c r="AY206">
        <v>39.6</v>
      </c>
      <c r="AZ206">
        <v>37.5</v>
      </c>
      <c r="BA206">
        <v>36.4</v>
      </c>
      <c r="BB206">
        <v>35.6</v>
      </c>
      <c r="BC206">
        <v>35.5</v>
      </c>
      <c r="BD206">
        <v>35.9</v>
      </c>
      <c r="BE206">
        <v>36.5</v>
      </c>
      <c r="BF206">
        <v>36.9</v>
      </c>
      <c r="BG206">
        <v>36</v>
      </c>
      <c r="BH206">
        <v>35.9</v>
      </c>
      <c r="BI206">
        <v>34.4</v>
      </c>
      <c r="BJ206">
        <v>36</v>
      </c>
      <c r="BK206">
        <v>35.799999999999997</v>
      </c>
      <c r="BL206">
        <v>34.799999999999997</v>
      </c>
      <c r="BM206">
        <v>34.6</v>
      </c>
      <c r="BN206">
        <v>33.9</v>
      </c>
      <c r="BO206">
        <v>32.299999999999997</v>
      </c>
      <c r="BP206">
        <v>29.8</v>
      </c>
    </row>
    <row r="207" spans="1:69" x14ac:dyDescent="0.3">
      <c r="A207" t="s">
        <v>2</v>
      </c>
      <c r="B207" t="s">
        <v>353</v>
      </c>
      <c r="C207" t="s">
        <v>629</v>
      </c>
      <c r="D207" t="s">
        <v>224</v>
      </c>
      <c r="AL207">
        <v>45.4</v>
      </c>
      <c r="AO207">
        <v>46.1</v>
      </c>
      <c r="AP207">
        <v>38.4</v>
      </c>
      <c r="AQ207">
        <v>38.1</v>
      </c>
      <c r="AR207">
        <v>37.4</v>
      </c>
      <c r="AS207">
        <v>37.1</v>
      </c>
      <c r="AT207">
        <v>36.9</v>
      </c>
      <c r="AU207">
        <v>37.299999999999997</v>
      </c>
      <c r="AV207">
        <v>40</v>
      </c>
      <c r="AW207">
        <v>40.299999999999997</v>
      </c>
      <c r="AX207">
        <v>41.3</v>
      </c>
      <c r="AY207">
        <v>41</v>
      </c>
      <c r="AZ207">
        <v>42.3</v>
      </c>
      <c r="BA207">
        <v>41.6</v>
      </c>
      <c r="BB207">
        <v>39.799999999999997</v>
      </c>
      <c r="BC207">
        <v>39.5</v>
      </c>
      <c r="BD207">
        <v>39.700000000000003</v>
      </c>
      <c r="BE207">
        <v>40.700000000000003</v>
      </c>
      <c r="BF207">
        <v>40.9</v>
      </c>
      <c r="BG207">
        <v>36.9</v>
      </c>
      <c r="BH207">
        <v>36.5</v>
      </c>
      <c r="BI207">
        <v>36.700000000000003</v>
      </c>
      <c r="BJ207">
        <v>35.5</v>
      </c>
      <c r="BK207">
        <v>35.299999999999997</v>
      </c>
      <c r="BL207">
        <v>35.700000000000003</v>
      </c>
      <c r="BM207">
        <v>33.700000000000003</v>
      </c>
      <c r="BN207">
        <v>35.1</v>
      </c>
      <c r="BO207">
        <v>33.9</v>
      </c>
      <c r="BP207">
        <v>33</v>
      </c>
    </row>
    <row r="208" spans="1:69" x14ac:dyDescent="0.3">
      <c r="A208" t="s">
        <v>270</v>
      </c>
      <c r="B208" t="s">
        <v>93</v>
      </c>
      <c r="C208" t="s">
        <v>629</v>
      </c>
      <c r="D208" t="s">
        <v>224</v>
      </c>
      <c r="AS208">
        <v>48.5</v>
      </c>
      <c r="AX208">
        <v>52</v>
      </c>
      <c r="BC208">
        <v>47.2</v>
      </c>
      <c r="BF208">
        <v>45.1</v>
      </c>
      <c r="BI208">
        <v>43.7</v>
      </c>
      <c r="BP208">
        <v>39.4</v>
      </c>
    </row>
    <row r="209" spans="1:68" x14ac:dyDescent="0.3">
      <c r="A209" t="s">
        <v>89</v>
      </c>
      <c r="B209" t="s">
        <v>125</v>
      </c>
      <c r="C209" t="s">
        <v>629</v>
      </c>
      <c r="D209" t="s">
        <v>224</v>
      </c>
    </row>
    <row r="210" spans="1:68" x14ac:dyDescent="0.3">
      <c r="A210" t="s">
        <v>479</v>
      </c>
      <c r="B210" t="s">
        <v>246</v>
      </c>
      <c r="C210" t="s">
        <v>629</v>
      </c>
      <c r="D210" t="s">
        <v>224</v>
      </c>
    </row>
    <row r="211" spans="1:68" x14ac:dyDescent="0.3">
      <c r="A211" t="s">
        <v>230</v>
      </c>
      <c r="B211" t="s">
        <v>465</v>
      </c>
      <c r="C211" t="s">
        <v>629</v>
      </c>
      <c r="D211" t="s">
        <v>224</v>
      </c>
      <c r="BB211">
        <v>35.4</v>
      </c>
      <c r="BG211">
        <v>34.200000000000003</v>
      </c>
    </row>
    <row r="212" spans="1:68" x14ac:dyDescent="0.3">
      <c r="A212" t="s">
        <v>34</v>
      </c>
      <c r="B212" t="s">
        <v>559</v>
      </c>
      <c r="C212" t="s">
        <v>629</v>
      </c>
      <c r="D212" t="s">
        <v>224</v>
      </c>
      <c r="AJ212">
        <v>54</v>
      </c>
      <c r="AM212">
        <v>39.200000000000003</v>
      </c>
      <c r="AT212">
        <v>41.2</v>
      </c>
      <c r="AX212">
        <v>39.200000000000003</v>
      </c>
      <c r="BD212">
        <v>40.299999999999997</v>
      </c>
      <c r="BK212">
        <v>38.299999999999997</v>
      </c>
      <c r="BN212">
        <v>36.200000000000003</v>
      </c>
    </row>
    <row r="213" spans="1:68" x14ac:dyDescent="0.3">
      <c r="A213" t="s">
        <v>507</v>
      </c>
      <c r="B213" t="s">
        <v>82</v>
      </c>
      <c r="C213" t="s">
        <v>629</v>
      </c>
      <c r="D213" t="s">
        <v>224</v>
      </c>
    </row>
    <row r="214" spans="1:68" x14ac:dyDescent="0.3">
      <c r="A214" t="s">
        <v>100</v>
      </c>
      <c r="B214" t="s">
        <v>314</v>
      </c>
      <c r="C214" t="s">
        <v>629</v>
      </c>
      <c r="D214" t="s">
        <v>224</v>
      </c>
      <c r="AX214">
        <v>46.1</v>
      </c>
      <c r="BE214">
        <v>37.1</v>
      </c>
    </row>
    <row r="215" spans="1:68" x14ac:dyDescent="0.3">
      <c r="A215" t="s">
        <v>701</v>
      </c>
      <c r="B215" t="s">
        <v>642</v>
      </c>
      <c r="C215" t="s">
        <v>629</v>
      </c>
      <c r="D215" t="s">
        <v>224</v>
      </c>
      <c r="AV215">
        <v>40.200000000000003</v>
      </c>
      <c r="BD215">
        <v>34</v>
      </c>
      <c r="BK215">
        <v>35.700000000000003</v>
      </c>
    </row>
    <row r="216" spans="1:68" x14ac:dyDescent="0.3">
      <c r="A216" t="s">
        <v>572</v>
      </c>
      <c r="B216" t="s">
        <v>94</v>
      </c>
      <c r="C216" t="s">
        <v>629</v>
      </c>
      <c r="D216" t="s">
        <v>224</v>
      </c>
      <c r="AH216">
        <v>48.7</v>
      </c>
      <c r="AJ216">
        <v>53.8</v>
      </c>
      <c r="AN216">
        <v>49.8</v>
      </c>
      <c r="AO216">
        <v>51</v>
      </c>
      <c r="AQ216">
        <v>54.4</v>
      </c>
      <c r="AR216">
        <v>52.1</v>
      </c>
      <c r="AS216">
        <v>51.5</v>
      </c>
      <c r="AT216">
        <v>51.3</v>
      </c>
      <c r="AU216">
        <v>51.9</v>
      </c>
      <c r="AV216">
        <v>50.4</v>
      </c>
      <c r="AW216">
        <v>47.8</v>
      </c>
      <c r="AX216">
        <v>48.5</v>
      </c>
      <c r="AY216">
        <v>45.7</v>
      </c>
      <c r="AZ216">
        <v>45.2</v>
      </c>
      <c r="BA216">
        <v>46.9</v>
      </c>
      <c r="BB216">
        <v>45.8</v>
      </c>
      <c r="BC216">
        <v>43.5</v>
      </c>
      <c r="BD216">
        <v>42.3</v>
      </c>
      <c r="BE216">
        <v>41.8</v>
      </c>
      <c r="BF216">
        <v>43.4</v>
      </c>
      <c r="BG216">
        <v>41.6</v>
      </c>
      <c r="BH216">
        <v>40.6</v>
      </c>
      <c r="BI216">
        <v>40</v>
      </c>
      <c r="BJ216">
        <v>38</v>
      </c>
      <c r="BK216">
        <v>38.6</v>
      </c>
      <c r="BL216">
        <v>38.799999999999997</v>
      </c>
      <c r="BN216">
        <v>39</v>
      </c>
      <c r="BO216">
        <v>38.799999999999997</v>
      </c>
      <c r="BP216">
        <v>39.799999999999997</v>
      </c>
    </row>
    <row r="217" spans="1:68" x14ac:dyDescent="0.3">
      <c r="A217" t="s">
        <v>456</v>
      </c>
      <c r="B217" t="s">
        <v>518</v>
      </c>
      <c r="C217" t="s">
        <v>629</v>
      </c>
      <c r="D217" t="s">
        <v>224</v>
      </c>
    </row>
    <row r="218" spans="1:68" x14ac:dyDescent="0.3">
      <c r="A218" t="s">
        <v>350</v>
      </c>
      <c r="B218" t="s">
        <v>31</v>
      </c>
      <c r="C218" t="s">
        <v>629</v>
      </c>
      <c r="D218" t="s">
        <v>224</v>
      </c>
    </row>
    <row r="219" spans="1:68" x14ac:dyDescent="0.3">
      <c r="A219" t="s">
        <v>319</v>
      </c>
      <c r="B219" t="s">
        <v>444</v>
      </c>
      <c r="C219" t="s">
        <v>629</v>
      </c>
      <c r="D219" t="s">
        <v>224</v>
      </c>
      <c r="AU219">
        <v>32.700000000000003</v>
      </c>
      <c r="AV219">
        <v>32.799999999999997</v>
      </c>
      <c r="AW219">
        <v>35.5</v>
      </c>
      <c r="AX219">
        <v>36.5</v>
      </c>
      <c r="AY219">
        <v>29.7</v>
      </c>
      <c r="AZ219">
        <v>28.7</v>
      </c>
      <c r="BA219">
        <v>27.6</v>
      </c>
      <c r="BB219">
        <v>28</v>
      </c>
      <c r="BC219">
        <v>29</v>
      </c>
      <c r="BE219">
        <v>39.9</v>
      </c>
      <c r="BF219">
        <v>39.4</v>
      </c>
      <c r="BG219">
        <v>40.4</v>
      </c>
      <c r="BH219">
        <v>40.5</v>
      </c>
      <c r="BI219">
        <v>38.799999999999997</v>
      </c>
      <c r="BJ219">
        <v>36.1</v>
      </c>
      <c r="BK219">
        <v>35</v>
      </c>
      <c r="BL219">
        <v>34.5</v>
      </c>
      <c r="BM219">
        <v>35</v>
      </c>
      <c r="BN219">
        <v>33.1</v>
      </c>
      <c r="BO219">
        <v>32.799999999999997</v>
      </c>
    </row>
    <row r="220" spans="1:68" x14ac:dyDescent="0.3">
      <c r="A220" t="s">
        <v>60</v>
      </c>
      <c r="B220" t="s">
        <v>459</v>
      </c>
      <c r="C220" t="s">
        <v>629</v>
      </c>
      <c r="D220" t="s">
        <v>224</v>
      </c>
    </row>
    <row r="221" spans="1:68" x14ac:dyDescent="0.3">
      <c r="A221" t="s">
        <v>286</v>
      </c>
      <c r="B221" t="s">
        <v>63</v>
      </c>
      <c r="C221" t="s">
        <v>629</v>
      </c>
      <c r="D221" t="s">
        <v>224</v>
      </c>
      <c r="BB221">
        <v>46.3</v>
      </c>
      <c r="BI221">
        <v>44</v>
      </c>
    </row>
    <row r="222" spans="1:68" x14ac:dyDescent="0.3">
      <c r="A222" t="s">
        <v>311</v>
      </c>
      <c r="B222" t="s">
        <v>186</v>
      </c>
      <c r="C222" t="s">
        <v>629</v>
      </c>
      <c r="D222" t="s">
        <v>224</v>
      </c>
    </row>
    <row r="223" spans="1:68" x14ac:dyDescent="0.3">
      <c r="A223" t="s">
        <v>43</v>
      </c>
      <c r="B223" t="s">
        <v>195</v>
      </c>
      <c r="C223" t="s">
        <v>629</v>
      </c>
      <c r="D223" t="s">
        <v>224</v>
      </c>
    </row>
    <row r="224" spans="1:68" x14ac:dyDescent="0.3">
      <c r="A224" t="s">
        <v>252</v>
      </c>
      <c r="B224" t="s">
        <v>448</v>
      </c>
      <c r="C224" t="s">
        <v>629</v>
      </c>
      <c r="D224" t="s">
        <v>224</v>
      </c>
      <c r="AS224">
        <v>32.1</v>
      </c>
      <c r="BC224">
        <v>30.8</v>
      </c>
      <c r="BJ224">
        <v>40.700000000000003</v>
      </c>
    </row>
    <row r="225" spans="1:71" x14ac:dyDescent="0.3">
      <c r="A225" t="s">
        <v>511</v>
      </c>
      <c r="B225" t="s">
        <v>67</v>
      </c>
      <c r="C225" t="s">
        <v>629</v>
      </c>
      <c r="D225" t="s">
        <v>224</v>
      </c>
      <c r="AR225">
        <v>57.5</v>
      </c>
      <c r="BO225">
        <v>39.200000000000003</v>
      </c>
    </row>
    <row r="226" spans="1:71" x14ac:dyDescent="0.3">
      <c r="A226" t="s">
        <v>386</v>
      </c>
      <c r="B226" t="s">
        <v>150</v>
      </c>
      <c r="C226" t="s">
        <v>629</v>
      </c>
      <c r="D226" t="s">
        <v>224</v>
      </c>
      <c r="AK226">
        <v>20.2</v>
      </c>
      <c r="AO226">
        <v>26.3</v>
      </c>
      <c r="AW226">
        <v>27.1</v>
      </c>
      <c r="AX226">
        <v>29.3</v>
      </c>
      <c r="AY226">
        <v>25.8</v>
      </c>
      <c r="AZ226">
        <v>24.7</v>
      </c>
      <c r="BA226">
        <v>26</v>
      </c>
      <c r="BB226">
        <v>27.2</v>
      </c>
      <c r="BC226">
        <v>27.3</v>
      </c>
      <c r="BD226">
        <v>26.5</v>
      </c>
      <c r="BE226">
        <v>26.1</v>
      </c>
      <c r="BF226">
        <v>28.1</v>
      </c>
      <c r="BG226">
        <v>26.1</v>
      </c>
      <c r="BH226">
        <v>26.5</v>
      </c>
      <c r="BI226">
        <v>25.2</v>
      </c>
      <c r="BJ226">
        <v>23.2</v>
      </c>
      <c r="BK226">
        <v>25</v>
      </c>
      <c r="BL226">
        <v>23.2</v>
      </c>
      <c r="BM226">
        <v>24.2</v>
      </c>
      <c r="BN226">
        <v>24.1</v>
      </c>
      <c r="BO226">
        <v>24.1</v>
      </c>
      <c r="BP226">
        <v>23.8</v>
      </c>
      <c r="BS226" s="7">
        <f>[1]Data!$F$97</f>
        <v>30063.702020611865</v>
      </c>
    </row>
    <row r="227" spans="1:71" x14ac:dyDescent="0.3">
      <c r="A227" t="s">
        <v>376</v>
      </c>
      <c r="B227" t="s">
        <v>333</v>
      </c>
      <c r="C227" t="s">
        <v>629</v>
      </c>
      <c r="D227" t="s">
        <v>224</v>
      </c>
      <c r="AF227">
        <v>23.6</v>
      </c>
      <c r="AL227">
        <v>29.1</v>
      </c>
      <c r="AP227">
        <v>24.1</v>
      </c>
      <c r="AQ227">
        <v>28.4</v>
      </c>
      <c r="AR227">
        <v>24</v>
      </c>
      <c r="AU227">
        <v>29.1</v>
      </c>
      <c r="AV227">
        <v>30.9</v>
      </c>
      <c r="AW227">
        <v>24.8</v>
      </c>
      <c r="AX227">
        <v>24.6</v>
      </c>
      <c r="AY227">
        <v>24.4</v>
      </c>
      <c r="AZ227">
        <v>24.4</v>
      </c>
      <c r="BA227">
        <v>23.7</v>
      </c>
      <c r="BB227">
        <v>24.8</v>
      </c>
      <c r="BC227">
        <v>24.9</v>
      </c>
      <c r="BD227">
        <v>24.9</v>
      </c>
      <c r="BE227">
        <v>25.6</v>
      </c>
      <c r="BF227">
        <v>26.2</v>
      </c>
      <c r="BG227">
        <v>25.7</v>
      </c>
      <c r="BH227">
        <v>25.4</v>
      </c>
      <c r="BI227">
        <v>24.8</v>
      </c>
      <c r="BJ227">
        <v>24.2</v>
      </c>
      <c r="BK227">
        <v>24.6</v>
      </c>
      <c r="BL227">
        <v>24.4</v>
      </c>
      <c r="BM227">
        <v>24</v>
      </c>
      <c r="BN227">
        <v>24.3</v>
      </c>
      <c r="BO227">
        <v>24.3</v>
      </c>
      <c r="BP227">
        <v>24.7</v>
      </c>
      <c r="BS227" s="7">
        <f>[1]Data!$F$98</f>
        <v>31435.416446911164</v>
      </c>
    </row>
    <row r="228" spans="1:71" x14ac:dyDescent="0.3">
      <c r="A228" t="s">
        <v>72</v>
      </c>
      <c r="B228" t="s">
        <v>289</v>
      </c>
      <c r="C228" t="s">
        <v>629</v>
      </c>
      <c r="D228" t="s">
        <v>224</v>
      </c>
      <c r="T228">
        <v>24.3</v>
      </c>
      <c r="Z228">
        <v>22.9</v>
      </c>
      <c r="AF228">
        <v>23.1</v>
      </c>
      <c r="AK228">
        <v>24.9</v>
      </c>
      <c r="AN228">
        <v>25.2</v>
      </c>
      <c r="AS228">
        <v>27</v>
      </c>
      <c r="AT228">
        <v>26.5</v>
      </c>
      <c r="AU228">
        <v>26.2</v>
      </c>
      <c r="AV228">
        <v>25.3</v>
      </c>
      <c r="AW228">
        <v>26.1</v>
      </c>
      <c r="AX228">
        <v>26.8</v>
      </c>
      <c r="AY228">
        <v>26.4</v>
      </c>
      <c r="AZ228">
        <v>27.1</v>
      </c>
      <c r="BA228">
        <v>28.1</v>
      </c>
      <c r="BB228">
        <v>27.3</v>
      </c>
      <c r="BC228">
        <v>27.7</v>
      </c>
      <c r="BD228">
        <v>27.6</v>
      </c>
      <c r="BE228">
        <v>27.6</v>
      </c>
      <c r="BF228">
        <v>28.8</v>
      </c>
      <c r="BG228">
        <v>28.4</v>
      </c>
      <c r="BH228">
        <v>29.2</v>
      </c>
      <c r="BI228">
        <v>29.6</v>
      </c>
      <c r="BJ228">
        <v>28.8</v>
      </c>
      <c r="BK228">
        <v>30</v>
      </c>
      <c r="BL228">
        <v>29.3</v>
      </c>
      <c r="BM228">
        <v>28.9</v>
      </c>
      <c r="BN228">
        <v>29.8</v>
      </c>
      <c r="BO228">
        <v>31.6</v>
      </c>
      <c r="BP228">
        <v>29.3</v>
      </c>
      <c r="BS228" s="7">
        <f>[1]Data!$F$102</f>
        <v>49096.494117944829</v>
      </c>
    </row>
    <row r="229" spans="1:71" x14ac:dyDescent="0.3">
      <c r="A229" t="s">
        <v>654</v>
      </c>
      <c r="B229" t="s">
        <v>138</v>
      </c>
      <c r="C229" t="s">
        <v>629</v>
      </c>
      <c r="D229" t="s">
        <v>224</v>
      </c>
      <c r="AM229">
        <v>58.7</v>
      </c>
      <c r="AS229">
        <v>53.1</v>
      </c>
      <c r="BB229">
        <v>51.4</v>
      </c>
      <c r="BH229" s="5">
        <f>BB229+((BI229-BB229)/(BI$4-BB$4))*($BH$4-BB$4)</f>
        <v>54.142857142857146</v>
      </c>
      <c r="BI229">
        <v>54.6</v>
      </c>
    </row>
    <row r="230" spans="1:71" x14ac:dyDescent="0.3">
      <c r="A230" t="s">
        <v>366</v>
      </c>
      <c r="B230" t="s">
        <v>417</v>
      </c>
      <c r="C230" t="s">
        <v>629</v>
      </c>
      <c r="D230" t="s">
        <v>224</v>
      </c>
    </row>
    <row r="231" spans="1:71" x14ac:dyDescent="0.3">
      <c r="A231" t="s">
        <v>503</v>
      </c>
      <c r="B231" t="s">
        <v>154</v>
      </c>
      <c r="C231" t="s">
        <v>629</v>
      </c>
      <c r="D231" t="s">
        <v>224</v>
      </c>
      <c r="AR231">
        <v>42.8</v>
      </c>
      <c r="AY231">
        <v>42.8</v>
      </c>
      <c r="BF231">
        <v>46.8</v>
      </c>
      <c r="BK231">
        <v>32.1</v>
      </c>
    </row>
    <row r="232" spans="1:71" x14ac:dyDescent="0.3">
      <c r="A232" t="s">
        <v>178</v>
      </c>
      <c r="B232" t="s">
        <v>221</v>
      </c>
      <c r="C232" t="s">
        <v>629</v>
      </c>
      <c r="D232" t="s">
        <v>224</v>
      </c>
      <c r="AO232">
        <v>35.200000000000003</v>
      </c>
      <c r="AV232">
        <v>37.5</v>
      </c>
      <c r="AY232">
        <v>40.1</v>
      </c>
      <c r="BB232">
        <v>40.4</v>
      </c>
      <c r="BO232">
        <v>26.6</v>
      </c>
    </row>
    <row r="233" spans="1:71" x14ac:dyDescent="0.3">
      <c r="A233" t="s">
        <v>123</v>
      </c>
      <c r="B233" t="s">
        <v>231</v>
      </c>
      <c r="C233" t="s">
        <v>629</v>
      </c>
      <c r="D233" t="s">
        <v>224</v>
      </c>
    </row>
    <row r="234" spans="1:71" x14ac:dyDescent="0.3">
      <c r="A234" t="s">
        <v>608</v>
      </c>
      <c r="B234" t="s">
        <v>581</v>
      </c>
      <c r="C234" t="s">
        <v>629</v>
      </c>
      <c r="D234" t="s">
        <v>224</v>
      </c>
      <c r="AV234">
        <v>39.799999999999997</v>
      </c>
      <c r="BD234">
        <v>43.3</v>
      </c>
      <c r="BK234">
        <v>37.5</v>
      </c>
      <c r="BO234">
        <v>37.4</v>
      </c>
    </row>
    <row r="235" spans="1:71" x14ac:dyDescent="0.3">
      <c r="A235" t="s">
        <v>711</v>
      </c>
      <c r="B235" t="s">
        <v>377</v>
      </c>
      <c r="C235" t="s">
        <v>629</v>
      </c>
      <c r="D235" t="s">
        <v>224</v>
      </c>
    </row>
    <row r="236" spans="1:71" x14ac:dyDescent="0.3">
      <c r="A236" t="s">
        <v>488</v>
      </c>
      <c r="B236" t="s">
        <v>512</v>
      </c>
      <c r="C236" t="s">
        <v>629</v>
      </c>
      <c r="D236" t="s">
        <v>224</v>
      </c>
    </row>
    <row r="237" spans="1:71" x14ac:dyDescent="0.3">
      <c r="A237" t="s">
        <v>257</v>
      </c>
      <c r="B237" t="s">
        <v>387</v>
      </c>
      <c r="C237" t="s">
        <v>629</v>
      </c>
      <c r="D237" t="s">
        <v>224</v>
      </c>
      <c r="AY237">
        <v>42.2</v>
      </c>
      <c r="BD237">
        <v>46</v>
      </c>
      <c r="BH237">
        <v>43</v>
      </c>
      <c r="BK237">
        <v>42.5</v>
      </c>
      <c r="BN237">
        <v>37.9</v>
      </c>
    </row>
    <row r="238" spans="1:71" x14ac:dyDescent="0.3">
      <c r="A238" t="s">
        <v>556</v>
      </c>
      <c r="B238" t="s">
        <v>449</v>
      </c>
      <c r="C238" t="s">
        <v>629</v>
      </c>
      <c r="D238" t="s">
        <v>224</v>
      </c>
      <c r="Z238">
        <v>45.2</v>
      </c>
      <c r="AG238">
        <v>43.8</v>
      </c>
      <c r="AI238">
        <v>45.3</v>
      </c>
      <c r="AK238">
        <v>47.9</v>
      </c>
      <c r="AM238">
        <v>43.5</v>
      </c>
      <c r="AO238">
        <v>42.9</v>
      </c>
      <c r="AQ238">
        <v>41.5</v>
      </c>
      <c r="AR238">
        <v>43.1</v>
      </c>
      <c r="AS238">
        <v>42.8</v>
      </c>
      <c r="AU238">
        <v>41.9</v>
      </c>
      <c r="AW238">
        <v>42.5</v>
      </c>
      <c r="AY238">
        <v>41.8</v>
      </c>
      <c r="AZ238">
        <v>39.799999999999997</v>
      </c>
      <c r="BA238">
        <v>40.299999999999997</v>
      </c>
      <c r="BB238">
        <v>39.6</v>
      </c>
      <c r="BC238">
        <v>39.4</v>
      </c>
      <c r="BD238">
        <v>37.5</v>
      </c>
      <c r="BE238">
        <v>39.299999999999997</v>
      </c>
      <c r="BF238">
        <v>37.799999999999997</v>
      </c>
      <c r="BG238">
        <v>37</v>
      </c>
      <c r="BH238">
        <v>36</v>
      </c>
      <c r="BI238">
        <v>36.700000000000003</v>
      </c>
      <c r="BJ238">
        <v>36.4</v>
      </c>
      <c r="BK238">
        <v>36.4</v>
      </c>
      <c r="BL238">
        <v>34.9</v>
      </c>
      <c r="BM238">
        <v>35</v>
      </c>
      <c r="BN238">
        <v>34.9</v>
      </c>
      <c r="BO238">
        <v>34.299999999999997</v>
      </c>
      <c r="BP238">
        <v>33.5</v>
      </c>
    </row>
    <row r="239" spans="1:71" x14ac:dyDescent="0.3">
      <c r="A239" t="s">
        <v>46</v>
      </c>
      <c r="B239" t="s">
        <v>48</v>
      </c>
      <c r="C239" t="s">
        <v>629</v>
      </c>
      <c r="D239" t="s">
        <v>224</v>
      </c>
      <c r="AR239">
        <v>29.5</v>
      </c>
      <c r="AV239">
        <v>32.700000000000003</v>
      </c>
      <c r="AW239">
        <v>33.6</v>
      </c>
      <c r="AZ239">
        <v>32.200000000000003</v>
      </c>
      <c r="BB239">
        <v>30.8</v>
      </c>
      <c r="BH239">
        <v>34</v>
      </c>
      <c r="BN239">
        <v>32.4</v>
      </c>
      <c r="BO239">
        <v>39.5</v>
      </c>
      <c r="BP239">
        <v>38</v>
      </c>
      <c r="BQ239">
        <v>36.1</v>
      </c>
    </row>
    <row r="240" spans="1:71" x14ac:dyDescent="0.3">
      <c r="A240" t="s">
        <v>523</v>
      </c>
      <c r="B240" t="s">
        <v>264</v>
      </c>
      <c r="C240" t="s">
        <v>629</v>
      </c>
      <c r="D240" t="s">
        <v>224</v>
      </c>
      <c r="AQ240">
        <v>40.799999999999997</v>
      </c>
    </row>
    <row r="241" spans="1:71" x14ac:dyDescent="0.3">
      <c r="A241" t="s">
        <v>146</v>
      </c>
      <c r="B241" t="s">
        <v>610</v>
      </c>
      <c r="C241" t="s">
        <v>629</v>
      </c>
      <c r="D241" t="s">
        <v>224</v>
      </c>
    </row>
    <row r="242" spans="1:71" x14ac:dyDescent="0.3">
      <c r="A242" t="s">
        <v>671</v>
      </c>
      <c r="B242" t="s">
        <v>287</v>
      </c>
      <c r="C242" t="s">
        <v>629</v>
      </c>
      <c r="D242" t="s">
        <v>224</v>
      </c>
      <c r="AT242">
        <v>35.9</v>
      </c>
      <c r="AZ242">
        <v>27.8</v>
      </c>
      <c r="BG242">
        <v>28.7</v>
      </c>
    </row>
    <row r="243" spans="1:71" x14ac:dyDescent="0.3">
      <c r="A243" t="s">
        <v>716</v>
      </c>
      <c r="B243" t="s">
        <v>468</v>
      </c>
      <c r="C243" t="s">
        <v>629</v>
      </c>
      <c r="D243" t="s">
        <v>224</v>
      </c>
    </row>
    <row r="244" spans="1:71" x14ac:dyDescent="0.3">
      <c r="A244" t="s">
        <v>644</v>
      </c>
      <c r="B244" t="s">
        <v>623</v>
      </c>
      <c r="C244" t="s">
        <v>629</v>
      </c>
      <c r="D244" t="s">
        <v>224</v>
      </c>
      <c r="AS244">
        <v>37.700000000000003</v>
      </c>
      <c r="BB244">
        <v>37.5</v>
      </c>
      <c r="BH244">
        <v>33.5</v>
      </c>
      <c r="BN244">
        <v>27.1</v>
      </c>
    </row>
    <row r="245" spans="1:71" x14ac:dyDescent="0.3">
      <c r="A245" t="s">
        <v>8</v>
      </c>
      <c r="B245" t="s">
        <v>90</v>
      </c>
      <c r="C245" t="s">
        <v>629</v>
      </c>
      <c r="D245" t="s">
        <v>224</v>
      </c>
    </row>
    <row r="246" spans="1:71" x14ac:dyDescent="0.3">
      <c r="A246" t="s">
        <v>238</v>
      </c>
      <c r="B246" t="s">
        <v>504</v>
      </c>
      <c r="C246" t="s">
        <v>629</v>
      </c>
      <c r="D246" t="s">
        <v>224</v>
      </c>
    </row>
    <row r="247" spans="1:71" x14ac:dyDescent="0.3">
      <c r="A247" t="s">
        <v>663</v>
      </c>
      <c r="B247" t="s">
        <v>175</v>
      </c>
      <c r="C247" t="s">
        <v>629</v>
      </c>
      <c r="D247" t="s">
        <v>224</v>
      </c>
      <c r="AG247">
        <v>42.6</v>
      </c>
      <c r="AK247">
        <v>40.200000000000003</v>
      </c>
    </row>
    <row r="248" spans="1:71" x14ac:dyDescent="0.3">
      <c r="A248" t="s">
        <v>212</v>
      </c>
      <c r="B248" t="s">
        <v>20</v>
      </c>
      <c r="C248" t="s">
        <v>629</v>
      </c>
      <c r="D248" t="s">
        <v>224</v>
      </c>
      <c r="AD248">
        <v>43.4</v>
      </c>
      <c r="AI248">
        <v>40.1</v>
      </c>
      <c r="AN248">
        <v>41.7</v>
      </c>
      <c r="AS248">
        <v>40.799999999999997</v>
      </c>
      <c r="AX248">
        <v>37.700000000000003</v>
      </c>
      <c r="BC248">
        <v>38.5</v>
      </c>
      <c r="BH248">
        <v>32.799999999999997</v>
      </c>
      <c r="BN248">
        <v>33.700000000000003</v>
      </c>
    </row>
    <row r="249" spans="1:71" x14ac:dyDescent="0.3">
      <c r="A249" t="s">
        <v>120</v>
      </c>
      <c r="B249" t="s">
        <v>431</v>
      </c>
      <c r="C249" t="s">
        <v>629</v>
      </c>
      <c r="D249" t="s">
        <v>224</v>
      </c>
      <c r="AF249">
        <v>41</v>
      </c>
      <c r="AM249">
        <v>41.3</v>
      </c>
      <c r="AU249">
        <v>41.4</v>
      </c>
      <c r="AV249">
        <v>42.2</v>
      </c>
      <c r="AW249">
        <v>41.3</v>
      </c>
      <c r="AX249">
        <v>42.6</v>
      </c>
      <c r="AY249">
        <v>39.6</v>
      </c>
      <c r="AZ249">
        <v>38.4</v>
      </c>
      <c r="BA249">
        <v>39</v>
      </c>
      <c r="BB249">
        <v>39</v>
      </c>
      <c r="BC249">
        <v>38.799999999999997</v>
      </c>
      <c r="BD249">
        <v>40</v>
      </c>
      <c r="BE249">
        <v>40.200000000000003</v>
      </c>
      <c r="BF249">
        <v>40.200000000000003</v>
      </c>
      <c r="BG249">
        <v>41.2</v>
      </c>
      <c r="BH249">
        <v>42.9</v>
      </c>
      <c r="BI249">
        <v>41.9</v>
      </c>
      <c r="BJ249">
        <v>43.5</v>
      </c>
      <c r="BK249">
        <v>42.4</v>
      </c>
      <c r="BL249">
        <v>43.8</v>
      </c>
      <c r="BM249">
        <v>43</v>
      </c>
      <c r="BN249">
        <v>44.4</v>
      </c>
      <c r="BO249">
        <v>44.5</v>
      </c>
    </row>
    <row r="250" spans="1:71" x14ac:dyDescent="0.3">
      <c r="A250" t="s">
        <v>442</v>
      </c>
      <c r="B250" t="s">
        <v>97</v>
      </c>
      <c r="C250" t="s">
        <v>629</v>
      </c>
      <c r="D250" t="s">
        <v>224</v>
      </c>
      <c r="BC250">
        <v>39.1</v>
      </c>
    </row>
    <row r="251" spans="1:71" x14ac:dyDescent="0.3">
      <c r="A251" t="s">
        <v>568</v>
      </c>
      <c r="B251" t="s">
        <v>466</v>
      </c>
      <c r="C251" t="s">
        <v>629</v>
      </c>
      <c r="D251" t="s">
        <v>224</v>
      </c>
      <c r="AJ251">
        <v>35.299999999999997</v>
      </c>
      <c r="AS251">
        <v>37.299999999999997</v>
      </c>
      <c r="AZ251">
        <v>40.299999999999997</v>
      </c>
      <c r="BD251">
        <v>37.799999999999997</v>
      </c>
      <c r="BH251" s="5">
        <f>BD251+((BK251-BD251)/(BK$4-BD$4))*($BH$4-BD$4)</f>
        <v>39.342857142857142</v>
      </c>
      <c r="BK251">
        <v>40.5</v>
      </c>
    </row>
    <row r="252" spans="1:71" x14ac:dyDescent="0.3">
      <c r="A252" t="s">
        <v>692</v>
      </c>
      <c r="B252" t="s">
        <v>160</v>
      </c>
      <c r="C252" t="s">
        <v>629</v>
      </c>
      <c r="D252" t="s">
        <v>224</v>
      </c>
      <c r="AH252">
        <v>44.4</v>
      </c>
      <c r="AK252">
        <v>41.4</v>
      </c>
      <c r="AO252">
        <v>39</v>
      </c>
      <c r="AR252">
        <v>43</v>
      </c>
      <c r="AU252">
        <v>45.2</v>
      </c>
      <c r="AX252">
        <v>42.9</v>
      </c>
      <c r="BB252">
        <v>44.2</v>
      </c>
      <c r="BE252">
        <v>41</v>
      </c>
      <c r="BI252">
        <v>42.8</v>
      </c>
      <c r="BL252">
        <v>42.7</v>
      </c>
    </row>
    <row r="253" spans="1:71" x14ac:dyDescent="0.3">
      <c r="A253" t="s">
        <v>440</v>
      </c>
      <c r="B253" t="s">
        <v>509</v>
      </c>
      <c r="C253" t="s">
        <v>629</v>
      </c>
      <c r="D253" t="s">
        <v>224</v>
      </c>
      <c r="AK253">
        <v>29.7</v>
      </c>
      <c r="AL253">
        <v>28.9</v>
      </c>
      <c r="AN253">
        <v>39.200000000000003</v>
      </c>
      <c r="AO253">
        <v>35.200000000000003</v>
      </c>
      <c r="AR253">
        <v>28.9</v>
      </c>
      <c r="AU253">
        <v>29</v>
      </c>
      <c r="AV253">
        <v>28.7</v>
      </c>
      <c r="AW253">
        <v>28.9</v>
      </c>
      <c r="AX253">
        <v>29</v>
      </c>
      <c r="AY253">
        <v>29.8</v>
      </c>
      <c r="AZ253">
        <v>27</v>
      </c>
      <c r="BA253">
        <v>26.6</v>
      </c>
      <c r="BB253">
        <v>25.3</v>
      </c>
      <c r="BC253">
        <v>24.8</v>
      </c>
      <c r="BD253">
        <v>24.6</v>
      </c>
      <c r="BE253">
        <v>24.7</v>
      </c>
      <c r="BF253">
        <v>24.6</v>
      </c>
      <c r="BG253">
        <v>24</v>
      </c>
      <c r="BH253">
        <v>25.5</v>
      </c>
      <c r="BI253">
        <v>25</v>
      </c>
      <c r="BJ253">
        <v>26</v>
      </c>
      <c r="BK253">
        <v>26.1</v>
      </c>
      <c r="BL253">
        <v>26.6</v>
      </c>
      <c r="BM253">
        <v>25.6</v>
      </c>
      <c r="BS253" s="7">
        <f>[1]Data!$F$108</f>
        <v>10675.694069614774</v>
      </c>
    </row>
    <row r="254" spans="1:71" x14ac:dyDescent="0.3">
      <c r="A254" t="s">
        <v>165</v>
      </c>
      <c r="B254" t="s">
        <v>593</v>
      </c>
      <c r="C254" t="s">
        <v>629</v>
      </c>
      <c r="D254" t="s">
        <v>224</v>
      </c>
    </row>
    <row r="255" spans="1:71" x14ac:dyDescent="0.3">
      <c r="A255" t="s">
        <v>531</v>
      </c>
      <c r="B255" t="s">
        <v>728</v>
      </c>
      <c r="C255" t="s">
        <v>629</v>
      </c>
      <c r="D255" t="s">
        <v>224</v>
      </c>
      <c r="Z255">
        <v>43.6</v>
      </c>
      <c r="AH255">
        <v>42.4</v>
      </c>
      <c r="AK255">
        <v>41.5</v>
      </c>
      <c r="AN255">
        <v>40.9</v>
      </c>
      <c r="AO255">
        <v>40.799999999999997</v>
      </c>
      <c r="AP255">
        <v>41.5</v>
      </c>
      <c r="AQ255">
        <v>42.5</v>
      </c>
      <c r="AS255">
        <v>43.4</v>
      </c>
      <c r="AT255">
        <v>45</v>
      </c>
      <c r="AU255">
        <v>45.5</v>
      </c>
      <c r="AV255">
        <v>45</v>
      </c>
      <c r="AW255">
        <v>45.9</v>
      </c>
      <c r="AX255">
        <v>44.7</v>
      </c>
      <c r="AY255">
        <v>45.9</v>
      </c>
      <c r="AZ255">
        <v>46.4</v>
      </c>
      <c r="BA255">
        <v>45.1</v>
      </c>
      <c r="BB255">
        <v>45.5</v>
      </c>
      <c r="BC255">
        <v>44.5</v>
      </c>
      <c r="BD255">
        <v>42.2</v>
      </c>
      <c r="BE255">
        <v>39.9</v>
      </c>
      <c r="BF255">
        <v>40.5</v>
      </c>
      <c r="BG255">
        <v>40.1</v>
      </c>
      <c r="BH255">
        <v>40.1</v>
      </c>
      <c r="BI255">
        <v>39.700000000000003</v>
      </c>
      <c r="BJ255">
        <v>39.5</v>
      </c>
      <c r="BK255">
        <v>39.700000000000003</v>
      </c>
      <c r="BL255">
        <v>39.700000000000003</v>
      </c>
      <c r="BM255">
        <v>40.200000000000003</v>
      </c>
      <c r="BN255">
        <v>40.799999999999997</v>
      </c>
      <c r="BO255">
        <v>40.6</v>
      </c>
      <c r="BP255">
        <v>40.9</v>
      </c>
      <c r="BQ255">
        <v>40</v>
      </c>
    </row>
    <row r="256" spans="1:71" x14ac:dyDescent="0.3">
      <c r="A256" t="s">
        <v>407</v>
      </c>
      <c r="B256" t="s">
        <v>616</v>
      </c>
      <c r="C256" t="s">
        <v>629</v>
      </c>
      <c r="D256" t="s">
        <v>224</v>
      </c>
      <c r="H256">
        <v>36.700000000000003</v>
      </c>
      <c r="I256">
        <v>37.4</v>
      </c>
      <c r="J256">
        <v>36.799999999999997</v>
      </c>
      <c r="K256">
        <v>37.1</v>
      </c>
      <c r="L256">
        <v>36.9</v>
      </c>
      <c r="M256">
        <v>36.299999999999997</v>
      </c>
      <c r="N256">
        <v>36</v>
      </c>
      <c r="O256">
        <v>36.6</v>
      </c>
      <c r="P256">
        <v>36.9</v>
      </c>
      <c r="Q256">
        <v>36.700000000000003</v>
      </c>
      <c r="R256">
        <v>36.1</v>
      </c>
      <c r="S256">
        <v>35.5</v>
      </c>
      <c r="T256">
        <v>35.6</v>
      </c>
      <c r="U256">
        <v>35.6</v>
      </c>
      <c r="V256">
        <v>35.5</v>
      </c>
      <c r="W256">
        <v>34.799999999999997</v>
      </c>
      <c r="X256">
        <v>34.799999999999997</v>
      </c>
      <c r="Y256">
        <v>34.700000000000003</v>
      </c>
      <c r="Z256">
        <v>35.5</v>
      </c>
      <c r="AA256">
        <v>36.700000000000003</v>
      </c>
      <c r="AB256">
        <v>37.299999999999997</v>
      </c>
      <c r="AC256">
        <v>37.299999999999997</v>
      </c>
      <c r="AD256">
        <v>37.6</v>
      </c>
      <c r="AE256">
        <v>37.6</v>
      </c>
      <c r="AF256">
        <v>37.200000000000003</v>
      </c>
      <c r="AG256">
        <v>37.700000000000003</v>
      </c>
      <c r="AH256">
        <v>38.200000000000003</v>
      </c>
      <c r="AI256">
        <v>38.299999999999997</v>
      </c>
      <c r="AJ256">
        <v>38</v>
      </c>
      <c r="AK256">
        <v>38.4</v>
      </c>
      <c r="AL256">
        <v>40.4</v>
      </c>
      <c r="AM256">
        <v>40</v>
      </c>
      <c r="AN256">
        <v>39.9</v>
      </c>
      <c r="AO256">
        <v>40.299999999999997</v>
      </c>
      <c r="AP256">
        <v>40.5</v>
      </c>
      <c r="AQ256">
        <v>40</v>
      </c>
      <c r="AR256">
        <v>40</v>
      </c>
      <c r="AS256">
        <v>40.1</v>
      </c>
      <c r="AT256">
        <v>40.6</v>
      </c>
      <c r="AU256">
        <v>40.4</v>
      </c>
      <c r="AV256">
        <v>40.799999999999997</v>
      </c>
      <c r="AW256">
        <v>40.5</v>
      </c>
      <c r="AX256">
        <v>41.3</v>
      </c>
      <c r="AY256">
        <v>41.7</v>
      </c>
      <c r="AZ256">
        <v>41.1</v>
      </c>
      <c r="BA256">
        <v>41.1</v>
      </c>
      <c r="BB256">
        <v>40.799999999999997</v>
      </c>
      <c r="BC256">
        <v>40.200000000000003</v>
      </c>
      <c r="BD256">
        <v>41.2</v>
      </c>
      <c r="BE256">
        <v>41.2</v>
      </c>
      <c r="BF256">
        <v>40.9</v>
      </c>
      <c r="BG256">
        <v>41.7</v>
      </c>
      <c r="BH256">
        <v>41.5</v>
      </c>
      <c r="BI256">
        <v>41.3</v>
      </c>
      <c r="BJ256">
        <v>41.4</v>
      </c>
      <c r="BK256">
        <v>41.8</v>
      </c>
      <c r="BL256">
        <v>41.9</v>
      </c>
      <c r="BM256">
        <v>40</v>
      </c>
      <c r="BN256">
        <v>39.700000000000003</v>
      </c>
      <c r="BO256">
        <v>41.7</v>
      </c>
      <c r="BP256">
        <v>41.8</v>
      </c>
    </row>
    <row r="257" spans="1:69" x14ac:dyDescent="0.3">
      <c r="A257" t="s">
        <v>313</v>
      </c>
      <c r="B257" t="s">
        <v>157</v>
      </c>
      <c r="C257" t="s">
        <v>629</v>
      </c>
      <c r="D257" t="s">
        <v>224</v>
      </c>
      <c r="AQ257">
        <v>44.1</v>
      </c>
      <c r="AS257">
        <v>35.9</v>
      </c>
      <c r="AU257">
        <v>33</v>
      </c>
      <c r="AV257">
        <v>35.200000000000003</v>
      </c>
      <c r="BN257">
        <v>32.9</v>
      </c>
      <c r="BO257">
        <v>31.2</v>
      </c>
      <c r="BP257">
        <v>34.5</v>
      </c>
      <c r="BQ257">
        <v>34.6</v>
      </c>
    </row>
    <row r="258" spans="1:69" x14ac:dyDescent="0.3">
      <c r="A258" t="s">
        <v>54</v>
      </c>
      <c r="B258" t="s">
        <v>103</v>
      </c>
      <c r="C258" t="s">
        <v>629</v>
      </c>
      <c r="D258" t="s">
        <v>224</v>
      </c>
    </row>
    <row r="259" spans="1:69" x14ac:dyDescent="0.3">
      <c r="A259" t="s">
        <v>80</v>
      </c>
      <c r="B259" t="s">
        <v>322</v>
      </c>
      <c r="C259" t="s">
        <v>629</v>
      </c>
      <c r="D259" t="s">
        <v>224</v>
      </c>
      <c r="Z259">
        <v>55.6</v>
      </c>
      <c r="AF259">
        <v>53.4</v>
      </c>
      <c r="AH259">
        <v>43.8</v>
      </c>
      <c r="AK259">
        <v>42.1</v>
      </c>
      <c r="AN259">
        <v>47.2</v>
      </c>
      <c r="AQ259">
        <v>48</v>
      </c>
      <c r="AR259">
        <v>47.7</v>
      </c>
      <c r="AT259">
        <v>47.2</v>
      </c>
      <c r="AU259">
        <v>48.9</v>
      </c>
      <c r="AV259">
        <v>47.9</v>
      </c>
      <c r="AW259">
        <v>47.3</v>
      </c>
      <c r="AX259">
        <v>49.3</v>
      </c>
      <c r="AY259">
        <v>44.7</v>
      </c>
    </row>
    <row r="260" spans="1:69" x14ac:dyDescent="0.3">
      <c r="A260" t="s">
        <v>330</v>
      </c>
      <c r="B260" t="s">
        <v>594</v>
      </c>
      <c r="C260" t="s">
        <v>629</v>
      </c>
      <c r="D260" t="s">
        <v>224</v>
      </c>
    </row>
    <row r="261" spans="1:69" x14ac:dyDescent="0.3">
      <c r="A261" t="s">
        <v>435</v>
      </c>
      <c r="B261" t="s">
        <v>137</v>
      </c>
      <c r="C261" t="s">
        <v>629</v>
      </c>
      <c r="D261" t="s">
        <v>224</v>
      </c>
    </row>
    <row r="262" spans="1:69" x14ac:dyDescent="0.3">
      <c r="A262" t="s">
        <v>398</v>
      </c>
      <c r="B262" t="s">
        <v>635</v>
      </c>
      <c r="C262" t="s">
        <v>629</v>
      </c>
      <c r="D262" t="s">
        <v>224</v>
      </c>
      <c r="AK262">
        <v>35.700000000000003</v>
      </c>
      <c r="AP262">
        <v>35.4</v>
      </c>
      <c r="AU262">
        <v>37</v>
      </c>
      <c r="AW262">
        <v>36.799999999999997</v>
      </c>
      <c r="AY262">
        <v>35.799999999999997</v>
      </c>
      <c r="BA262">
        <v>35.6</v>
      </c>
      <c r="BC262">
        <v>39.299999999999997</v>
      </c>
      <c r="BE262">
        <v>35.6</v>
      </c>
      <c r="BG262">
        <v>34.799999999999997</v>
      </c>
      <c r="BI262">
        <v>35.299999999999997</v>
      </c>
      <c r="BK262">
        <v>35.700000000000003</v>
      </c>
      <c r="BM262">
        <v>36.799999999999997</v>
      </c>
      <c r="BO262">
        <v>36.1</v>
      </c>
    </row>
    <row r="263" spans="1:69" x14ac:dyDescent="0.3">
      <c r="A263" t="s">
        <v>633</v>
      </c>
      <c r="B263" t="s">
        <v>124</v>
      </c>
      <c r="C263" t="s">
        <v>629</v>
      </c>
      <c r="D263" t="s">
        <v>224</v>
      </c>
      <c r="BC263">
        <v>37.4</v>
      </c>
      <c r="BL263">
        <v>32.299999999999997</v>
      </c>
    </row>
    <row r="264" spans="1:69" x14ac:dyDescent="0.3">
      <c r="A264" t="s">
        <v>590</v>
      </c>
      <c r="B264" t="s">
        <v>715</v>
      </c>
      <c r="C264" t="s">
        <v>629</v>
      </c>
      <c r="D264" t="s">
        <v>224</v>
      </c>
    </row>
    <row r="265" spans="1:69" x14ac:dyDescent="0.3">
      <c r="A265" t="s">
        <v>184</v>
      </c>
      <c r="B265" t="s">
        <v>490</v>
      </c>
      <c r="C265" t="s">
        <v>629</v>
      </c>
      <c r="D265" t="s">
        <v>224</v>
      </c>
      <c r="AU265">
        <v>40.700000000000003</v>
      </c>
      <c r="BA265">
        <v>42</v>
      </c>
      <c r="BF265">
        <v>38.700000000000003</v>
      </c>
    </row>
    <row r="266" spans="1:69" x14ac:dyDescent="0.3">
      <c r="A266" t="s">
        <v>441</v>
      </c>
      <c r="B266" t="s">
        <v>216</v>
      </c>
      <c r="C266" t="s">
        <v>629</v>
      </c>
      <c r="D266" t="s">
        <v>224</v>
      </c>
      <c r="AV266">
        <v>29</v>
      </c>
      <c r="AX266">
        <v>31.2</v>
      </c>
      <c r="AY266">
        <v>30.3</v>
      </c>
      <c r="BB266">
        <v>31.8</v>
      </c>
      <c r="BC266">
        <v>33.299999999999997</v>
      </c>
      <c r="BD266">
        <v>27.8</v>
      </c>
      <c r="BE266">
        <v>29</v>
      </c>
      <c r="BF266">
        <v>26.3</v>
      </c>
      <c r="BG266">
        <v>27.3</v>
      </c>
      <c r="BH266">
        <v>26.5</v>
      </c>
      <c r="BI266">
        <v>26.7</v>
      </c>
      <c r="BJ266">
        <v>44.2</v>
      </c>
      <c r="BK266">
        <v>44.6</v>
      </c>
      <c r="BL266">
        <v>40.200000000000003</v>
      </c>
      <c r="BM266">
        <v>57.4</v>
      </c>
      <c r="BN266">
        <v>49.4</v>
      </c>
      <c r="BO266">
        <v>38.299999999999997</v>
      </c>
    </row>
    <row r="267" spans="1:69" x14ac:dyDescent="0.3">
      <c r="A267" t="s">
        <v>698</v>
      </c>
      <c r="B267" t="s">
        <v>15</v>
      </c>
      <c r="C267" t="s">
        <v>629</v>
      </c>
      <c r="D267" t="s">
        <v>224</v>
      </c>
      <c r="AQ267">
        <v>35</v>
      </c>
      <c r="AX267">
        <v>34.700000000000003</v>
      </c>
      <c r="BG267">
        <v>36.700000000000003</v>
      </c>
    </row>
    <row r="268" spans="1:69" x14ac:dyDescent="0.3">
      <c r="A268" t="s">
        <v>492</v>
      </c>
      <c r="B268" t="s">
        <v>396</v>
      </c>
      <c r="C268" t="s">
        <v>629</v>
      </c>
      <c r="D268" t="s">
        <v>224</v>
      </c>
      <c r="AL268">
        <v>59.3</v>
      </c>
      <c r="AS268">
        <v>57.8</v>
      </c>
      <c r="AX268">
        <v>64.8</v>
      </c>
      <c r="BA268">
        <v>63</v>
      </c>
      <c r="BC268">
        <v>63.4</v>
      </c>
      <c r="BG268">
        <v>63</v>
      </c>
      <c r="BH268" s="5">
        <f>BG268</f>
        <v>63</v>
      </c>
    </row>
    <row r="269" spans="1:69" x14ac:dyDescent="0.3">
      <c r="A269" t="s">
        <v>9</v>
      </c>
      <c r="B269" t="s">
        <v>436</v>
      </c>
      <c r="C269" t="s">
        <v>629</v>
      </c>
      <c r="D269" t="s">
        <v>224</v>
      </c>
      <c r="AJ269">
        <v>59.4</v>
      </c>
      <c r="AL269">
        <v>52.6</v>
      </c>
      <c r="AO269">
        <v>48.3</v>
      </c>
      <c r="AQ269">
        <v>49.1</v>
      </c>
      <c r="AU269">
        <v>42.1</v>
      </c>
      <c r="AW269">
        <v>54.3</v>
      </c>
      <c r="AY269">
        <v>54.6</v>
      </c>
      <c r="BC269">
        <v>52</v>
      </c>
      <c r="BH269">
        <v>55.8</v>
      </c>
      <c r="BO269">
        <v>51.5</v>
      </c>
    </row>
    <row r="270" spans="1:69" x14ac:dyDescent="0.3">
      <c r="A270" t="s">
        <v>739</v>
      </c>
      <c r="B270" t="s">
        <v>348</v>
      </c>
      <c r="C270" t="s">
        <v>629</v>
      </c>
      <c r="D270" t="s">
        <v>224</v>
      </c>
      <c r="BD270">
        <v>43.2</v>
      </c>
      <c r="BH270" s="5">
        <f>BD270+((BJ270-BD270)/(BJ$4-BD$4))*($BH$4-BD$4)</f>
        <v>43.93333333333333</v>
      </c>
      <c r="BJ270">
        <v>44.3</v>
      </c>
      <c r="BL270">
        <v>50.3</v>
      </c>
    </row>
    <row r="274" spans="48:60" x14ac:dyDescent="0.3">
      <c r="AV274" s="3"/>
      <c r="BB274" s="3"/>
      <c r="BH274" s="3"/>
    </row>
    <row r="275" spans="48:60" x14ac:dyDescent="0.3">
      <c r="AV275" s="4"/>
      <c r="BB275" s="4"/>
      <c r="BH275" s="4"/>
    </row>
  </sheetData>
  <autoFilter ref="A4:BQ270" xr:uid="{B150CCE7-9E49-40A7-B8BB-6F047D0B9B6B}"/>
  <conditionalFormatting sqref="E5:BQ270">
    <cfRule type="cellIs" dxfId="0" priority="1" operator="equal">
      <formula>20.2</formula>
    </cfRule>
  </conditionalFormatting>
  <pageMargins left="0.7" right="0.7" top="0.75" bottom="0.75" header="0.3" footer="0.3"/>
  <headerFooter alignWithMargins="0">
    <oddFooter>&amp;L_x000D_&amp;1#&amp;"Aptos"&amp;10&amp;K000000 LUT Group Confidential - Other information (3Y)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BADA7-0680-4CE6-B64F-445B85C2504D}">
  <dimension ref="A1:C267"/>
  <sheetViews>
    <sheetView tabSelected="1" workbookViewId="0">
      <selection activeCell="C20" sqref="C20"/>
    </sheetView>
  </sheetViews>
  <sheetFormatPr defaultRowHeight="14.4" x14ac:dyDescent="0.3"/>
  <sheetData>
    <row r="1" spans="1:3" x14ac:dyDescent="0.3">
      <c r="A1" t="s">
        <v>718</v>
      </c>
      <c r="B1" t="s">
        <v>486</v>
      </c>
      <c r="C1" t="s">
        <v>741</v>
      </c>
    </row>
    <row r="2" spans="1:3" x14ac:dyDescent="0.3">
      <c r="A2" t="s">
        <v>528</v>
      </c>
      <c r="B2" t="s">
        <v>12</v>
      </c>
      <c r="C2" s="6">
        <f>VLOOKUP(A2,Data!$A$5:$BH$270,60,0)/100</f>
        <v>0</v>
      </c>
    </row>
    <row r="3" spans="1:3" x14ac:dyDescent="0.3">
      <c r="A3" t="s">
        <v>541</v>
      </c>
      <c r="B3" t="s">
        <v>510</v>
      </c>
      <c r="C3" s="6">
        <f>VLOOKUP(A3,Data!$A$5:$BH$270,60,0)/100</f>
        <v>0</v>
      </c>
    </row>
    <row r="4" spans="1:3" x14ac:dyDescent="0.3">
      <c r="A4" t="s">
        <v>334</v>
      </c>
      <c r="B4" t="s">
        <v>627</v>
      </c>
      <c r="C4" s="6">
        <f>VLOOKUP(A4,Data!$A$5:$BH$270,60,0)/100</f>
        <v>0</v>
      </c>
    </row>
    <row r="5" spans="1:3" x14ac:dyDescent="0.3">
      <c r="A5" t="s">
        <v>704</v>
      </c>
      <c r="B5" t="s">
        <v>176</v>
      </c>
      <c r="C5" s="6">
        <f>VLOOKUP(A5,Data!$A$5:$BH$270,60,0)/100</f>
        <v>0</v>
      </c>
    </row>
    <row r="6" spans="1:3" x14ac:dyDescent="0.3">
      <c r="A6" t="s">
        <v>324</v>
      </c>
      <c r="B6" t="s">
        <v>17</v>
      </c>
      <c r="C6" s="6">
        <f>VLOOKUP(A6,Data!$A$5:$BH$270,60,0)/100</f>
        <v>0.48719999999999997</v>
      </c>
    </row>
    <row r="7" spans="1:3" x14ac:dyDescent="0.3">
      <c r="A7" t="s">
        <v>205</v>
      </c>
      <c r="B7" t="s">
        <v>461</v>
      </c>
      <c r="C7" s="6">
        <f>VLOOKUP(A7,Data!$A$5:$BH$270,60,0)/100</f>
        <v>0.32799999999999996</v>
      </c>
    </row>
    <row r="8" spans="1:3" x14ac:dyDescent="0.3">
      <c r="A8" t="s">
        <v>349</v>
      </c>
      <c r="B8" t="s">
        <v>736</v>
      </c>
      <c r="C8" s="6">
        <f>VLOOKUP(A8,Data!$A$5:$BH$270,60,0)/100</f>
        <v>0</v>
      </c>
    </row>
    <row r="9" spans="1:3" x14ac:dyDescent="0.3">
      <c r="A9" t="s">
        <v>114</v>
      </c>
      <c r="B9" t="s">
        <v>617</v>
      </c>
      <c r="C9" s="6">
        <f>VLOOKUP(A9,Data!$A$5:$BH$270,60,0)/100</f>
        <v>0</v>
      </c>
    </row>
    <row r="10" spans="1:3" x14ac:dyDescent="0.3">
      <c r="A10" t="s">
        <v>45</v>
      </c>
      <c r="B10" t="s">
        <v>215</v>
      </c>
      <c r="C10" s="6">
        <f>VLOOKUP(A10,Data!$A$5:$BH$270,60,0)/100</f>
        <v>0</v>
      </c>
    </row>
    <row r="11" spans="1:3" x14ac:dyDescent="0.3">
      <c r="A11" t="s">
        <v>316</v>
      </c>
      <c r="B11" t="s">
        <v>499</v>
      </c>
      <c r="C11" s="6">
        <f>VLOOKUP(A11,Data!$A$5:$BH$270,60,0)/100</f>
        <v>0</v>
      </c>
    </row>
    <row r="12" spans="1:3" x14ac:dyDescent="0.3">
      <c r="A12" t="s">
        <v>88</v>
      </c>
      <c r="B12" t="s">
        <v>291</v>
      </c>
      <c r="C12" s="6">
        <f>VLOOKUP(A12,Data!$A$5:$BH$270,60,0)/100</f>
        <v>0.32400000000000001</v>
      </c>
    </row>
    <row r="13" spans="1:3" x14ac:dyDescent="0.3">
      <c r="A13" t="s">
        <v>111</v>
      </c>
      <c r="B13" t="s">
        <v>358</v>
      </c>
      <c r="C13" s="6">
        <f>VLOOKUP(A13,Data!$A$5:$BH$270,60,0)/100</f>
        <v>0</v>
      </c>
    </row>
    <row r="14" spans="1:3" x14ac:dyDescent="0.3">
      <c r="A14" t="s">
        <v>416</v>
      </c>
      <c r="B14" t="s">
        <v>498</v>
      </c>
      <c r="C14" s="6">
        <f>VLOOKUP(A14,Data!$A$5:$BH$270,60,0)/100</f>
        <v>0</v>
      </c>
    </row>
    <row r="15" spans="1:3" x14ac:dyDescent="0.3">
      <c r="A15" t="s">
        <v>438</v>
      </c>
      <c r="B15" t="s">
        <v>307</v>
      </c>
      <c r="C15" s="6">
        <f>VLOOKUP(A15,Data!$A$5:$BH$270,60,0)/100</f>
        <v>0</v>
      </c>
    </row>
    <row r="16" spans="1:3" x14ac:dyDescent="0.3">
      <c r="A16" t="s">
        <v>62</v>
      </c>
      <c r="B16" t="s">
        <v>359</v>
      </c>
      <c r="C16" s="6">
        <f>VLOOKUP(A16,Data!$A$5:$BH$270,60,0)/100</f>
        <v>0.30499999999999999</v>
      </c>
    </row>
    <row r="17" spans="1:3" x14ac:dyDescent="0.3">
      <c r="A17" t="s">
        <v>536</v>
      </c>
      <c r="B17" t="s">
        <v>527</v>
      </c>
      <c r="C17" s="6">
        <f>VLOOKUP(A17,Data!$A$5:$BH$270,60,0)/100</f>
        <v>0</v>
      </c>
    </row>
    <row r="18" spans="1:3" x14ac:dyDescent="0.3">
      <c r="A18" t="s">
        <v>476</v>
      </c>
      <c r="B18" t="s">
        <v>549</v>
      </c>
      <c r="C18" s="6">
        <f>VLOOKUP(A18,Data!$A$5:$BH$270,60,0)/100</f>
        <v>0</v>
      </c>
    </row>
    <row r="19" spans="1:3" x14ac:dyDescent="0.3">
      <c r="A19" t="s">
        <v>641</v>
      </c>
      <c r="B19" t="s">
        <v>47</v>
      </c>
      <c r="C19" s="6">
        <f>VLOOKUP(A19,Data!$A$5:$BH$270,60,0)/100</f>
        <v>0.27699999999999997</v>
      </c>
    </row>
    <row r="20" spans="1:3" x14ac:dyDescent="0.3">
      <c r="A20" t="s">
        <v>628</v>
      </c>
      <c r="B20" t="s">
        <v>341</v>
      </c>
      <c r="C20" s="6">
        <f>VLOOKUP(A20,Data!$A$5:$BH$270,60,0)/100</f>
        <v>0.47600000000000003</v>
      </c>
    </row>
    <row r="21" spans="1:3" x14ac:dyDescent="0.3">
      <c r="A21" t="s">
        <v>119</v>
      </c>
      <c r="B21" t="s">
        <v>462</v>
      </c>
      <c r="C21" s="6">
        <f>VLOOKUP(A21,Data!$A$5:$BH$270,60,0)/100</f>
        <v>0</v>
      </c>
    </row>
    <row r="22" spans="1:3" x14ac:dyDescent="0.3">
      <c r="A22" t="s">
        <v>38</v>
      </c>
      <c r="B22" t="s">
        <v>151</v>
      </c>
      <c r="C22" s="6">
        <f>VLOOKUP(A22,Data!$A$5:$BH$270,60,0)/100</f>
        <v>0</v>
      </c>
    </row>
    <row r="23" spans="1:3" x14ac:dyDescent="0.3">
      <c r="A23" t="s">
        <v>607</v>
      </c>
      <c r="B23" t="s">
        <v>153</v>
      </c>
      <c r="C23" s="6">
        <f>VLOOKUP(A23,Data!$A$5:$BH$270,60,0)/100</f>
        <v>0.38600000000000001</v>
      </c>
    </row>
    <row r="24" spans="1:3" x14ac:dyDescent="0.3">
      <c r="A24" t="s">
        <v>370</v>
      </c>
      <c r="B24" t="s">
        <v>70</v>
      </c>
      <c r="C24" s="6">
        <f>VLOOKUP(A24,Data!$A$5:$BH$270,60,0)/100</f>
        <v>0</v>
      </c>
    </row>
    <row r="25" spans="1:3" x14ac:dyDescent="0.3">
      <c r="A25" t="s">
        <v>168</v>
      </c>
      <c r="B25" t="s">
        <v>300</v>
      </c>
      <c r="C25" s="6">
        <f>VLOOKUP(A25,Data!$A$5:$BH$270,60,0)/100</f>
        <v>0</v>
      </c>
    </row>
    <row r="26" spans="1:3" x14ac:dyDescent="0.3">
      <c r="A26" t="s">
        <v>397</v>
      </c>
      <c r="B26" t="s">
        <v>555</v>
      </c>
      <c r="C26" s="6">
        <f>VLOOKUP(A26,Data!$A$5:$BH$270,60,0)/100</f>
        <v>0</v>
      </c>
    </row>
    <row r="27" spans="1:3" x14ac:dyDescent="0.3">
      <c r="A27" t="s">
        <v>589</v>
      </c>
      <c r="B27" t="s">
        <v>223</v>
      </c>
      <c r="C27" s="6">
        <f>VLOOKUP(A27,Data!$A$5:$BH$270,60,0)/100</f>
        <v>0.25600000000000001</v>
      </c>
    </row>
    <row r="28" spans="1:3" x14ac:dyDescent="0.3">
      <c r="A28" t="s">
        <v>320</v>
      </c>
      <c r="B28" t="s">
        <v>297</v>
      </c>
      <c r="C28" s="6">
        <f>VLOOKUP(A28,Data!$A$5:$BH$270,60,0)/100</f>
        <v>0</v>
      </c>
    </row>
    <row r="29" spans="1:3" x14ac:dyDescent="0.3">
      <c r="A29" t="s">
        <v>378</v>
      </c>
      <c r="B29" t="s">
        <v>638</v>
      </c>
      <c r="C29" s="6">
        <f>VLOOKUP(A29,Data!$A$5:$BH$270,60,0)/100</f>
        <v>0</v>
      </c>
    </row>
    <row r="30" spans="1:3" x14ac:dyDescent="0.3">
      <c r="A30" t="s">
        <v>55</v>
      </c>
      <c r="B30" t="s">
        <v>517</v>
      </c>
      <c r="C30" s="6">
        <f>VLOOKUP(A30,Data!$A$5:$BH$270,60,0)/100</f>
        <v>0.46700000000000003</v>
      </c>
    </row>
    <row r="31" spans="1:3" x14ac:dyDescent="0.3">
      <c r="A31" t="s">
        <v>592</v>
      </c>
      <c r="B31" t="s">
        <v>339</v>
      </c>
      <c r="C31" s="6">
        <f>VLOOKUP(A31,Data!$A$5:$BH$270,60,0)/100</f>
        <v>0.51900000000000002</v>
      </c>
    </row>
    <row r="32" spans="1:3" x14ac:dyDescent="0.3">
      <c r="A32" t="s">
        <v>562</v>
      </c>
      <c r="B32" t="s">
        <v>394</v>
      </c>
      <c r="C32" s="6">
        <f>VLOOKUP(A32,Data!$A$5:$BH$270,60,0)/100</f>
        <v>0</v>
      </c>
    </row>
    <row r="33" spans="1:3" x14ac:dyDescent="0.3">
      <c r="A33" t="s">
        <v>434</v>
      </c>
      <c r="B33" t="s">
        <v>128</v>
      </c>
      <c r="C33" s="6">
        <f>VLOOKUP(A33,Data!$A$5:$BH$270,60,0)/100</f>
        <v>0</v>
      </c>
    </row>
    <row r="34" spans="1:3" x14ac:dyDescent="0.3">
      <c r="A34" t="s">
        <v>571</v>
      </c>
      <c r="B34" t="s">
        <v>121</v>
      </c>
      <c r="C34" s="6">
        <f>VLOOKUP(A34,Data!$A$5:$BH$270,60,0)/100</f>
        <v>0</v>
      </c>
    </row>
    <row r="35" spans="1:3" x14ac:dyDescent="0.3">
      <c r="A35" t="s">
        <v>50</v>
      </c>
      <c r="B35" t="s">
        <v>401</v>
      </c>
      <c r="C35" s="6">
        <f>VLOOKUP(A35,Data!$A$5:$BH$270,60,0)/100</f>
        <v>0.54899999999999993</v>
      </c>
    </row>
    <row r="36" spans="1:3" x14ac:dyDescent="0.3">
      <c r="A36" t="s">
        <v>187</v>
      </c>
      <c r="B36" t="s">
        <v>491</v>
      </c>
      <c r="C36" s="6">
        <f>VLOOKUP(A36,Data!$A$5:$BH$270,60,0)/100</f>
        <v>0</v>
      </c>
    </row>
    <row r="37" spans="1:3" x14ac:dyDescent="0.3">
      <c r="A37" t="s">
        <v>201</v>
      </c>
      <c r="B37" t="s">
        <v>563</v>
      </c>
      <c r="C37" s="6">
        <f>VLOOKUP(A37,Data!$A$5:$BH$270,60,0)/100</f>
        <v>0.33700000000000002</v>
      </c>
    </row>
    <row r="38" spans="1:3" x14ac:dyDescent="0.3">
      <c r="A38" t="s">
        <v>443</v>
      </c>
      <c r="B38" t="s">
        <v>237</v>
      </c>
      <c r="C38" s="6">
        <f>VLOOKUP(A38,Data!$A$5:$BH$270,60,0)/100</f>
        <v>0</v>
      </c>
    </row>
    <row r="39" spans="1:3" x14ac:dyDescent="0.3">
      <c r="A39" t="s">
        <v>190</v>
      </c>
      <c r="B39" t="s">
        <v>646</v>
      </c>
      <c r="C39" s="6">
        <f>VLOOKUP(A39,Data!$A$5:$BH$270,60,0)/100</f>
        <v>0.32299999999999995</v>
      </c>
    </row>
    <row r="40" spans="1:3" x14ac:dyDescent="0.3">
      <c r="A40" t="s">
        <v>395</v>
      </c>
      <c r="B40" t="s">
        <v>318</v>
      </c>
      <c r="C40" s="6">
        <f>VLOOKUP(A40,Data!$A$5:$BH$270,60,0)/100</f>
        <v>0</v>
      </c>
    </row>
    <row r="41" spans="1:3" x14ac:dyDescent="0.3">
      <c r="A41" t="s">
        <v>166</v>
      </c>
      <c r="B41" t="s">
        <v>653</v>
      </c>
      <c r="C41" s="6">
        <f>VLOOKUP(A41,Data!$A$5:$BH$270,60,0)/100</f>
        <v>0.45299999999999996</v>
      </c>
    </row>
    <row r="42" spans="1:3" x14ac:dyDescent="0.3">
      <c r="A42" t="s">
        <v>505</v>
      </c>
      <c r="B42" t="s">
        <v>188</v>
      </c>
      <c r="C42" s="6">
        <f>VLOOKUP(A42,Data!$A$5:$BH$270,60,0)/100</f>
        <v>0.38600000000000001</v>
      </c>
    </row>
    <row r="43" spans="1:3" x14ac:dyDescent="0.3">
      <c r="A43" t="s">
        <v>686</v>
      </c>
      <c r="B43" t="s">
        <v>336</v>
      </c>
      <c r="C43" s="6">
        <f>VLOOKUP(A43,Data!$A$5:$BH$270,60,0)/100</f>
        <v>0.41499999999999998</v>
      </c>
    </row>
    <row r="44" spans="1:3" x14ac:dyDescent="0.3">
      <c r="A44" t="s">
        <v>740</v>
      </c>
      <c r="B44" t="s">
        <v>78</v>
      </c>
      <c r="C44" s="6">
        <f>VLOOKUP(A44,Data!$A$5:$BH$270,60,0)/100</f>
        <v>0</v>
      </c>
    </row>
    <row r="45" spans="1:3" x14ac:dyDescent="0.3">
      <c r="A45" t="s">
        <v>497</v>
      </c>
      <c r="B45" t="s">
        <v>228</v>
      </c>
      <c r="C45" s="6">
        <f>VLOOKUP(A45,Data!$A$5:$BH$270,60,0)/100</f>
        <v>0.43075000000000002</v>
      </c>
    </row>
    <row r="46" spans="1:3" x14ac:dyDescent="0.3">
      <c r="A46" t="s">
        <v>393</v>
      </c>
      <c r="B46" t="s">
        <v>410</v>
      </c>
      <c r="C46" s="6">
        <f>VLOOKUP(A46,Data!$A$5:$BH$270,60,0)/100</f>
        <v>0</v>
      </c>
    </row>
    <row r="47" spans="1:3" x14ac:dyDescent="0.3">
      <c r="A47" t="s">
        <v>558</v>
      </c>
      <c r="B47" t="s">
        <v>303</v>
      </c>
      <c r="C47" s="6">
        <f>VLOOKUP(A47,Data!$A$5:$BH$270,60,0)/100</f>
        <v>0.51</v>
      </c>
    </row>
    <row r="48" spans="1:3" x14ac:dyDescent="0.3">
      <c r="A48" t="s">
        <v>360</v>
      </c>
      <c r="B48" t="s">
        <v>356</v>
      </c>
      <c r="C48" s="6">
        <f>VLOOKUP(A48,Data!$A$5:$BH$270,60,0)/100</f>
        <v>0</v>
      </c>
    </row>
    <row r="49" spans="1:3" x14ac:dyDescent="0.3">
      <c r="A49" t="s">
        <v>495</v>
      </c>
      <c r="B49" t="s">
        <v>567</v>
      </c>
      <c r="C49" s="6">
        <f>VLOOKUP(A49,Data!$A$5:$BH$270,60,0)/100</f>
        <v>0.42399999999999999</v>
      </c>
    </row>
    <row r="50" spans="1:3" x14ac:dyDescent="0.3">
      <c r="A50" t="s">
        <v>344</v>
      </c>
      <c r="B50" t="s">
        <v>11</v>
      </c>
      <c r="C50" s="6">
        <f>VLOOKUP(A50,Data!$A$5:$BH$270,60,0)/100</f>
        <v>0.48399999999999999</v>
      </c>
    </row>
    <row r="51" spans="1:3" x14ac:dyDescent="0.3">
      <c r="A51" t="s">
        <v>345</v>
      </c>
      <c r="B51" t="s">
        <v>298</v>
      </c>
      <c r="C51" s="6">
        <f>VLOOKUP(A51,Data!$A$5:$BH$270,60,0)/100</f>
        <v>0</v>
      </c>
    </row>
    <row r="52" spans="1:3" x14ac:dyDescent="0.3">
      <c r="A52" t="s">
        <v>98</v>
      </c>
      <c r="B52" t="s">
        <v>254</v>
      </c>
      <c r="C52" s="6">
        <f>VLOOKUP(A52,Data!$A$5:$BH$270,60,0)/100</f>
        <v>0</v>
      </c>
    </row>
    <row r="53" spans="1:3" x14ac:dyDescent="0.3">
      <c r="A53" t="s">
        <v>373</v>
      </c>
      <c r="B53" t="s">
        <v>99</v>
      </c>
      <c r="C53" s="6">
        <f>VLOOKUP(A53,Data!$A$5:$BH$270,60,0)/100</f>
        <v>0</v>
      </c>
    </row>
    <row r="54" spans="1:3" x14ac:dyDescent="0.3">
      <c r="A54" t="s">
        <v>481</v>
      </c>
      <c r="B54" t="s">
        <v>649</v>
      </c>
      <c r="C54" s="6">
        <f>VLOOKUP(A54,Data!$A$5:$BH$270,60,0)/100</f>
        <v>0</v>
      </c>
    </row>
    <row r="55" spans="1:3" x14ac:dyDescent="0.3">
      <c r="A55" t="s">
        <v>447</v>
      </c>
      <c r="B55" t="s">
        <v>255</v>
      </c>
      <c r="C55" s="6">
        <f>VLOOKUP(A55,Data!$A$5:$BH$270,60,0)/100</f>
        <v>0.34</v>
      </c>
    </row>
    <row r="56" spans="1:3" x14ac:dyDescent="0.3">
      <c r="A56" t="s">
        <v>352</v>
      </c>
      <c r="B56" t="s">
        <v>666</v>
      </c>
      <c r="C56" s="6">
        <f>VLOOKUP(A56,Data!$A$5:$BH$270,60,0)/100</f>
        <v>0.25900000000000001</v>
      </c>
    </row>
    <row r="57" spans="1:3" x14ac:dyDescent="0.3">
      <c r="A57" t="s">
        <v>484</v>
      </c>
      <c r="B57" t="s">
        <v>487</v>
      </c>
      <c r="C57" s="6">
        <f>VLOOKUP(A57,Data!$A$5:$BH$270,60,0)/100</f>
        <v>0.317</v>
      </c>
    </row>
    <row r="58" spans="1:3" x14ac:dyDescent="0.3">
      <c r="A58" t="s">
        <v>21</v>
      </c>
      <c r="B58" t="s">
        <v>247</v>
      </c>
      <c r="C58" s="6">
        <f>VLOOKUP(A58,Data!$A$5:$BH$270,60,0)/100</f>
        <v>0</v>
      </c>
    </row>
    <row r="59" spans="1:3" x14ac:dyDescent="0.3">
      <c r="A59" t="s">
        <v>688</v>
      </c>
      <c r="B59" t="s">
        <v>262</v>
      </c>
      <c r="C59" s="6">
        <f>VLOOKUP(A59,Data!$A$5:$BH$270,60,0)/100</f>
        <v>0</v>
      </c>
    </row>
    <row r="60" spans="1:3" x14ac:dyDescent="0.3">
      <c r="A60" t="s">
        <v>310</v>
      </c>
      <c r="B60" t="s">
        <v>530</v>
      </c>
      <c r="C60" s="6">
        <f>VLOOKUP(A60,Data!$A$5:$BH$270,60,0)/100</f>
        <v>0.28199999999999997</v>
      </c>
    </row>
    <row r="61" spans="1:3" x14ac:dyDescent="0.3">
      <c r="A61" t="s">
        <v>421</v>
      </c>
      <c r="B61" t="s">
        <v>713</v>
      </c>
      <c r="C61" s="6">
        <f>VLOOKUP(A61,Data!$A$5:$BH$270,60,0)/100</f>
        <v>0.45200000000000001</v>
      </c>
    </row>
    <row r="62" spans="1:3" x14ac:dyDescent="0.3">
      <c r="A62" t="s">
        <v>687</v>
      </c>
      <c r="B62" t="s">
        <v>30</v>
      </c>
      <c r="C62" s="6">
        <f>VLOOKUP(A62,Data!$A$5:$BH$270,60,0)/100</f>
        <v>0</v>
      </c>
    </row>
    <row r="63" spans="1:3" x14ac:dyDescent="0.3">
      <c r="A63" t="s">
        <v>211</v>
      </c>
      <c r="B63" t="s">
        <v>239</v>
      </c>
      <c r="C63" s="6">
        <f>VLOOKUP(A63,Data!$A$5:$BH$270,60,0)/100</f>
        <v>0</v>
      </c>
    </row>
    <row r="64" spans="1:3" x14ac:dyDescent="0.3">
      <c r="A64" t="s">
        <v>691</v>
      </c>
      <c r="B64" t="s">
        <v>361</v>
      </c>
      <c r="C64" s="6">
        <f>VLOOKUP(A64,Data!$A$5:$BH$270,60,0)/100</f>
        <v>0</v>
      </c>
    </row>
    <row r="65" spans="1:3" x14ac:dyDescent="0.3">
      <c r="A65" t="s">
        <v>489</v>
      </c>
      <c r="B65" t="s">
        <v>585</v>
      </c>
      <c r="C65" s="6">
        <f>VLOOKUP(A65,Data!$A$5:$BH$270,60,0)/100</f>
        <v>0</v>
      </c>
    </row>
    <row r="66" spans="1:3" x14ac:dyDescent="0.3">
      <c r="A66" t="s">
        <v>277</v>
      </c>
      <c r="B66" t="s">
        <v>326</v>
      </c>
      <c r="C66" s="6">
        <f>VLOOKUP(A66,Data!$A$5:$BH$270,60,0)/100</f>
        <v>0</v>
      </c>
    </row>
    <row r="67" spans="1:3" x14ac:dyDescent="0.3">
      <c r="A67" t="s">
        <v>399</v>
      </c>
      <c r="B67" t="s">
        <v>584</v>
      </c>
      <c r="C67" s="6">
        <f>VLOOKUP(A67,Data!$A$5:$BH$270,60,0)/100</f>
        <v>0</v>
      </c>
    </row>
    <row r="68" spans="1:3" x14ac:dyDescent="0.3">
      <c r="A68" t="s">
        <v>248</v>
      </c>
      <c r="B68" t="s">
        <v>110</v>
      </c>
      <c r="C68" s="6">
        <f>VLOOKUP(A68,Data!$A$5:$BH$270,60,0)/100</f>
        <v>0.46</v>
      </c>
    </row>
    <row r="69" spans="1:3" x14ac:dyDescent="0.3">
      <c r="A69" t="s">
        <v>260</v>
      </c>
      <c r="B69" t="s">
        <v>670</v>
      </c>
      <c r="C69" s="6">
        <f>VLOOKUP(A69,Data!$A$5:$BH$270,60,0)/100</f>
        <v>0.318</v>
      </c>
    </row>
    <row r="70" spans="1:3" x14ac:dyDescent="0.3">
      <c r="A70" t="s">
        <v>143</v>
      </c>
      <c r="B70" t="s">
        <v>409</v>
      </c>
      <c r="C70" s="6">
        <f>VLOOKUP(A70,Data!$A$5:$BH$270,60,0)/100</f>
        <v>0</v>
      </c>
    </row>
    <row r="71" spans="1:3" x14ac:dyDescent="0.3">
      <c r="A71" t="s">
        <v>723</v>
      </c>
      <c r="B71" t="s">
        <v>171</v>
      </c>
      <c r="C71" s="6">
        <f>VLOOKUP(A71,Data!$A$5:$BH$270,60,0)/100</f>
        <v>0</v>
      </c>
    </row>
    <row r="72" spans="1:3" x14ac:dyDescent="0.3">
      <c r="A72" t="s">
        <v>81</v>
      </c>
      <c r="B72" t="s">
        <v>253</v>
      </c>
      <c r="C72" s="6">
        <f>VLOOKUP(A72,Data!$A$5:$BH$270,60,0)/100</f>
        <v>0.36200000000000004</v>
      </c>
    </row>
    <row r="73" spans="1:3" x14ac:dyDescent="0.3">
      <c r="A73" t="s">
        <v>515</v>
      </c>
      <c r="B73" t="s">
        <v>655</v>
      </c>
      <c r="C73" s="6">
        <f>VLOOKUP(A73,Data!$A$5:$BH$270,60,0)/100</f>
        <v>0.32700000000000001</v>
      </c>
    </row>
    <row r="74" spans="1:3" x14ac:dyDescent="0.3">
      <c r="A74" t="s">
        <v>158</v>
      </c>
      <c r="B74" t="s">
        <v>101</v>
      </c>
      <c r="C74" s="6">
        <f>VLOOKUP(A74,Data!$A$5:$BH$270,60,0)/100</f>
        <v>0.35</v>
      </c>
    </row>
    <row r="75" spans="1:3" x14ac:dyDescent="0.3">
      <c r="A75" t="s">
        <v>41</v>
      </c>
      <c r="B75" t="s">
        <v>702</v>
      </c>
      <c r="C75" s="6">
        <f>VLOOKUP(A75,Data!$A$5:$BH$270,60,0)/100</f>
        <v>0</v>
      </c>
    </row>
    <row r="76" spans="1:3" x14ac:dyDescent="0.3">
      <c r="A76" t="s">
        <v>219</v>
      </c>
      <c r="B76" t="s">
        <v>357</v>
      </c>
      <c r="C76" s="6">
        <f>VLOOKUP(A76,Data!$A$5:$BH$270,60,0)/100</f>
        <v>0</v>
      </c>
    </row>
    <row r="77" spans="1:3" x14ac:dyDescent="0.3">
      <c r="A77" t="s">
        <v>53</v>
      </c>
      <c r="B77" t="s">
        <v>26</v>
      </c>
      <c r="C77" s="6">
        <f>VLOOKUP(A77,Data!$A$5:$BH$270,60,0)/100</f>
        <v>0.27100000000000002</v>
      </c>
    </row>
    <row r="78" spans="1:3" x14ac:dyDescent="0.3">
      <c r="A78" t="s">
        <v>148</v>
      </c>
      <c r="B78" t="s">
        <v>391</v>
      </c>
      <c r="C78" s="6">
        <f>VLOOKUP(A78,Data!$A$5:$BH$270,60,0)/100</f>
        <v>0</v>
      </c>
    </row>
    <row r="79" spans="1:3" x14ac:dyDescent="0.3">
      <c r="A79" t="s">
        <v>379</v>
      </c>
      <c r="B79" t="s">
        <v>625</v>
      </c>
      <c r="C79" s="6">
        <f>VLOOKUP(A79,Data!$A$5:$BH$270,60,0)/100</f>
        <v>0.32700000000000001</v>
      </c>
    </row>
    <row r="80" spans="1:3" x14ac:dyDescent="0.3">
      <c r="A80" t="s">
        <v>343</v>
      </c>
      <c r="B80" t="s">
        <v>472</v>
      </c>
      <c r="C80" s="6">
        <f>VLOOKUP(A80,Data!$A$5:$BH$270,60,0)/100</f>
        <v>0</v>
      </c>
    </row>
    <row r="81" spans="1:3" x14ac:dyDescent="0.3">
      <c r="A81" t="s">
        <v>388</v>
      </c>
      <c r="B81" t="s">
        <v>284</v>
      </c>
      <c r="C81" s="6">
        <f>VLOOKUP(A81,Data!$A$5:$BH$270,60,0)/100</f>
        <v>0</v>
      </c>
    </row>
    <row r="82" spans="1:3" x14ac:dyDescent="0.3">
      <c r="A82" t="s">
        <v>500</v>
      </c>
      <c r="B82" t="s">
        <v>371</v>
      </c>
      <c r="C82" s="6">
        <f>VLOOKUP(A82,Data!$A$5:$BH$270,60,0)/100</f>
        <v>0</v>
      </c>
    </row>
    <row r="83" spans="1:3" x14ac:dyDescent="0.3">
      <c r="A83" t="s">
        <v>667</v>
      </c>
      <c r="B83" t="s">
        <v>586</v>
      </c>
      <c r="C83" s="6">
        <f>VLOOKUP(A83,Data!$A$5:$BH$270,60,0)/100</f>
        <v>0.33299999999999996</v>
      </c>
    </row>
    <row r="84" spans="1:3" x14ac:dyDescent="0.3">
      <c r="A84" t="s">
        <v>619</v>
      </c>
      <c r="B84" t="s">
        <v>467</v>
      </c>
      <c r="C84" s="6">
        <f>VLOOKUP(A84,Data!$A$5:$BH$270,60,0)/100</f>
        <v>0.36499999999999999</v>
      </c>
    </row>
    <row r="85" spans="1:3" x14ac:dyDescent="0.3">
      <c r="A85" t="s">
        <v>169</v>
      </c>
      <c r="B85" t="s">
        <v>550</v>
      </c>
      <c r="C85" s="6">
        <f>VLOOKUP(A85,Data!$A$5:$BH$270,60,0)/100</f>
        <v>0</v>
      </c>
    </row>
    <row r="86" spans="1:3" x14ac:dyDescent="0.3">
      <c r="A86" t="s">
        <v>131</v>
      </c>
      <c r="B86" t="s">
        <v>681</v>
      </c>
      <c r="C86" s="6">
        <f>VLOOKUP(A86,Data!$A$5:$BH$270,60,0)/100</f>
        <v>0</v>
      </c>
    </row>
    <row r="87" spans="1:3" x14ac:dyDescent="0.3">
      <c r="A87" t="s">
        <v>575</v>
      </c>
      <c r="B87" t="s">
        <v>570</v>
      </c>
      <c r="C87" s="6">
        <f>VLOOKUP(A87,Data!$A$5:$BH$270,60,0)/100</f>
        <v>0</v>
      </c>
    </row>
    <row r="88" spans="1:3" x14ac:dyDescent="0.3">
      <c r="A88" t="s">
        <v>25</v>
      </c>
      <c r="B88" t="s">
        <v>85</v>
      </c>
      <c r="C88" s="6">
        <f>VLOOKUP(A88,Data!$A$5:$BH$270,60,0)/100</f>
        <v>0.35899999999999999</v>
      </c>
    </row>
    <row r="89" spans="1:3" x14ac:dyDescent="0.3">
      <c r="A89" t="s">
        <v>580</v>
      </c>
      <c r="B89" t="s">
        <v>162</v>
      </c>
      <c r="C89" s="6">
        <f>VLOOKUP(A89,Data!$A$5:$BH$270,60,0)/100</f>
        <v>0</v>
      </c>
    </row>
    <row r="90" spans="1:3" x14ac:dyDescent="0.3">
      <c r="A90" t="s">
        <v>643</v>
      </c>
      <c r="B90" t="s">
        <v>232</v>
      </c>
      <c r="C90" s="6">
        <f>VLOOKUP(A90,Data!$A$5:$BH$270,60,0)/100</f>
        <v>0</v>
      </c>
    </row>
    <row r="91" spans="1:3" x14ac:dyDescent="0.3">
      <c r="A91" t="s">
        <v>689</v>
      </c>
      <c r="B91" t="s">
        <v>544</v>
      </c>
      <c r="C91" s="6">
        <f>VLOOKUP(A91,Data!$A$5:$BH$270,60,0)/100</f>
        <v>0.36</v>
      </c>
    </row>
    <row r="92" spans="1:3" x14ac:dyDescent="0.3">
      <c r="A92" t="s">
        <v>75</v>
      </c>
      <c r="B92" t="s">
        <v>598</v>
      </c>
      <c r="C92" s="6">
        <f>VLOOKUP(A92,Data!$A$5:$BH$270,60,0)/100</f>
        <v>0</v>
      </c>
    </row>
    <row r="93" spans="1:3" x14ac:dyDescent="0.3">
      <c r="A93" t="s">
        <v>525</v>
      </c>
      <c r="B93" t="s">
        <v>661</v>
      </c>
      <c r="C93" s="6">
        <f>VLOOKUP(A93,Data!$A$5:$BH$270,60,0)/100</f>
        <v>0</v>
      </c>
    </row>
    <row r="94" spans="1:3" x14ac:dyDescent="0.3">
      <c r="A94" t="s">
        <v>265</v>
      </c>
      <c r="B94" t="s">
        <v>139</v>
      </c>
      <c r="C94" s="6">
        <f>VLOOKUP(A94,Data!$A$5:$BH$270,60,0)/100</f>
        <v>0</v>
      </c>
    </row>
    <row r="95" spans="1:3" x14ac:dyDescent="0.3">
      <c r="A95" t="s">
        <v>733</v>
      </c>
      <c r="B95" t="s">
        <v>40</v>
      </c>
      <c r="C95" s="6">
        <f>VLOOKUP(A95,Data!$A$5:$BH$270,60,0)/100</f>
        <v>0</v>
      </c>
    </row>
    <row r="96" spans="1:3" x14ac:dyDescent="0.3">
      <c r="A96" t="s">
        <v>363</v>
      </c>
      <c r="B96" t="s">
        <v>532</v>
      </c>
      <c r="C96" s="6">
        <f>VLOOKUP(A96,Data!$A$5:$BH$270,60,0)/100</f>
        <v>0</v>
      </c>
    </row>
    <row r="97" spans="1:3" x14ac:dyDescent="0.3">
      <c r="A97" t="s">
        <v>351</v>
      </c>
      <c r="B97" t="s">
        <v>533</v>
      </c>
      <c r="C97" s="6">
        <f>VLOOKUP(A97,Data!$A$5:$BH$270,60,0)/100</f>
        <v>0</v>
      </c>
    </row>
    <row r="98" spans="1:3" x14ac:dyDescent="0.3">
      <c r="A98" t="s">
        <v>272</v>
      </c>
      <c r="B98" t="s">
        <v>340</v>
      </c>
      <c r="C98" s="6">
        <f>VLOOKUP(A98,Data!$A$5:$BH$270,60,0)/100</f>
        <v>0</v>
      </c>
    </row>
    <row r="99" spans="1:3" x14ac:dyDescent="0.3">
      <c r="A99" t="s">
        <v>551</v>
      </c>
      <c r="B99" t="s">
        <v>64</v>
      </c>
      <c r="C99" s="6">
        <f>VLOOKUP(A99,Data!$A$5:$BH$270,60,0)/100</f>
        <v>0.49200000000000005</v>
      </c>
    </row>
    <row r="100" spans="1:3" x14ac:dyDescent="0.3">
      <c r="A100" t="s">
        <v>682</v>
      </c>
      <c r="B100" t="s">
        <v>159</v>
      </c>
      <c r="C100" s="6">
        <f>VLOOKUP(A100,Data!$A$5:$BH$270,60,0)/100</f>
        <v>0</v>
      </c>
    </row>
    <row r="101" spans="1:3" x14ac:dyDescent="0.3">
      <c r="A101" t="s">
        <v>520</v>
      </c>
      <c r="B101" t="s">
        <v>624</v>
      </c>
      <c r="C101" s="6">
        <f>VLOOKUP(A101,Data!$A$5:$BH$270,60,0)/100</f>
        <v>0.311</v>
      </c>
    </row>
    <row r="102" spans="1:3" x14ac:dyDescent="0.3">
      <c r="A102" t="s">
        <v>5</v>
      </c>
      <c r="B102" t="s">
        <v>92</v>
      </c>
      <c r="C102" s="6">
        <f>VLOOKUP(A102,Data!$A$5:$BH$270,60,0)/100</f>
        <v>0</v>
      </c>
    </row>
    <row r="103" spans="1:3" x14ac:dyDescent="0.3">
      <c r="A103" t="s">
        <v>52</v>
      </c>
      <c r="B103" t="s">
        <v>636</v>
      </c>
      <c r="C103" s="6">
        <f>VLOOKUP(A103,Data!$A$5:$BH$270,60,0)/100</f>
        <v>0.30399999999999999</v>
      </c>
    </row>
    <row r="104" spans="1:3" x14ac:dyDescent="0.3">
      <c r="A104" t="s">
        <v>714</v>
      </c>
      <c r="B104" t="s">
        <v>144</v>
      </c>
      <c r="C104" s="6">
        <f>VLOOKUP(A104,Data!$A$5:$BH$270,60,0)/100</f>
        <v>0</v>
      </c>
    </row>
    <row r="105" spans="1:3" x14ac:dyDescent="0.3">
      <c r="A105" t="s">
        <v>79</v>
      </c>
      <c r="B105" t="s">
        <v>276</v>
      </c>
      <c r="C105" s="6">
        <f>VLOOKUP(A105,Data!$A$5:$BH$270,60,0)/100</f>
        <v>0</v>
      </c>
    </row>
    <row r="106" spans="1:3" x14ac:dyDescent="0.3">
      <c r="A106" t="s">
        <v>735</v>
      </c>
      <c r="B106" t="s">
        <v>548</v>
      </c>
      <c r="C106" s="6">
        <f>VLOOKUP(A106,Data!$A$5:$BH$270,60,0)/100</f>
        <v>0</v>
      </c>
    </row>
    <row r="107" spans="1:3" x14ac:dyDescent="0.3">
      <c r="A107" t="s">
        <v>502</v>
      </c>
      <c r="B107" t="s">
        <v>1</v>
      </c>
      <c r="C107" s="6">
        <f>VLOOKUP(A107,Data!$A$5:$BH$270,60,0)/100</f>
        <v>0</v>
      </c>
    </row>
    <row r="108" spans="1:3" x14ac:dyDescent="0.3">
      <c r="A108" t="s">
        <v>471</v>
      </c>
      <c r="B108" t="s">
        <v>478</v>
      </c>
      <c r="C108" s="6">
        <f>VLOOKUP(A108,Data!$A$5:$BH$270,60,0)/100</f>
        <v>0.38200000000000001</v>
      </c>
    </row>
    <row r="109" spans="1:3" x14ac:dyDescent="0.3">
      <c r="A109" t="s">
        <v>729</v>
      </c>
      <c r="B109" t="s">
        <v>673</v>
      </c>
      <c r="C109" s="6">
        <f>VLOOKUP(A109,Data!$A$5:$BH$270,60,0)/100</f>
        <v>0</v>
      </c>
    </row>
    <row r="110" spans="1:3" x14ac:dyDescent="0.3">
      <c r="A110" t="s">
        <v>301</v>
      </c>
      <c r="B110" t="s">
        <v>116</v>
      </c>
      <c r="C110" s="6">
        <f>VLOOKUP(A110,Data!$A$5:$BH$270,60,0)/100</f>
        <v>0</v>
      </c>
    </row>
    <row r="111" spans="1:3" x14ac:dyDescent="0.3">
      <c r="A111" t="s">
        <v>206</v>
      </c>
      <c r="B111" t="s">
        <v>595</v>
      </c>
      <c r="C111" s="6">
        <f>VLOOKUP(A111,Data!$A$5:$BH$270,60,0)/100</f>
        <v>0</v>
      </c>
    </row>
    <row r="112" spans="1:3" x14ac:dyDescent="0.3">
      <c r="A112" t="s">
        <v>519</v>
      </c>
      <c r="B112" t="s">
        <v>374</v>
      </c>
      <c r="C112" s="6">
        <f>VLOOKUP(A112,Data!$A$5:$BH$270,60,0)/100</f>
        <v>0</v>
      </c>
    </row>
    <row r="113" spans="1:3" x14ac:dyDescent="0.3">
      <c r="A113" t="s">
        <v>105</v>
      </c>
      <c r="B113" t="s">
        <v>57</v>
      </c>
      <c r="C113" s="6">
        <f>VLOOKUP(A113,Data!$A$5:$BH$270,60,0)/100</f>
        <v>0.318</v>
      </c>
    </row>
    <row r="114" spans="1:3" x14ac:dyDescent="0.3">
      <c r="A114" t="s">
        <v>419</v>
      </c>
      <c r="B114" t="s">
        <v>181</v>
      </c>
      <c r="C114" s="6">
        <f>VLOOKUP(A114,Data!$A$5:$BH$270,60,0)/100</f>
        <v>0.35299999999999998</v>
      </c>
    </row>
    <row r="115" spans="1:3" x14ac:dyDescent="0.3">
      <c r="A115" t="s">
        <v>0</v>
      </c>
      <c r="B115" t="s">
        <v>538</v>
      </c>
      <c r="C115" s="6">
        <f>VLOOKUP(A115,Data!$A$5:$BH$270,60,0)/100</f>
        <v>0</v>
      </c>
    </row>
    <row r="116" spans="1:3" x14ac:dyDescent="0.3">
      <c r="A116" t="s">
        <v>28</v>
      </c>
      <c r="B116" t="s">
        <v>145</v>
      </c>
      <c r="C116" s="6">
        <f>VLOOKUP(A116,Data!$A$5:$BH$270,60,0)/100</f>
        <v>0.26800000000000002</v>
      </c>
    </row>
    <row r="117" spans="1:3" x14ac:dyDescent="0.3">
      <c r="A117" t="s">
        <v>485</v>
      </c>
      <c r="B117" t="s">
        <v>669</v>
      </c>
      <c r="C117" s="6">
        <f>VLOOKUP(A117,Data!$A$5:$BH$270,60,0)/100</f>
        <v>0.39700000000000002</v>
      </c>
    </row>
    <row r="118" spans="1:3" x14ac:dyDescent="0.3">
      <c r="A118" t="s">
        <v>174</v>
      </c>
      <c r="B118" t="s">
        <v>564</v>
      </c>
      <c r="C118" s="6">
        <f>VLOOKUP(A118,Data!$A$5:$BH$270,60,0)/100</f>
        <v>0.35399999999999998</v>
      </c>
    </row>
    <row r="119" spans="1:3" x14ac:dyDescent="0.3">
      <c r="A119" t="s">
        <v>126</v>
      </c>
      <c r="B119" t="s">
        <v>700</v>
      </c>
      <c r="C119" s="6">
        <f>VLOOKUP(A119,Data!$A$5:$BH$270,60,0)/100</f>
        <v>0</v>
      </c>
    </row>
    <row r="120" spans="1:3" x14ac:dyDescent="0.3">
      <c r="A120" t="s">
        <v>574</v>
      </c>
      <c r="B120" t="s">
        <v>309</v>
      </c>
      <c r="C120" s="6">
        <f>VLOOKUP(A120,Data!$A$5:$BH$270,60,0)/100</f>
        <v>0</v>
      </c>
    </row>
    <row r="121" spans="1:3" x14ac:dyDescent="0.3">
      <c r="A121" t="s">
        <v>732</v>
      </c>
      <c r="B121" t="s">
        <v>565</v>
      </c>
      <c r="C121" s="6">
        <f>VLOOKUP(A121,Data!$A$5:$BH$270,60,0)/100</f>
        <v>0.307</v>
      </c>
    </row>
    <row r="122" spans="1:3" x14ac:dyDescent="0.3">
      <c r="A122" t="s">
        <v>83</v>
      </c>
      <c r="B122" t="s">
        <v>290</v>
      </c>
      <c r="C122" s="6">
        <f>VLOOKUP(A122,Data!$A$5:$BH$270,60,0)/100</f>
        <v>0.26800000000000002</v>
      </c>
    </row>
    <row r="123" spans="1:3" x14ac:dyDescent="0.3">
      <c r="A123" t="s">
        <v>737</v>
      </c>
      <c r="B123" t="s">
        <v>694</v>
      </c>
      <c r="C123" s="6">
        <f>VLOOKUP(A123,Data!$A$5:$BH$270,60,0)/100</f>
        <v>0.40799999999999997</v>
      </c>
    </row>
    <row r="124" spans="1:3" x14ac:dyDescent="0.3">
      <c r="A124" t="s">
        <v>469</v>
      </c>
      <c r="B124" t="s">
        <v>422</v>
      </c>
      <c r="C124" s="6">
        <f>VLOOKUP(A124,Data!$A$5:$BH$270,60,0)/100</f>
        <v>0.28999999999999998</v>
      </c>
    </row>
    <row r="125" spans="1:3" x14ac:dyDescent="0.3">
      <c r="A125" t="s">
        <v>672</v>
      </c>
      <c r="B125" t="s">
        <v>707</v>
      </c>
      <c r="C125" s="6">
        <f>VLOOKUP(A125,Data!$A$5:$BH$270,60,0)/100</f>
        <v>0</v>
      </c>
    </row>
    <row r="126" spans="1:3" x14ac:dyDescent="0.3">
      <c r="A126" t="s">
        <v>634</v>
      </c>
      <c r="B126" t="s">
        <v>526</v>
      </c>
      <c r="C126" s="6">
        <f>VLOOKUP(A126,Data!$A$5:$BH$270,60,0)/100</f>
        <v>0</v>
      </c>
    </row>
    <row r="127" spans="1:3" x14ac:dyDescent="0.3">
      <c r="A127" t="s">
        <v>167</v>
      </c>
      <c r="B127" t="s">
        <v>392</v>
      </c>
      <c r="C127" s="6">
        <f>VLOOKUP(A127,Data!$A$5:$BH$270,60,0)/100</f>
        <v>0</v>
      </c>
    </row>
    <row r="128" spans="1:3" x14ac:dyDescent="0.3">
      <c r="A128" t="s">
        <v>196</v>
      </c>
      <c r="B128" t="s">
        <v>665</v>
      </c>
      <c r="C128" s="6">
        <f>VLOOKUP(A128,Data!$A$5:$BH$270,60,0)/100</f>
        <v>0</v>
      </c>
    </row>
    <row r="129" spans="1:3" x14ac:dyDescent="0.3">
      <c r="A129" t="s">
        <v>722</v>
      </c>
      <c r="B129" t="s">
        <v>508</v>
      </c>
      <c r="C129" s="6">
        <f>VLOOKUP(A129,Data!$A$5:$BH$270,60,0)/100</f>
        <v>0</v>
      </c>
    </row>
    <row r="130" spans="1:3" x14ac:dyDescent="0.3">
      <c r="A130" t="s">
        <v>285</v>
      </c>
      <c r="B130" t="s">
        <v>521</v>
      </c>
      <c r="C130" s="6">
        <f>VLOOKUP(A130,Data!$A$5:$BH$270,60,0)/100</f>
        <v>0</v>
      </c>
    </row>
    <row r="131" spans="1:3" x14ac:dyDescent="0.3">
      <c r="A131" t="s">
        <v>573</v>
      </c>
      <c r="B131" t="s">
        <v>242</v>
      </c>
      <c r="C131" s="6">
        <f>VLOOKUP(A131,Data!$A$5:$BH$270,60,0)/100</f>
        <v>0</v>
      </c>
    </row>
    <row r="132" spans="1:3" x14ac:dyDescent="0.3">
      <c r="A132" t="s">
        <v>445</v>
      </c>
      <c r="B132" t="s">
        <v>261</v>
      </c>
      <c r="C132" s="6">
        <f>VLOOKUP(A132,Data!$A$5:$BH$270,60,0)/100</f>
        <v>0</v>
      </c>
    </row>
    <row r="133" spans="1:3" x14ac:dyDescent="0.3">
      <c r="A133" t="s">
        <v>245</v>
      </c>
      <c r="B133" t="s">
        <v>660</v>
      </c>
      <c r="C133" s="6">
        <f>VLOOKUP(A133,Data!$A$5:$BH$270,60,0)/100</f>
        <v>0</v>
      </c>
    </row>
    <row r="134" spans="1:3" x14ac:dyDescent="0.3">
      <c r="A134" t="s">
        <v>554</v>
      </c>
      <c r="B134" t="s">
        <v>664</v>
      </c>
      <c r="C134" s="6">
        <f>VLOOKUP(A134,Data!$A$5:$BH$270,60,0)/100</f>
        <v>0</v>
      </c>
    </row>
    <row r="135" spans="1:3" x14ac:dyDescent="0.3">
      <c r="A135" t="s">
        <v>514</v>
      </c>
      <c r="B135" t="s">
        <v>381</v>
      </c>
      <c r="C135" s="6">
        <f>VLOOKUP(A135,Data!$A$5:$BH$270,60,0)/100</f>
        <v>0.43700000000000006</v>
      </c>
    </row>
    <row r="136" spans="1:3" x14ac:dyDescent="0.3">
      <c r="A136" t="s">
        <v>604</v>
      </c>
      <c r="B136" t="s">
        <v>177</v>
      </c>
      <c r="C136" s="6">
        <f>VLOOKUP(A136,Data!$A$5:$BH$270,60,0)/100</f>
        <v>0</v>
      </c>
    </row>
    <row r="137" spans="1:3" x14ac:dyDescent="0.3">
      <c r="A137" t="s">
        <v>282</v>
      </c>
      <c r="B137" t="s">
        <v>588</v>
      </c>
      <c r="C137" s="6">
        <f>VLOOKUP(A137,Data!$A$5:$BH$270,60,0)/100</f>
        <v>0</v>
      </c>
    </row>
    <row r="138" spans="1:3" x14ac:dyDescent="0.3">
      <c r="A138" t="s">
        <v>647</v>
      </c>
      <c r="B138" t="s">
        <v>69</v>
      </c>
      <c r="C138" s="6">
        <f>VLOOKUP(A138,Data!$A$5:$BH$270,60,0)/100</f>
        <v>0</v>
      </c>
    </row>
    <row r="139" spans="1:3" x14ac:dyDescent="0.3">
      <c r="A139" t="s">
        <v>614</v>
      </c>
      <c r="B139" t="s">
        <v>354</v>
      </c>
      <c r="C139" s="6">
        <f>VLOOKUP(A139,Data!$A$5:$BH$270,60,0)/100</f>
        <v>0</v>
      </c>
    </row>
    <row r="140" spans="1:3" x14ac:dyDescent="0.3">
      <c r="A140" t="s">
        <v>3</v>
      </c>
      <c r="B140" t="s">
        <v>685</v>
      </c>
      <c r="C140" s="6">
        <f>VLOOKUP(A140,Data!$A$5:$BH$270,60,0)/100</f>
        <v>0</v>
      </c>
    </row>
    <row r="141" spans="1:3" x14ac:dyDescent="0.3">
      <c r="A141" t="s">
        <v>372</v>
      </c>
      <c r="B141" t="s">
        <v>222</v>
      </c>
      <c r="C141" s="6">
        <f>VLOOKUP(A141,Data!$A$5:$BH$270,60,0)/100</f>
        <v>0</v>
      </c>
    </row>
    <row r="142" spans="1:3" x14ac:dyDescent="0.3">
      <c r="A142" t="s">
        <v>327</v>
      </c>
      <c r="B142" t="s">
        <v>304</v>
      </c>
      <c r="C142" s="6">
        <f>VLOOKUP(A142,Data!$A$5:$BH$270,60,0)/100</f>
        <v>0</v>
      </c>
    </row>
    <row r="143" spans="1:3" x14ac:dyDescent="0.3">
      <c r="A143" t="s">
        <v>501</v>
      </c>
      <c r="B143" t="s">
        <v>256</v>
      </c>
      <c r="C143" s="6">
        <f>VLOOKUP(A143,Data!$A$5:$BH$270,60,0)/100</f>
        <v>0.45740000000000003</v>
      </c>
    </row>
    <row r="144" spans="1:3" x14ac:dyDescent="0.3">
      <c r="A144" t="s">
        <v>415</v>
      </c>
      <c r="B144" t="s">
        <v>720</v>
      </c>
      <c r="C144" s="6">
        <f>VLOOKUP(A144,Data!$A$5:$BH$270,60,0)/100</f>
        <v>0</v>
      </c>
    </row>
    <row r="145" spans="1:3" x14ac:dyDescent="0.3">
      <c r="A145" t="s">
        <v>423</v>
      </c>
      <c r="B145" t="s">
        <v>113</v>
      </c>
      <c r="C145" s="6">
        <f>VLOOKUP(A145,Data!$A$5:$BH$270,60,0)/100</f>
        <v>0.374</v>
      </c>
    </row>
    <row r="146" spans="1:3" x14ac:dyDescent="0.3">
      <c r="A146" t="s">
        <v>299</v>
      </c>
      <c r="B146" t="s">
        <v>545</v>
      </c>
      <c r="C146" s="6">
        <f>VLOOKUP(A146,Data!$A$5:$BH$270,60,0)/100</f>
        <v>0.32899999999999996</v>
      </c>
    </row>
    <row r="147" spans="1:3" x14ac:dyDescent="0.3">
      <c r="A147" t="s">
        <v>275</v>
      </c>
      <c r="B147" t="s">
        <v>470</v>
      </c>
      <c r="C147" s="6">
        <f>VLOOKUP(A147,Data!$A$5:$BH$270,60,0)/100</f>
        <v>0.34200000000000003</v>
      </c>
    </row>
    <row r="148" spans="1:3" x14ac:dyDescent="0.3">
      <c r="A148" t="s">
        <v>577</v>
      </c>
      <c r="B148" t="s">
        <v>305</v>
      </c>
      <c r="C148" s="6">
        <f>VLOOKUP(A148,Data!$A$5:$BH$270,60,0)/100</f>
        <v>0</v>
      </c>
    </row>
    <row r="149" spans="1:3" x14ac:dyDescent="0.3">
      <c r="A149" t="s">
        <v>405</v>
      </c>
      <c r="B149" t="s">
        <v>474</v>
      </c>
      <c r="C149" s="6">
        <f>VLOOKUP(A149,Data!$A$5:$BH$270,60,0)/100</f>
        <v>0</v>
      </c>
    </row>
    <row r="150" spans="1:3" x14ac:dyDescent="0.3">
      <c r="A150" t="s">
        <v>36</v>
      </c>
      <c r="B150" t="s">
        <v>203</v>
      </c>
      <c r="C150" s="6">
        <f>VLOOKUP(A150,Data!$A$5:$BH$270,60,0)/100</f>
        <v>0</v>
      </c>
    </row>
    <row r="151" spans="1:3" x14ac:dyDescent="0.3">
      <c r="A151" t="s">
        <v>413</v>
      </c>
      <c r="B151" t="s">
        <v>6</v>
      </c>
      <c r="C151" s="6">
        <f>VLOOKUP(A151,Data!$A$5:$BH$270,60,0)/100</f>
        <v>0</v>
      </c>
    </row>
    <row r="152" spans="1:3" x14ac:dyDescent="0.3">
      <c r="A152" t="s">
        <v>483</v>
      </c>
      <c r="B152" t="s">
        <v>87</v>
      </c>
      <c r="C152" s="6">
        <f>VLOOKUP(A152,Data!$A$5:$BH$270,60,0)/100</f>
        <v>0.27</v>
      </c>
    </row>
    <row r="153" spans="1:3" x14ac:dyDescent="0.3">
      <c r="A153" t="s">
        <v>426</v>
      </c>
      <c r="B153" t="s">
        <v>16</v>
      </c>
      <c r="C153" s="6">
        <f>VLOOKUP(A153,Data!$A$5:$BH$270,60,0)/100</f>
        <v>0</v>
      </c>
    </row>
    <row r="154" spans="1:3" x14ac:dyDescent="0.3">
      <c r="A154" t="s">
        <v>226</v>
      </c>
      <c r="B154" t="s">
        <v>96</v>
      </c>
      <c r="C154" s="6">
        <f>VLOOKUP(A154,Data!$A$5:$BH$270,60,0)/100</f>
        <v>0</v>
      </c>
    </row>
    <row r="155" spans="1:3" x14ac:dyDescent="0.3">
      <c r="A155" t="s">
        <v>582</v>
      </c>
      <c r="B155" t="s">
        <v>163</v>
      </c>
      <c r="C155" s="6">
        <f>VLOOKUP(A155,Data!$A$5:$BH$270,60,0)/100</f>
        <v>0</v>
      </c>
    </row>
    <row r="156" spans="1:3" x14ac:dyDescent="0.3">
      <c r="A156" t="s">
        <v>243</v>
      </c>
      <c r="B156" t="s">
        <v>308</v>
      </c>
      <c r="C156" s="6">
        <f>VLOOKUP(A156,Data!$A$5:$BH$270,60,0)/100</f>
        <v>0</v>
      </c>
    </row>
    <row r="157" spans="1:3" x14ac:dyDescent="0.3">
      <c r="A157" t="s">
        <v>705</v>
      </c>
      <c r="B157" t="s">
        <v>639</v>
      </c>
      <c r="C157" s="6">
        <f>VLOOKUP(A157,Data!$A$5:$BH$270,60,0)/100</f>
        <v>0</v>
      </c>
    </row>
    <row r="158" spans="1:3" x14ac:dyDescent="0.3">
      <c r="A158" t="s">
        <v>457</v>
      </c>
      <c r="B158" t="s">
        <v>599</v>
      </c>
      <c r="C158" s="6">
        <f>VLOOKUP(A158,Data!$A$5:$BH$270,60,0)/100</f>
        <v>0</v>
      </c>
    </row>
    <row r="159" spans="1:3" x14ac:dyDescent="0.3">
      <c r="A159" t="s">
        <v>122</v>
      </c>
      <c r="B159" t="s">
        <v>652</v>
      </c>
      <c r="C159" s="6">
        <f>VLOOKUP(A159,Data!$A$5:$BH$270,60,0)/100</f>
        <v>0.35600000000000004</v>
      </c>
    </row>
    <row r="160" spans="1:3" x14ac:dyDescent="0.3">
      <c r="A160" t="s">
        <v>355</v>
      </c>
      <c r="B160" t="s">
        <v>611</v>
      </c>
      <c r="C160" s="6">
        <f>VLOOKUP(A160,Data!$A$5:$BH$270,60,0)/100</f>
        <v>0</v>
      </c>
    </row>
    <row r="161" spans="1:3" x14ac:dyDescent="0.3">
      <c r="A161" t="s">
        <v>406</v>
      </c>
      <c r="B161" t="s">
        <v>118</v>
      </c>
      <c r="C161" s="6">
        <f>VLOOKUP(A161,Data!$A$5:$BH$270,60,0)/100</f>
        <v>0.29399999999999998</v>
      </c>
    </row>
    <row r="162" spans="1:3" x14ac:dyDescent="0.3">
      <c r="A162" t="s">
        <v>432</v>
      </c>
      <c r="B162" t="s">
        <v>68</v>
      </c>
      <c r="C162" s="6">
        <f>VLOOKUP(A162,Data!$A$5:$BH$270,60,0)/100</f>
        <v>0.38100000000000001</v>
      </c>
    </row>
    <row r="163" spans="1:3" x14ac:dyDescent="0.3">
      <c r="A163" t="s">
        <v>658</v>
      </c>
      <c r="B163" t="s">
        <v>552</v>
      </c>
      <c r="C163" s="6">
        <f>VLOOKUP(A163,Data!$A$5:$BH$270,60,0)/100</f>
        <v>0</v>
      </c>
    </row>
    <row r="164" spans="1:3" x14ac:dyDescent="0.3">
      <c r="A164" t="s">
        <v>411</v>
      </c>
      <c r="B164" t="s">
        <v>199</v>
      </c>
      <c r="C164" s="6">
        <f>VLOOKUP(A164,Data!$A$5:$BH$270,60,0)/100</f>
        <v>0.39</v>
      </c>
    </row>
    <row r="165" spans="1:3" x14ac:dyDescent="0.3">
      <c r="A165" t="s">
        <v>404</v>
      </c>
      <c r="B165" t="s">
        <v>480</v>
      </c>
      <c r="C165" s="6">
        <f>VLOOKUP(A165,Data!$A$5:$BH$270,60,0)/100</f>
        <v>0</v>
      </c>
    </row>
    <row r="166" spans="1:3" x14ac:dyDescent="0.3">
      <c r="A166" t="s">
        <v>183</v>
      </c>
      <c r="B166" t="s">
        <v>612</v>
      </c>
      <c r="C166" s="6">
        <f>VLOOKUP(A166,Data!$A$5:$BH$270,60,0)/100</f>
        <v>0</v>
      </c>
    </row>
    <row r="167" spans="1:3" x14ac:dyDescent="0.3">
      <c r="A167" t="s">
        <v>605</v>
      </c>
      <c r="B167" t="s">
        <v>140</v>
      </c>
      <c r="C167" s="6">
        <f>VLOOKUP(A167,Data!$A$5:$BH$270,60,0)/100</f>
        <v>0.53339999999999999</v>
      </c>
    </row>
    <row r="168" spans="1:3" x14ac:dyDescent="0.3">
      <c r="A168" t="s">
        <v>58</v>
      </c>
      <c r="B168" t="s">
        <v>418</v>
      </c>
      <c r="C168" s="6">
        <f>VLOOKUP(A168,Data!$A$5:$BH$270,60,0)/100</f>
        <v>0</v>
      </c>
    </row>
    <row r="169" spans="1:3" x14ac:dyDescent="0.3">
      <c r="A169" t="s">
        <v>51</v>
      </c>
      <c r="B169" t="s">
        <v>428</v>
      </c>
      <c r="C169" s="6">
        <f>VLOOKUP(A169,Data!$A$5:$BH$270,60,0)/100</f>
        <v>0</v>
      </c>
    </row>
    <row r="170" spans="1:3" x14ac:dyDescent="0.3">
      <c r="A170" t="s">
        <v>542</v>
      </c>
      <c r="B170" t="s">
        <v>244</v>
      </c>
      <c r="C170" s="6">
        <f>VLOOKUP(A170,Data!$A$5:$BH$270,60,0)/100</f>
        <v>0.44833333333333336</v>
      </c>
    </row>
    <row r="171" spans="1:3" x14ac:dyDescent="0.3">
      <c r="A171" t="s">
        <v>451</v>
      </c>
      <c r="B171" t="s">
        <v>587</v>
      </c>
      <c r="C171" s="6">
        <f>VLOOKUP(A171,Data!$A$5:$BH$270,60,0)/100</f>
        <v>0.41100000000000003</v>
      </c>
    </row>
    <row r="172" spans="1:3" x14ac:dyDescent="0.3">
      <c r="A172" t="s">
        <v>225</v>
      </c>
      <c r="B172" t="s">
        <v>662</v>
      </c>
      <c r="C172" s="6">
        <f>VLOOKUP(A172,Data!$A$5:$BH$270,60,0)/100</f>
        <v>0</v>
      </c>
    </row>
    <row r="173" spans="1:3" x14ac:dyDescent="0.3">
      <c r="A173" t="s">
        <v>156</v>
      </c>
      <c r="B173" t="s">
        <v>267</v>
      </c>
      <c r="C173" s="6">
        <f>VLOOKUP(A173,Data!$A$5:$BH$270,60,0)/100</f>
        <v>0.59099999999999997</v>
      </c>
    </row>
    <row r="174" spans="1:3" x14ac:dyDescent="0.3">
      <c r="A174" t="s">
        <v>721</v>
      </c>
      <c r="B174" t="s">
        <v>197</v>
      </c>
      <c r="C174" s="6">
        <f>VLOOKUP(A174,Data!$A$5:$BH$270,60,0)/100</f>
        <v>0</v>
      </c>
    </row>
    <row r="175" spans="1:3" x14ac:dyDescent="0.3">
      <c r="A175" t="s">
        <v>180</v>
      </c>
      <c r="B175" t="s">
        <v>141</v>
      </c>
      <c r="C175" s="6">
        <f>VLOOKUP(A175,Data!$A$5:$BH$270,60,0)/100</f>
        <v>0</v>
      </c>
    </row>
    <row r="176" spans="1:3" x14ac:dyDescent="0.3">
      <c r="A176" t="s">
        <v>302</v>
      </c>
      <c r="B176" t="s">
        <v>683</v>
      </c>
      <c r="C176" s="6">
        <f>VLOOKUP(A176,Data!$A$5:$BH$270,60,0)/100</f>
        <v>0.35899999999999999</v>
      </c>
    </row>
    <row r="177" spans="1:3" x14ac:dyDescent="0.3">
      <c r="A177" t="s">
        <v>603</v>
      </c>
      <c r="B177" t="s">
        <v>218</v>
      </c>
      <c r="C177" s="6">
        <f>VLOOKUP(A177,Data!$A$5:$BH$270,60,0)/100</f>
        <v>0</v>
      </c>
    </row>
    <row r="178" spans="1:3" x14ac:dyDescent="0.3">
      <c r="A178" t="s">
        <v>14</v>
      </c>
      <c r="B178" t="s">
        <v>516</v>
      </c>
      <c r="C178" s="6">
        <f>VLOOKUP(A178,Data!$A$5:$BH$270,60,0)/100</f>
        <v>0.28199999999999997</v>
      </c>
    </row>
    <row r="179" spans="1:3" x14ac:dyDescent="0.3">
      <c r="A179" t="s">
        <v>678</v>
      </c>
      <c r="B179" t="s">
        <v>596</v>
      </c>
      <c r="C179" s="6">
        <f>VLOOKUP(A179,Data!$A$5:$BH$270,60,0)/100</f>
        <v>0.27500000000000002</v>
      </c>
    </row>
    <row r="180" spans="1:3" x14ac:dyDescent="0.3">
      <c r="A180" t="s">
        <v>214</v>
      </c>
      <c r="B180" t="s">
        <v>719</v>
      </c>
      <c r="C180" s="6">
        <f>VLOOKUP(A180,Data!$A$5:$BH$270,60,0)/100</f>
        <v>0</v>
      </c>
    </row>
    <row r="181" spans="1:3" x14ac:dyDescent="0.3">
      <c r="A181" t="s">
        <v>104</v>
      </c>
      <c r="B181" t="s">
        <v>269</v>
      </c>
      <c r="C181" s="6">
        <f>VLOOKUP(A181,Data!$A$5:$BH$270,60,0)/100</f>
        <v>0</v>
      </c>
    </row>
    <row r="182" spans="1:3" x14ac:dyDescent="0.3">
      <c r="A182" t="s">
        <v>560</v>
      </c>
      <c r="B182" t="s">
        <v>293</v>
      </c>
      <c r="C182" s="6">
        <f>VLOOKUP(A182,Data!$A$5:$BH$270,60,0)/100</f>
        <v>0</v>
      </c>
    </row>
    <row r="183" spans="1:3" x14ac:dyDescent="0.3">
      <c r="A183" t="s">
        <v>342</v>
      </c>
      <c r="B183" t="s">
        <v>651</v>
      </c>
      <c r="C183" s="6">
        <f>VLOOKUP(A183,Data!$A$5:$BH$270,60,0)/100</f>
        <v>0</v>
      </c>
    </row>
    <row r="184" spans="1:3" x14ac:dyDescent="0.3">
      <c r="A184" t="s">
        <v>695</v>
      </c>
      <c r="B184" t="s">
        <v>566</v>
      </c>
      <c r="C184" s="6">
        <f>VLOOKUP(A184,Data!$A$5:$BH$270,60,0)/100</f>
        <v>0</v>
      </c>
    </row>
    <row r="185" spans="1:3" x14ac:dyDescent="0.3">
      <c r="A185" t="s">
        <v>693</v>
      </c>
      <c r="B185" t="s">
        <v>420</v>
      </c>
      <c r="C185" s="6">
        <f>VLOOKUP(A185,Data!$A$5:$BH$270,60,0)/100</f>
        <v>0</v>
      </c>
    </row>
    <row r="186" spans="1:3" x14ac:dyDescent="0.3">
      <c r="A186" t="s">
        <v>738</v>
      </c>
      <c r="B186" t="s">
        <v>134</v>
      </c>
      <c r="C186" s="6">
        <f>VLOOKUP(A186,Data!$A$5:$BH$270,60,0)/100</f>
        <v>0.313</v>
      </c>
    </row>
    <row r="187" spans="1:3" x14ac:dyDescent="0.3">
      <c r="A187" t="s">
        <v>540</v>
      </c>
      <c r="B187" t="s">
        <v>464</v>
      </c>
      <c r="C187" s="6">
        <f>VLOOKUP(A187,Data!$A$5:$BH$270,60,0)/100</f>
        <v>0.50800000000000001</v>
      </c>
    </row>
    <row r="188" spans="1:3" x14ac:dyDescent="0.3">
      <c r="A188" t="s">
        <v>494</v>
      </c>
      <c r="B188" t="s">
        <v>294</v>
      </c>
      <c r="C188" s="6">
        <f>VLOOKUP(A188,Data!$A$5:$BH$270,60,0)/100</f>
        <v>0.434</v>
      </c>
    </row>
    <row r="189" spans="1:3" x14ac:dyDescent="0.3">
      <c r="A189" t="s">
        <v>283</v>
      </c>
      <c r="B189" t="s">
        <v>579</v>
      </c>
      <c r="C189" s="6">
        <f>VLOOKUP(A189,Data!$A$5:$BH$270,60,0)/100</f>
        <v>0.44600000000000001</v>
      </c>
    </row>
    <row r="190" spans="1:3" x14ac:dyDescent="0.3">
      <c r="A190" t="s">
        <v>677</v>
      </c>
      <c r="B190" t="s">
        <v>382</v>
      </c>
      <c r="C190" s="6">
        <f>VLOOKUP(A190,Data!$A$5:$BH$270,60,0)/100</f>
        <v>0</v>
      </c>
    </row>
    <row r="191" spans="1:3" x14ac:dyDescent="0.3">
      <c r="A191" t="s">
        <v>453</v>
      </c>
      <c r="B191" t="s">
        <v>259</v>
      </c>
      <c r="C191" s="6">
        <f>VLOOKUP(A191,Data!$A$5:$BH$270,60,0)/100</f>
        <v>0</v>
      </c>
    </row>
    <row r="192" spans="1:3" x14ac:dyDescent="0.3">
      <c r="A192" t="s">
        <v>74</v>
      </c>
      <c r="B192" t="s">
        <v>42</v>
      </c>
      <c r="C192" s="6">
        <f>VLOOKUP(A192,Data!$A$5:$BH$270,60,0)/100</f>
        <v>0.318</v>
      </c>
    </row>
    <row r="193" spans="1:3" x14ac:dyDescent="0.3">
      <c r="A193" t="s">
        <v>235</v>
      </c>
      <c r="B193" t="s">
        <v>292</v>
      </c>
      <c r="C193" s="6">
        <f>VLOOKUP(A193,Data!$A$5:$BH$270,60,0)/100</f>
        <v>0</v>
      </c>
    </row>
    <row r="194" spans="1:3" x14ac:dyDescent="0.3">
      <c r="A194" t="s">
        <v>266</v>
      </c>
      <c r="B194" t="s">
        <v>684</v>
      </c>
      <c r="C194" s="6">
        <f>VLOOKUP(A194,Data!$A$5:$BH$270,60,0)/100</f>
        <v>0</v>
      </c>
    </row>
    <row r="195" spans="1:3" x14ac:dyDescent="0.3">
      <c r="A195" t="s">
        <v>524</v>
      </c>
      <c r="B195" t="s">
        <v>59</v>
      </c>
      <c r="C195" s="6">
        <f>VLOOKUP(A195,Data!$A$5:$BH$270,60,0)/100</f>
        <v>0</v>
      </c>
    </row>
    <row r="196" spans="1:3" x14ac:dyDescent="0.3">
      <c r="A196" t="s">
        <v>433</v>
      </c>
      <c r="B196" t="s">
        <v>191</v>
      </c>
      <c r="C196" s="6">
        <f>VLOOKUP(A196,Data!$A$5:$BH$270,60,0)/100</f>
        <v>0.35499999999999998</v>
      </c>
    </row>
    <row r="197" spans="1:3" x14ac:dyDescent="0.3">
      <c r="A197" t="s">
        <v>493</v>
      </c>
      <c r="B197" t="s">
        <v>71</v>
      </c>
      <c r="C197" s="6">
        <f>VLOOKUP(A197,Data!$A$5:$BH$270,60,0)/100</f>
        <v>0.47600000000000003</v>
      </c>
    </row>
    <row r="198" spans="1:3" x14ac:dyDescent="0.3">
      <c r="A198" t="s">
        <v>86</v>
      </c>
      <c r="B198" t="s">
        <v>198</v>
      </c>
      <c r="C198" s="6">
        <f>VLOOKUP(A198,Data!$A$5:$BH$270,60,0)/100</f>
        <v>0</v>
      </c>
    </row>
    <row r="199" spans="1:3" x14ac:dyDescent="0.3">
      <c r="A199" t="s">
        <v>130</v>
      </c>
      <c r="B199" t="s">
        <v>208</v>
      </c>
      <c r="C199" s="6">
        <f>VLOOKUP(A199,Data!$A$5:$BH$270,60,0)/100</f>
        <v>0</v>
      </c>
    </row>
    <row r="200" spans="1:3" x14ac:dyDescent="0.3">
      <c r="A200" t="s">
        <v>591</v>
      </c>
      <c r="B200" t="s">
        <v>278</v>
      </c>
      <c r="C200" s="6">
        <f>VLOOKUP(A200,Data!$A$5:$BH$270,60,0)/100</f>
        <v>0</v>
      </c>
    </row>
    <row r="201" spans="1:3" x14ac:dyDescent="0.3">
      <c r="A201" t="s">
        <v>362</v>
      </c>
      <c r="B201" t="s">
        <v>576</v>
      </c>
      <c r="C201" s="6">
        <f>VLOOKUP(A201,Data!$A$5:$BH$270,60,0)/100</f>
        <v>0</v>
      </c>
    </row>
    <row r="202" spans="1:3" x14ac:dyDescent="0.3">
      <c r="A202" t="s">
        <v>613</v>
      </c>
      <c r="B202" t="s">
        <v>24</v>
      </c>
      <c r="C202" s="6">
        <f>VLOOKUP(A202,Data!$A$5:$BH$270,60,0)/100</f>
        <v>0</v>
      </c>
    </row>
    <row r="203" spans="1:3" x14ac:dyDescent="0.3">
      <c r="A203" t="s">
        <v>553</v>
      </c>
      <c r="B203" t="s">
        <v>331</v>
      </c>
      <c r="C203" s="6">
        <f>VLOOKUP(A203,Data!$A$5:$BH$270,60,0)/100</f>
        <v>0.35899999999999999</v>
      </c>
    </row>
    <row r="204" spans="1:3" x14ac:dyDescent="0.3">
      <c r="A204" t="s">
        <v>2</v>
      </c>
      <c r="B204" t="s">
        <v>353</v>
      </c>
      <c r="C204" s="6">
        <f>VLOOKUP(A204,Data!$A$5:$BH$270,60,0)/100</f>
        <v>0.36499999999999999</v>
      </c>
    </row>
    <row r="205" spans="1:3" x14ac:dyDescent="0.3">
      <c r="A205" t="s">
        <v>270</v>
      </c>
      <c r="B205" t="s">
        <v>93</v>
      </c>
      <c r="C205" s="6">
        <f>VLOOKUP(A205,Data!$A$5:$BH$270,60,0)/100</f>
        <v>0</v>
      </c>
    </row>
    <row r="206" spans="1:3" x14ac:dyDescent="0.3">
      <c r="A206" t="s">
        <v>89</v>
      </c>
      <c r="B206" t="s">
        <v>125</v>
      </c>
      <c r="C206" s="6">
        <f>VLOOKUP(A206,Data!$A$5:$BH$270,60,0)/100</f>
        <v>0</v>
      </c>
    </row>
    <row r="207" spans="1:3" x14ac:dyDescent="0.3">
      <c r="A207" t="s">
        <v>479</v>
      </c>
      <c r="B207" t="s">
        <v>246</v>
      </c>
      <c r="C207" s="6">
        <f>VLOOKUP(A207,Data!$A$5:$BH$270,60,0)/100</f>
        <v>0</v>
      </c>
    </row>
    <row r="208" spans="1:3" x14ac:dyDescent="0.3">
      <c r="A208" t="s">
        <v>230</v>
      </c>
      <c r="B208" t="s">
        <v>465</v>
      </c>
      <c r="C208" s="6">
        <f>VLOOKUP(A208,Data!$A$5:$BH$270,60,0)/100</f>
        <v>0</v>
      </c>
    </row>
    <row r="209" spans="1:3" x14ac:dyDescent="0.3">
      <c r="A209" t="s">
        <v>34</v>
      </c>
      <c r="B209" t="s">
        <v>559</v>
      </c>
      <c r="C209" s="6">
        <f>VLOOKUP(A209,Data!$A$5:$BH$270,60,0)/100</f>
        <v>0</v>
      </c>
    </row>
    <row r="210" spans="1:3" x14ac:dyDescent="0.3">
      <c r="A210" t="s">
        <v>507</v>
      </c>
      <c r="B210" t="s">
        <v>82</v>
      </c>
      <c r="C210" s="6">
        <f>VLOOKUP(A210,Data!$A$5:$BH$270,60,0)/100</f>
        <v>0</v>
      </c>
    </row>
    <row r="211" spans="1:3" x14ac:dyDescent="0.3">
      <c r="A211" t="s">
        <v>100</v>
      </c>
      <c r="B211" t="s">
        <v>314</v>
      </c>
      <c r="C211" s="6">
        <f>VLOOKUP(A211,Data!$A$5:$BH$270,60,0)/100</f>
        <v>0</v>
      </c>
    </row>
    <row r="212" spans="1:3" x14ac:dyDescent="0.3">
      <c r="A212" t="s">
        <v>701</v>
      </c>
      <c r="B212" t="s">
        <v>642</v>
      </c>
      <c r="C212" s="6">
        <f>VLOOKUP(A212,Data!$A$5:$BH$270,60,0)/100</f>
        <v>0</v>
      </c>
    </row>
    <row r="213" spans="1:3" x14ac:dyDescent="0.3">
      <c r="A213" t="s">
        <v>572</v>
      </c>
      <c r="B213" t="s">
        <v>94</v>
      </c>
      <c r="C213" s="6">
        <f>VLOOKUP(A213,Data!$A$5:$BH$270,60,0)/100</f>
        <v>0.40600000000000003</v>
      </c>
    </row>
    <row r="214" spans="1:3" x14ac:dyDescent="0.3">
      <c r="A214" t="s">
        <v>456</v>
      </c>
      <c r="B214" t="s">
        <v>518</v>
      </c>
      <c r="C214" s="6">
        <f>VLOOKUP(A214,Data!$A$5:$BH$270,60,0)/100</f>
        <v>0</v>
      </c>
    </row>
    <row r="215" spans="1:3" x14ac:dyDescent="0.3">
      <c r="A215" t="s">
        <v>350</v>
      </c>
      <c r="B215" t="s">
        <v>31</v>
      </c>
      <c r="C215" s="6">
        <f>VLOOKUP(A215,Data!$A$5:$BH$270,60,0)/100</f>
        <v>0</v>
      </c>
    </row>
    <row r="216" spans="1:3" x14ac:dyDescent="0.3">
      <c r="A216" t="s">
        <v>319</v>
      </c>
      <c r="B216" t="s">
        <v>444</v>
      </c>
      <c r="C216" s="6">
        <f>VLOOKUP(A216,Data!$A$5:$BH$270,60,0)/100</f>
        <v>0.40500000000000003</v>
      </c>
    </row>
    <row r="217" spans="1:3" x14ac:dyDescent="0.3">
      <c r="A217" t="s">
        <v>60</v>
      </c>
      <c r="B217" t="s">
        <v>459</v>
      </c>
      <c r="C217" s="6">
        <f>VLOOKUP(A217,Data!$A$5:$BH$270,60,0)/100</f>
        <v>0</v>
      </c>
    </row>
    <row r="218" spans="1:3" x14ac:dyDescent="0.3">
      <c r="A218" t="s">
        <v>286</v>
      </c>
      <c r="B218" t="s">
        <v>63</v>
      </c>
      <c r="C218" s="6">
        <f>VLOOKUP(A218,Data!$A$5:$BH$270,60,0)/100</f>
        <v>0</v>
      </c>
    </row>
    <row r="219" spans="1:3" x14ac:dyDescent="0.3">
      <c r="A219" t="s">
        <v>311</v>
      </c>
      <c r="B219" t="s">
        <v>186</v>
      </c>
      <c r="C219" s="6">
        <f>VLOOKUP(A219,Data!$A$5:$BH$270,60,0)/100</f>
        <v>0</v>
      </c>
    </row>
    <row r="220" spans="1:3" x14ac:dyDescent="0.3">
      <c r="A220" t="s">
        <v>43</v>
      </c>
      <c r="B220" t="s">
        <v>195</v>
      </c>
      <c r="C220" s="6">
        <f>VLOOKUP(A220,Data!$A$5:$BH$270,60,0)/100</f>
        <v>0</v>
      </c>
    </row>
    <row r="221" spans="1:3" x14ac:dyDescent="0.3">
      <c r="A221" t="s">
        <v>252</v>
      </c>
      <c r="B221" t="s">
        <v>448</v>
      </c>
      <c r="C221" s="6">
        <f>VLOOKUP(A221,Data!$A$5:$BH$270,60,0)/100</f>
        <v>0</v>
      </c>
    </row>
    <row r="222" spans="1:3" x14ac:dyDescent="0.3">
      <c r="A222" t="s">
        <v>511</v>
      </c>
      <c r="B222" t="s">
        <v>67</v>
      </c>
      <c r="C222" s="6">
        <f>VLOOKUP(A222,Data!$A$5:$BH$270,60,0)/100</f>
        <v>0</v>
      </c>
    </row>
    <row r="223" spans="1:3" x14ac:dyDescent="0.3">
      <c r="A223" t="s">
        <v>386</v>
      </c>
      <c r="B223" t="s">
        <v>150</v>
      </c>
      <c r="C223" s="6">
        <f>VLOOKUP(A223,Data!$A$5:$BH$270,60,0)/100</f>
        <v>0.26500000000000001</v>
      </c>
    </row>
    <row r="224" spans="1:3" x14ac:dyDescent="0.3">
      <c r="A224" t="s">
        <v>376</v>
      </c>
      <c r="B224" t="s">
        <v>333</v>
      </c>
      <c r="C224" s="6">
        <f>VLOOKUP(A224,Data!$A$5:$BH$270,60,0)/100</f>
        <v>0.254</v>
      </c>
    </row>
    <row r="225" spans="1:3" x14ac:dyDescent="0.3">
      <c r="A225" t="s">
        <v>72</v>
      </c>
      <c r="B225" t="s">
        <v>289</v>
      </c>
      <c r="C225" s="6">
        <f>VLOOKUP(A225,Data!$A$5:$BH$270,60,0)/100</f>
        <v>0.29199999999999998</v>
      </c>
    </row>
    <row r="226" spans="1:3" x14ac:dyDescent="0.3">
      <c r="A226" t="s">
        <v>654</v>
      </c>
      <c r="B226" t="s">
        <v>138</v>
      </c>
      <c r="C226" s="6">
        <f>VLOOKUP(A226,Data!$A$5:$BH$270,60,0)/100</f>
        <v>0.54142857142857148</v>
      </c>
    </row>
    <row r="227" spans="1:3" x14ac:dyDescent="0.3">
      <c r="A227" t="s">
        <v>366</v>
      </c>
      <c r="B227" t="s">
        <v>417</v>
      </c>
      <c r="C227" s="6">
        <f>VLOOKUP(A227,Data!$A$5:$BH$270,60,0)/100</f>
        <v>0</v>
      </c>
    </row>
    <row r="228" spans="1:3" x14ac:dyDescent="0.3">
      <c r="A228" t="s">
        <v>503</v>
      </c>
      <c r="B228" t="s">
        <v>154</v>
      </c>
      <c r="C228" s="6">
        <f>VLOOKUP(A228,Data!$A$5:$BH$270,60,0)/100</f>
        <v>0</v>
      </c>
    </row>
    <row r="229" spans="1:3" x14ac:dyDescent="0.3">
      <c r="A229" t="s">
        <v>178</v>
      </c>
      <c r="B229" t="s">
        <v>221</v>
      </c>
      <c r="C229" s="6">
        <f>VLOOKUP(A229,Data!$A$5:$BH$270,60,0)/100</f>
        <v>0</v>
      </c>
    </row>
    <row r="230" spans="1:3" x14ac:dyDescent="0.3">
      <c r="A230" t="s">
        <v>123</v>
      </c>
      <c r="B230" t="s">
        <v>231</v>
      </c>
      <c r="C230" s="6">
        <f>VLOOKUP(A230,Data!$A$5:$BH$270,60,0)/100</f>
        <v>0</v>
      </c>
    </row>
    <row r="231" spans="1:3" x14ac:dyDescent="0.3">
      <c r="A231" t="s">
        <v>608</v>
      </c>
      <c r="B231" t="s">
        <v>581</v>
      </c>
      <c r="C231" s="6">
        <f>VLOOKUP(A231,Data!$A$5:$BH$270,60,0)/100</f>
        <v>0</v>
      </c>
    </row>
    <row r="232" spans="1:3" x14ac:dyDescent="0.3">
      <c r="A232" t="s">
        <v>711</v>
      </c>
      <c r="B232" t="s">
        <v>377</v>
      </c>
      <c r="C232" s="6">
        <f>VLOOKUP(A232,Data!$A$5:$BH$270,60,0)/100</f>
        <v>0</v>
      </c>
    </row>
    <row r="233" spans="1:3" x14ac:dyDescent="0.3">
      <c r="A233" t="s">
        <v>488</v>
      </c>
      <c r="B233" t="s">
        <v>512</v>
      </c>
      <c r="C233" s="6">
        <f>VLOOKUP(A233,Data!$A$5:$BH$270,60,0)/100</f>
        <v>0</v>
      </c>
    </row>
    <row r="234" spans="1:3" x14ac:dyDescent="0.3">
      <c r="A234" t="s">
        <v>257</v>
      </c>
      <c r="B234" t="s">
        <v>387</v>
      </c>
      <c r="C234" s="6">
        <f>VLOOKUP(A234,Data!$A$5:$BH$270,60,0)/100</f>
        <v>0.43</v>
      </c>
    </row>
    <row r="235" spans="1:3" x14ac:dyDescent="0.3">
      <c r="A235" t="s">
        <v>556</v>
      </c>
      <c r="B235" t="s">
        <v>449</v>
      </c>
      <c r="C235" s="6">
        <f>VLOOKUP(A235,Data!$A$5:$BH$270,60,0)/100</f>
        <v>0.36</v>
      </c>
    </row>
    <row r="236" spans="1:3" x14ac:dyDescent="0.3">
      <c r="A236" t="s">
        <v>46</v>
      </c>
      <c r="B236" t="s">
        <v>48</v>
      </c>
      <c r="C236" s="6">
        <f>VLOOKUP(A236,Data!$A$5:$BH$270,60,0)/100</f>
        <v>0.34</v>
      </c>
    </row>
    <row r="237" spans="1:3" x14ac:dyDescent="0.3">
      <c r="A237" t="s">
        <v>523</v>
      </c>
      <c r="B237" t="s">
        <v>264</v>
      </c>
      <c r="C237" s="6">
        <f>VLOOKUP(A237,Data!$A$5:$BH$270,60,0)/100</f>
        <v>0</v>
      </c>
    </row>
    <row r="238" spans="1:3" x14ac:dyDescent="0.3">
      <c r="A238" t="s">
        <v>146</v>
      </c>
      <c r="B238" t="s">
        <v>610</v>
      </c>
      <c r="C238" s="6">
        <f>VLOOKUP(A238,Data!$A$5:$BH$270,60,0)/100</f>
        <v>0</v>
      </c>
    </row>
    <row r="239" spans="1:3" x14ac:dyDescent="0.3">
      <c r="A239" t="s">
        <v>671</v>
      </c>
      <c r="B239" t="s">
        <v>287</v>
      </c>
      <c r="C239" s="6">
        <f>VLOOKUP(A239,Data!$A$5:$BH$270,60,0)/100</f>
        <v>0</v>
      </c>
    </row>
    <row r="240" spans="1:3" x14ac:dyDescent="0.3">
      <c r="A240" t="s">
        <v>716</v>
      </c>
      <c r="B240" t="s">
        <v>468</v>
      </c>
      <c r="C240" s="6">
        <f>VLOOKUP(A240,Data!$A$5:$BH$270,60,0)/100</f>
        <v>0</v>
      </c>
    </row>
    <row r="241" spans="1:3" x14ac:dyDescent="0.3">
      <c r="A241" t="s">
        <v>644</v>
      </c>
      <c r="B241" t="s">
        <v>623</v>
      </c>
      <c r="C241" s="6">
        <f>VLOOKUP(A241,Data!$A$5:$BH$270,60,0)/100</f>
        <v>0.33500000000000002</v>
      </c>
    </row>
    <row r="242" spans="1:3" x14ac:dyDescent="0.3">
      <c r="A242" t="s">
        <v>8</v>
      </c>
      <c r="B242" t="s">
        <v>90</v>
      </c>
      <c r="C242" s="6">
        <f>VLOOKUP(A242,Data!$A$5:$BH$270,60,0)/100</f>
        <v>0</v>
      </c>
    </row>
    <row r="243" spans="1:3" x14ac:dyDescent="0.3">
      <c r="A243" t="s">
        <v>238</v>
      </c>
      <c r="B243" t="s">
        <v>504</v>
      </c>
      <c r="C243" s="6">
        <f>VLOOKUP(A243,Data!$A$5:$BH$270,60,0)/100</f>
        <v>0</v>
      </c>
    </row>
    <row r="244" spans="1:3" x14ac:dyDescent="0.3">
      <c r="A244" t="s">
        <v>663</v>
      </c>
      <c r="B244" t="s">
        <v>175</v>
      </c>
      <c r="C244" s="6">
        <f>VLOOKUP(A244,Data!$A$5:$BH$270,60,0)/100</f>
        <v>0</v>
      </c>
    </row>
    <row r="245" spans="1:3" x14ac:dyDescent="0.3">
      <c r="A245" t="s">
        <v>212</v>
      </c>
      <c r="B245" t="s">
        <v>20</v>
      </c>
      <c r="C245" s="6">
        <f>VLOOKUP(A245,Data!$A$5:$BH$270,60,0)/100</f>
        <v>0.32799999999999996</v>
      </c>
    </row>
    <row r="246" spans="1:3" x14ac:dyDescent="0.3">
      <c r="A246" t="s">
        <v>120</v>
      </c>
      <c r="B246" t="s">
        <v>431</v>
      </c>
      <c r="C246" s="6">
        <f>VLOOKUP(A246,Data!$A$5:$BH$270,60,0)/100</f>
        <v>0.42899999999999999</v>
      </c>
    </row>
    <row r="247" spans="1:3" x14ac:dyDescent="0.3">
      <c r="A247" t="s">
        <v>442</v>
      </c>
      <c r="B247" t="s">
        <v>97</v>
      </c>
      <c r="C247" s="6">
        <f>VLOOKUP(A247,Data!$A$5:$BH$270,60,0)/100</f>
        <v>0</v>
      </c>
    </row>
    <row r="248" spans="1:3" x14ac:dyDescent="0.3">
      <c r="A248" t="s">
        <v>568</v>
      </c>
      <c r="B248" t="s">
        <v>466</v>
      </c>
      <c r="C248" s="6">
        <f>VLOOKUP(A248,Data!$A$5:$BH$270,60,0)/100</f>
        <v>0.39342857142857141</v>
      </c>
    </row>
    <row r="249" spans="1:3" x14ac:dyDescent="0.3">
      <c r="A249" t="s">
        <v>692</v>
      </c>
      <c r="B249" t="s">
        <v>160</v>
      </c>
      <c r="C249" s="6">
        <f>VLOOKUP(A249,Data!$A$5:$BH$270,60,0)/100</f>
        <v>0</v>
      </c>
    </row>
    <row r="250" spans="1:3" x14ac:dyDescent="0.3">
      <c r="A250" t="s">
        <v>440</v>
      </c>
      <c r="B250" t="s">
        <v>509</v>
      </c>
      <c r="C250" s="6">
        <f>VLOOKUP(A250,Data!$A$5:$BH$270,60,0)/100</f>
        <v>0.255</v>
      </c>
    </row>
    <row r="251" spans="1:3" x14ac:dyDescent="0.3">
      <c r="A251" t="s">
        <v>165</v>
      </c>
      <c r="B251" t="s">
        <v>593</v>
      </c>
      <c r="C251" s="6">
        <f>VLOOKUP(A251,Data!$A$5:$BH$270,60,0)/100</f>
        <v>0</v>
      </c>
    </row>
    <row r="252" spans="1:3" x14ac:dyDescent="0.3">
      <c r="A252" t="s">
        <v>531</v>
      </c>
      <c r="B252" t="s">
        <v>728</v>
      </c>
      <c r="C252" s="6">
        <f>VLOOKUP(A252,Data!$A$5:$BH$270,60,0)/100</f>
        <v>0.40100000000000002</v>
      </c>
    </row>
    <row r="253" spans="1:3" x14ac:dyDescent="0.3">
      <c r="A253" t="s">
        <v>407</v>
      </c>
      <c r="B253" t="s">
        <v>616</v>
      </c>
      <c r="C253" s="6">
        <f>VLOOKUP(A253,Data!$A$5:$BH$270,60,0)/100</f>
        <v>0.41499999999999998</v>
      </c>
    </row>
    <row r="254" spans="1:3" x14ac:dyDescent="0.3">
      <c r="A254" t="s">
        <v>313</v>
      </c>
      <c r="B254" t="s">
        <v>157</v>
      </c>
      <c r="C254" s="6">
        <f>VLOOKUP(A254,Data!$A$5:$BH$270,60,0)/100</f>
        <v>0</v>
      </c>
    </row>
    <row r="255" spans="1:3" x14ac:dyDescent="0.3">
      <c r="A255" t="s">
        <v>54</v>
      </c>
      <c r="B255" t="s">
        <v>103</v>
      </c>
      <c r="C255" s="6">
        <f>VLOOKUP(A255,Data!$A$5:$BH$270,60,0)/100</f>
        <v>0</v>
      </c>
    </row>
    <row r="256" spans="1:3" x14ac:dyDescent="0.3">
      <c r="A256" t="s">
        <v>80</v>
      </c>
      <c r="B256" t="s">
        <v>322</v>
      </c>
      <c r="C256" s="6">
        <f>VLOOKUP(A256,Data!$A$5:$BH$270,60,0)/100</f>
        <v>0</v>
      </c>
    </row>
    <row r="257" spans="1:3" x14ac:dyDescent="0.3">
      <c r="A257" t="s">
        <v>330</v>
      </c>
      <c r="B257" t="s">
        <v>594</v>
      </c>
      <c r="C257" s="6">
        <f>VLOOKUP(A257,Data!$A$5:$BH$270,60,0)/100</f>
        <v>0</v>
      </c>
    </row>
    <row r="258" spans="1:3" x14ac:dyDescent="0.3">
      <c r="A258" t="s">
        <v>435</v>
      </c>
      <c r="B258" t="s">
        <v>137</v>
      </c>
      <c r="C258" s="6">
        <f>VLOOKUP(A258,Data!$A$5:$BH$270,60,0)/100</f>
        <v>0</v>
      </c>
    </row>
    <row r="259" spans="1:3" x14ac:dyDescent="0.3">
      <c r="A259" t="s">
        <v>398</v>
      </c>
      <c r="B259" t="s">
        <v>635</v>
      </c>
      <c r="C259" s="6">
        <f>VLOOKUP(A259,Data!$A$5:$BH$270,60,0)/100</f>
        <v>0</v>
      </c>
    </row>
    <row r="260" spans="1:3" x14ac:dyDescent="0.3">
      <c r="A260" t="s">
        <v>633</v>
      </c>
      <c r="B260" t="s">
        <v>124</v>
      </c>
      <c r="C260" s="6">
        <f>VLOOKUP(A260,Data!$A$5:$BH$270,60,0)/100</f>
        <v>0</v>
      </c>
    </row>
    <row r="261" spans="1:3" x14ac:dyDescent="0.3">
      <c r="A261" t="s">
        <v>590</v>
      </c>
      <c r="B261" t="s">
        <v>715</v>
      </c>
      <c r="C261" s="6">
        <f>VLOOKUP(A261,Data!$A$5:$BH$270,60,0)/100</f>
        <v>0</v>
      </c>
    </row>
    <row r="262" spans="1:3" x14ac:dyDescent="0.3">
      <c r="A262" t="s">
        <v>184</v>
      </c>
      <c r="B262" t="s">
        <v>490</v>
      </c>
      <c r="C262" s="6">
        <f>VLOOKUP(A262,Data!$A$5:$BH$270,60,0)/100</f>
        <v>0</v>
      </c>
    </row>
    <row r="263" spans="1:3" x14ac:dyDescent="0.3">
      <c r="A263" t="s">
        <v>441</v>
      </c>
      <c r="B263" t="s">
        <v>216</v>
      </c>
      <c r="C263" s="6">
        <f>VLOOKUP(A263,Data!$A$5:$BH$270,60,0)/100</f>
        <v>0.26500000000000001</v>
      </c>
    </row>
    <row r="264" spans="1:3" x14ac:dyDescent="0.3">
      <c r="A264" t="s">
        <v>698</v>
      </c>
      <c r="B264" t="s">
        <v>15</v>
      </c>
      <c r="C264" s="6">
        <f>VLOOKUP(A264,Data!$A$5:$BH$270,60,0)/100</f>
        <v>0</v>
      </c>
    </row>
    <row r="265" spans="1:3" x14ac:dyDescent="0.3">
      <c r="A265" t="s">
        <v>492</v>
      </c>
      <c r="B265" t="s">
        <v>396</v>
      </c>
      <c r="C265" s="6">
        <f>VLOOKUP(A265,Data!$A$5:$BH$270,60,0)/100</f>
        <v>0.63</v>
      </c>
    </row>
    <row r="266" spans="1:3" x14ac:dyDescent="0.3">
      <c r="A266" t="s">
        <v>9</v>
      </c>
      <c r="B266" t="s">
        <v>436</v>
      </c>
      <c r="C266" s="6">
        <f>VLOOKUP(A266,Data!$A$5:$BH$270,60,0)/100</f>
        <v>0.55799999999999994</v>
      </c>
    </row>
    <row r="267" spans="1:3" x14ac:dyDescent="0.3">
      <c r="A267" t="s">
        <v>739</v>
      </c>
      <c r="B267" t="s">
        <v>348</v>
      </c>
      <c r="C267" s="6">
        <f>VLOOKUP(A267,Data!$A$5:$BH$270,60,0)/100</f>
        <v>0.4393333333333333</v>
      </c>
    </row>
  </sheetData>
  <pageMargins left="0.7" right="0.7" top="0.75" bottom="0.75" header="0.3" footer="0.3"/>
  <headerFooter>
    <oddFooter>&amp;L_x000D_&amp;1#&amp;"Aptos"&amp;10&amp;K000000 LUT Group Confidential - Other information (3Y)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C56E8-C734-426E-9236-06ED52E5C686}">
  <dimension ref="A1:E266"/>
  <sheetViews>
    <sheetView workbookViewId="0"/>
  </sheetViews>
  <sheetFormatPr defaultRowHeight="14.4" x14ac:dyDescent="0.3"/>
  <cols>
    <col min="1" max="5" width="17.5546875" customWidth="1"/>
  </cols>
  <sheetData>
    <row r="1" spans="1:5" x14ac:dyDescent="0.3">
      <c r="A1" t="s">
        <v>486</v>
      </c>
      <c r="B1" t="s">
        <v>632</v>
      </c>
      <c r="C1" t="s">
        <v>679</v>
      </c>
      <c r="D1" t="s">
        <v>668</v>
      </c>
      <c r="E1" t="s">
        <v>328</v>
      </c>
    </row>
    <row r="2" spans="1:5" x14ac:dyDescent="0.3">
      <c r="A2" t="s">
        <v>12</v>
      </c>
      <c r="B2" t="s">
        <v>604</v>
      </c>
      <c r="C2" t="s">
        <v>351</v>
      </c>
      <c r="E2" t="s">
        <v>528</v>
      </c>
    </row>
    <row r="3" spans="1:5" x14ac:dyDescent="0.3">
      <c r="A3" t="s">
        <v>510</v>
      </c>
      <c r="D3" t="s">
        <v>475</v>
      </c>
      <c r="E3" t="s">
        <v>541</v>
      </c>
    </row>
    <row r="4" spans="1:5" ht="409.6" x14ac:dyDescent="0.3">
      <c r="A4" t="s">
        <v>627</v>
      </c>
      <c r="B4" t="s">
        <v>133</v>
      </c>
      <c r="C4" t="s">
        <v>647</v>
      </c>
      <c r="D4" s="2" t="s">
        <v>696</v>
      </c>
      <c r="E4" t="s">
        <v>334</v>
      </c>
    </row>
    <row r="5" spans="1:5" x14ac:dyDescent="0.3">
      <c r="A5" t="s">
        <v>176</v>
      </c>
      <c r="D5" t="s">
        <v>263</v>
      </c>
      <c r="E5" t="s">
        <v>704</v>
      </c>
    </row>
    <row r="6" spans="1:5" x14ac:dyDescent="0.3">
      <c r="A6" t="s">
        <v>17</v>
      </c>
      <c r="B6" t="s">
        <v>311</v>
      </c>
      <c r="C6" t="s">
        <v>372</v>
      </c>
      <c r="D6" t="s">
        <v>329</v>
      </c>
      <c r="E6" t="s">
        <v>324</v>
      </c>
    </row>
    <row r="7" spans="1:5" x14ac:dyDescent="0.3">
      <c r="A7" t="s">
        <v>461</v>
      </c>
      <c r="B7" t="s">
        <v>399</v>
      </c>
      <c r="C7" t="s">
        <v>165</v>
      </c>
      <c r="E7" t="s">
        <v>205</v>
      </c>
    </row>
    <row r="8" spans="1:5" x14ac:dyDescent="0.3">
      <c r="A8" t="s">
        <v>736</v>
      </c>
      <c r="B8" t="s">
        <v>399</v>
      </c>
      <c r="C8" t="s">
        <v>351</v>
      </c>
      <c r="E8" t="s">
        <v>349</v>
      </c>
    </row>
    <row r="9" spans="1:5" x14ac:dyDescent="0.3">
      <c r="A9" t="s">
        <v>617</v>
      </c>
      <c r="D9" t="s">
        <v>347</v>
      </c>
      <c r="E9" t="s">
        <v>114</v>
      </c>
    </row>
    <row r="10" spans="1:5" x14ac:dyDescent="0.3">
      <c r="A10" t="s">
        <v>215</v>
      </c>
      <c r="B10" t="s">
        <v>133</v>
      </c>
      <c r="C10" t="s">
        <v>351</v>
      </c>
      <c r="E10" t="s">
        <v>45</v>
      </c>
    </row>
    <row r="11" spans="1:5" x14ac:dyDescent="0.3">
      <c r="A11" t="s">
        <v>499</v>
      </c>
      <c r="B11" t="s">
        <v>604</v>
      </c>
      <c r="C11" t="s">
        <v>165</v>
      </c>
      <c r="D11" t="s">
        <v>84</v>
      </c>
      <c r="E11" t="s">
        <v>316</v>
      </c>
    </row>
    <row r="12" spans="1:5" x14ac:dyDescent="0.3">
      <c r="A12" t="s">
        <v>291</v>
      </c>
      <c r="B12" t="s">
        <v>399</v>
      </c>
      <c r="C12" t="s">
        <v>165</v>
      </c>
      <c r="E12" t="s">
        <v>88</v>
      </c>
    </row>
    <row r="13" spans="1:5" x14ac:dyDescent="0.3">
      <c r="A13" t="s">
        <v>358</v>
      </c>
      <c r="B13" t="s">
        <v>489</v>
      </c>
      <c r="C13" t="s">
        <v>351</v>
      </c>
      <c r="E13" t="s">
        <v>111</v>
      </c>
    </row>
    <row r="14" spans="1:5" x14ac:dyDescent="0.3">
      <c r="A14" t="s">
        <v>498</v>
      </c>
      <c r="B14" t="s">
        <v>604</v>
      </c>
      <c r="C14" t="s">
        <v>351</v>
      </c>
      <c r="E14" t="s">
        <v>416</v>
      </c>
    </row>
    <row r="15" spans="1:5" x14ac:dyDescent="0.3">
      <c r="A15" t="s">
        <v>307</v>
      </c>
      <c r="B15" t="s">
        <v>489</v>
      </c>
      <c r="C15" t="s">
        <v>351</v>
      </c>
      <c r="D15" t="s">
        <v>274</v>
      </c>
      <c r="E15" t="s">
        <v>438</v>
      </c>
    </row>
    <row r="16" spans="1:5" x14ac:dyDescent="0.3">
      <c r="A16" t="s">
        <v>359</v>
      </c>
      <c r="B16" t="s">
        <v>399</v>
      </c>
      <c r="C16" t="s">
        <v>351</v>
      </c>
      <c r="D16" t="s">
        <v>648</v>
      </c>
      <c r="E16" t="s">
        <v>62</v>
      </c>
    </row>
    <row r="17" spans="1:5" x14ac:dyDescent="0.3">
      <c r="A17" t="s">
        <v>527</v>
      </c>
      <c r="B17" t="s">
        <v>399</v>
      </c>
      <c r="C17" t="s">
        <v>165</v>
      </c>
      <c r="E17" t="s">
        <v>536</v>
      </c>
    </row>
    <row r="18" spans="1:5" x14ac:dyDescent="0.3">
      <c r="A18" t="s">
        <v>549</v>
      </c>
      <c r="B18" t="s">
        <v>311</v>
      </c>
      <c r="C18" t="s">
        <v>647</v>
      </c>
      <c r="D18" t="s">
        <v>690</v>
      </c>
      <c r="E18" t="s">
        <v>476</v>
      </c>
    </row>
    <row r="19" spans="1:5" x14ac:dyDescent="0.3">
      <c r="A19" t="s">
        <v>47</v>
      </c>
      <c r="B19" t="s">
        <v>399</v>
      </c>
      <c r="C19" t="s">
        <v>351</v>
      </c>
      <c r="D19" t="s">
        <v>473</v>
      </c>
      <c r="E19" t="s">
        <v>641</v>
      </c>
    </row>
    <row r="20" spans="1:5" x14ac:dyDescent="0.3">
      <c r="A20" t="s">
        <v>341</v>
      </c>
      <c r="B20" t="s">
        <v>311</v>
      </c>
      <c r="C20" t="s">
        <v>372</v>
      </c>
      <c r="E20" t="s">
        <v>628</v>
      </c>
    </row>
    <row r="21" spans="1:5" x14ac:dyDescent="0.3">
      <c r="A21" t="s">
        <v>462</v>
      </c>
      <c r="B21" t="s">
        <v>311</v>
      </c>
      <c r="C21" t="s">
        <v>647</v>
      </c>
      <c r="E21" t="s">
        <v>119</v>
      </c>
    </row>
    <row r="22" spans="1:5" x14ac:dyDescent="0.3">
      <c r="A22" t="s">
        <v>151</v>
      </c>
      <c r="B22" t="s">
        <v>89</v>
      </c>
      <c r="C22" t="s">
        <v>372</v>
      </c>
      <c r="D22" t="s">
        <v>274</v>
      </c>
      <c r="E22" t="s">
        <v>38</v>
      </c>
    </row>
    <row r="23" spans="1:5" x14ac:dyDescent="0.3">
      <c r="A23" t="s">
        <v>153</v>
      </c>
      <c r="B23" t="s">
        <v>399</v>
      </c>
      <c r="C23" t="s">
        <v>351</v>
      </c>
      <c r="E23" t="s">
        <v>607</v>
      </c>
    </row>
    <row r="24" spans="1:5" x14ac:dyDescent="0.3">
      <c r="A24" t="s">
        <v>70</v>
      </c>
      <c r="B24" t="s">
        <v>133</v>
      </c>
      <c r="C24" t="s">
        <v>351</v>
      </c>
      <c r="E24" t="s">
        <v>370</v>
      </c>
    </row>
    <row r="25" spans="1:5" x14ac:dyDescent="0.3">
      <c r="A25" t="s">
        <v>300</v>
      </c>
      <c r="B25" t="s">
        <v>604</v>
      </c>
      <c r="C25" t="s">
        <v>351</v>
      </c>
      <c r="E25" t="s">
        <v>168</v>
      </c>
    </row>
    <row r="26" spans="1:5" x14ac:dyDescent="0.3">
      <c r="A26" t="s">
        <v>555</v>
      </c>
      <c r="B26" t="s">
        <v>399</v>
      </c>
      <c r="C26" t="s">
        <v>165</v>
      </c>
      <c r="E26" t="s">
        <v>397</v>
      </c>
    </row>
    <row r="27" spans="1:5" x14ac:dyDescent="0.3">
      <c r="A27" t="s">
        <v>223</v>
      </c>
      <c r="B27" t="s">
        <v>399</v>
      </c>
      <c r="C27" t="s">
        <v>165</v>
      </c>
      <c r="D27" t="s">
        <v>506</v>
      </c>
      <c r="E27" t="s">
        <v>589</v>
      </c>
    </row>
    <row r="28" spans="1:5" x14ac:dyDescent="0.3">
      <c r="A28" t="s">
        <v>297</v>
      </c>
      <c r="B28" t="s">
        <v>604</v>
      </c>
      <c r="C28" t="s">
        <v>165</v>
      </c>
      <c r="E28" t="s">
        <v>320</v>
      </c>
    </row>
    <row r="29" spans="1:5" x14ac:dyDescent="0.3">
      <c r="A29" t="s">
        <v>638</v>
      </c>
      <c r="B29" t="s">
        <v>225</v>
      </c>
      <c r="C29" t="s">
        <v>351</v>
      </c>
      <c r="E29" t="s">
        <v>378</v>
      </c>
    </row>
    <row r="30" spans="1:5" x14ac:dyDescent="0.3">
      <c r="A30" t="s">
        <v>517</v>
      </c>
      <c r="B30" t="s">
        <v>604</v>
      </c>
      <c r="C30" t="s">
        <v>372</v>
      </c>
      <c r="E30" t="s">
        <v>55</v>
      </c>
    </row>
    <row r="31" spans="1:5" x14ac:dyDescent="0.3">
      <c r="A31" t="s">
        <v>339</v>
      </c>
      <c r="B31" t="s">
        <v>604</v>
      </c>
      <c r="C31" t="s">
        <v>165</v>
      </c>
      <c r="E31" t="s">
        <v>592</v>
      </c>
    </row>
    <row r="32" spans="1:5" x14ac:dyDescent="0.3">
      <c r="A32" t="s">
        <v>394</v>
      </c>
      <c r="B32" t="s">
        <v>604</v>
      </c>
      <c r="C32" t="s">
        <v>351</v>
      </c>
      <c r="E32" t="s">
        <v>562</v>
      </c>
    </row>
    <row r="33" spans="1:5" x14ac:dyDescent="0.3">
      <c r="A33" t="s">
        <v>128</v>
      </c>
      <c r="B33" t="s">
        <v>489</v>
      </c>
      <c r="C33" t="s">
        <v>351</v>
      </c>
      <c r="E33" t="s">
        <v>434</v>
      </c>
    </row>
    <row r="34" spans="1:5" x14ac:dyDescent="0.3">
      <c r="A34" t="s">
        <v>121</v>
      </c>
      <c r="B34" t="s">
        <v>89</v>
      </c>
      <c r="C34" t="s">
        <v>372</v>
      </c>
      <c r="E34" t="s">
        <v>571</v>
      </c>
    </row>
    <row r="35" spans="1:5" x14ac:dyDescent="0.3">
      <c r="A35" t="s">
        <v>401</v>
      </c>
      <c r="B35" t="s">
        <v>311</v>
      </c>
      <c r="C35" t="s">
        <v>165</v>
      </c>
      <c r="E35" t="s">
        <v>50</v>
      </c>
    </row>
    <row r="36" spans="1:5" x14ac:dyDescent="0.3">
      <c r="A36" t="s">
        <v>491</v>
      </c>
      <c r="B36" t="s">
        <v>311</v>
      </c>
      <c r="C36" t="s">
        <v>647</v>
      </c>
      <c r="E36" t="s">
        <v>187</v>
      </c>
    </row>
    <row r="37" spans="1:5" x14ac:dyDescent="0.3">
      <c r="A37" t="s">
        <v>563</v>
      </c>
      <c r="B37" t="s">
        <v>225</v>
      </c>
      <c r="C37" t="s">
        <v>351</v>
      </c>
      <c r="D37" t="s">
        <v>424</v>
      </c>
      <c r="E37" t="s">
        <v>201</v>
      </c>
    </row>
    <row r="38" spans="1:5" x14ac:dyDescent="0.3">
      <c r="A38" t="s">
        <v>237</v>
      </c>
      <c r="D38" t="s">
        <v>29</v>
      </c>
      <c r="E38" t="s">
        <v>443</v>
      </c>
    </row>
    <row r="39" spans="1:5" x14ac:dyDescent="0.3">
      <c r="A39" t="s">
        <v>646</v>
      </c>
      <c r="B39" t="s">
        <v>399</v>
      </c>
      <c r="C39" t="s">
        <v>351</v>
      </c>
      <c r="E39" t="s">
        <v>190</v>
      </c>
    </row>
    <row r="40" spans="1:5" x14ac:dyDescent="0.3">
      <c r="A40" t="s">
        <v>318</v>
      </c>
      <c r="B40" t="s">
        <v>399</v>
      </c>
      <c r="C40" t="s">
        <v>351</v>
      </c>
      <c r="E40" t="s">
        <v>395</v>
      </c>
    </row>
    <row r="41" spans="1:5" x14ac:dyDescent="0.3">
      <c r="A41" t="s">
        <v>653</v>
      </c>
      <c r="B41" t="s">
        <v>604</v>
      </c>
      <c r="C41" t="s">
        <v>351</v>
      </c>
      <c r="E41" t="s">
        <v>166</v>
      </c>
    </row>
    <row r="42" spans="1:5" ht="409.6" x14ac:dyDescent="0.3">
      <c r="A42" t="s">
        <v>188</v>
      </c>
      <c r="B42" t="s">
        <v>489</v>
      </c>
      <c r="C42" t="s">
        <v>165</v>
      </c>
      <c r="D42" s="2" t="s">
        <v>182</v>
      </c>
      <c r="E42" t="s">
        <v>505</v>
      </c>
    </row>
    <row r="43" spans="1:5" x14ac:dyDescent="0.3">
      <c r="A43" t="s">
        <v>336</v>
      </c>
      <c r="B43" t="s">
        <v>311</v>
      </c>
      <c r="C43" t="s">
        <v>372</v>
      </c>
      <c r="E43" t="s">
        <v>142</v>
      </c>
    </row>
    <row r="44" spans="1:5" x14ac:dyDescent="0.3">
      <c r="A44" t="s">
        <v>78</v>
      </c>
      <c r="B44" t="s">
        <v>311</v>
      </c>
      <c r="C44" t="s">
        <v>372</v>
      </c>
      <c r="E44" t="s">
        <v>740</v>
      </c>
    </row>
    <row r="45" spans="1:5" x14ac:dyDescent="0.3">
      <c r="A45" t="s">
        <v>228</v>
      </c>
      <c r="B45" t="s">
        <v>311</v>
      </c>
      <c r="C45" t="s">
        <v>647</v>
      </c>
      <c r="D45" t="s">
        <v>618</v>
      </c>
      <c r="E45" t="s">
        <v>497</v>
      </c>
    </row>
    <row r="46" spans="1:5" x14ac:dyDescent="0.3">
      <c r="A46" t="s">
        <v>410</v>
      </c>
      <c r="B46" t="s">
        <v>311</v>
      </c>
      <c r="C46" t="s">
        <v>372</v>
      </c>
      <c r="E46" t="s">
        <v>393</v>
      </c>
    </row>
    <row r="47" spans="1:5" x14ac:dyDescent="0.3">
      <c r="A47" t="s">
        <v>303</v>
      </c>
      <c r="B47" t="s">
        <v>604</v>
      </c>
      <c r="C47" t="s">
        <v>165</v>
      </c>
      <c r="E47" t="s">
        <v>558</v>
      </c>
    </row>
    <row r="48" spans="1:5" x14ac:dyDescent="0.3">
      <c r="A48" t="s">
        <v>356</v>
      </c>
      <c r="B48" t="s">
        <v>311</v>
      </c>
      <c r="C48" t="s">
        <v>372</v>
      </c>
      <c r="E48" t="s">
        <v>360</v>
      </c>
    </row>
    <row r="49" spans="1:5" x14ac:dyDescent="0.3">
      <c r="A49" t="s">
        <v>567</v>
      </c>
      <c r="B49" t="s">
        <v>311</v>
      </c>
      <c r="C49" t="s">
        <v>165</v>
      </c>
      <c r="E49" t="s">
        <v>495</v>
      </c>
    </row>
    <row r="50" spans="1:5" x14ac:dyDescent="0.3">
      <c r="A50" t="s">
        <v>11</v>
      </c>
      <c r="B50" t="s">
        <v>604</v>
      </c>
      <c r="C50" t="s">
        <v>351</v>
      </c>
      <c r="E50" t="s">
        <v>344</v>
      </c>
    </row>
    <row r="51" spans="1:5" x14ac:dyDescent="0.3">
      <c r="A51" t="s">
        <v>298</v>
      </c>
      <c r="D51" t="s">
        <v>389</v>
      </c>
      <c r="E51" t="s">
        <v>345</v>
      </c>
    </row>
    <row r="52" spans="1:5" x14ac:dyDescent="0.3">
      <c r="A52" t="s">
        <v>254</v>
      </c>
      <c r="B52" t="s">
        <v>604</v>
      </c>
      <c r="C52" t="s">
        <v>165</v>
      </c>
      <c r="E52" t="s">
        <v>98</v>
      </c>
    </row>
    <row r="53" spans="1:5" x14ac:dyDescent="0.3">
      <c r="A53" t="s">
        <v>99</v>
      </c>
      <c r="B53" t="s">
        <v>604</v>
      </c>
      <c r="C53" t="s">
        <v>351</v>
      </c>
      <c r="E53" t="s">
        <v>408</v>
      </c>
    </row>
    <row r="54" spans="1:5" x14ac:dyDescent="0.3">
      <c r="A54" t="s">
        <v>649</v>
      </c>
      <c r="B54" t="s">
        <v>604</v>
      </c>
      <c r="C54" t="s">
        <v>351</v>
      </c>
      <c r="E54" t="s">
        <v>481</v>
      </c>
    </row>
    <row r="55" spans="1:5" x14ac:dyDescent="0.3">
      <c r="A55" t="s">
        <v>255</v>
      </c>
      <c r="B55" t="s">
        <v>399</v>
      </c>
      <c r="C55" t="s">
        <v>351</v>
      </c>
      <c r="D55" t="s">
        <v>455</v>
      </c>
      <c r="E55" t="s">
        <v>447</v>
      </c>
    </row>
    <row r="56" spans="1:5" x14ac:dyDescent="0.3">
      <c r="A56" t="s">
        <v>666</v>
      </c>
      <c r="B56" t="s">
        <v>399</v>
      </c>
      <c r="C56" t="s">
        <v>351</v>
      </c>
      <c r="E56" t="s">
        <v>352</v>
      </c>
    </row>
    <row r="57" spans="1:5" x14ac:dyDescent="0.3">
      <c r="A57" t="s">
        <v>487</v>
      </c>
      <c r="B57" t="s">
        <v>399</v>
      </c>
      <c r="C57" t="s">
        <v>351</v>
      </c>
      <c r="D57" t="s">
        <v>458</v>
      </c>
      <c r="E57" t="s">
        <v>484</v>
      </c>
    </row>
    <row r="58" spans="1:5" x14ac:dyDescent="0.3">
      <c r="A58" t="s">
        <v>247</v>
      </c>
      <c r="B58" t="s">
        <v>133</v>
      </c>
      <c r="C58" t="s">
        <v>372</v>
      </c>
      <c r="E58" t="s">
        <v>21</v>
      </c>
    </row>
    <row r="59" spans="1:5" x14ac:dyDescent="0.3">
      <c r="A59" t="s">
        <v>262</v>
      </c>
      <c r="B59" t="s">
        <v>604</v>
      </c>
      <c r="C59" t="s">
        <v>165</v>
      </c>
      <c r="E59" t="s">
        <v>688</v>
      </c>
    </row>
    <row r="60" spans="1:5" x14ac:dyDescent="0.3">
      <c r="A60" t="s">
        <v>530</v>
      </c>
      <c r="B60" t="s">
        <v>399</v>
      </c>
      <c r="C60" t="s">
        <v>351</v>
      </c>
      <c r="E60" t="s">
        <v>310</v>
      </c>
    </row>
    <row r="61" spans="1:5" x14ac:dyDescent="0.3">
      <c r="A61" t="s">
        <v>713</v>
      </c>
      <c r="B61" t="s">
        <v>604</v>
      </c>
      <c r="C61" t="s">
        <v>165</v>
      </c>
      <c r="E61" t="s">
        <v>421</v>
      </c>
    </row>
    <row r="62" spans="1:5" x14ac:dyDescent="0.3">
      <c r="A62" t="s">
        <v>30</v>
      </c>
      <c r="B62" t="s">
        <v>133</v>
      </c>
      <c r="C62" t="s">
        <v>165</v>
      </c>
      <c r="E62" t="s">
        <v>687</v>
      </c>
    </row>
    <row r="63" spans="1:5" x14ac:dyDescent="0.3">
      <c r="A63" t="s">
        <v>239</v>
      </c>
      <c r="E63" t="s">
        <v>211</v>
      </c>
    </row>
    <row r="64" spans="1:5" x14ac:dyDescent="0.3">
      <c r="A64" t="s">
        <v>361</v>
      </c>
      <c r="D64" t="s">
        <v>657</v>
      </c>
      <c r="E64" t="s">
        <v>691</v>
      </c>
    </row>
    <row r="65" spans="1:5" x14ac:dyDescent="0.3">
      <c r="A65" t="s">
        <v>585</v>
      </c>
      <c r="D65" t="s">
        <v>7</v>
      </c>
      <c r="E65" t="s">
        <v>489</v>
      </c>
    </row>
    <row r="66" spans="1:5" x14ac:dyDescent="0.3">
      <c r="A66" t="s">
        <v>326</v>
      </c>
      <c r="E66" t="s">
        <v>277</v>
      </c>
    </row>
    <row r="67" spans="1:5" x14ac:dyDescent="0.3">
      <c r="A67" t="s">
        <v>584</v>
      </c>
      <c r="D67" t="s">
        <v>546</v>
      </c>
      <c r="E67" t="s">
        <v>399</v>
      </c>
    </row>
    <row r="68" spans="1:5" x14ac:dyDescent="0.3">
      <c r="A68" t="s">
        <v>110</v>
      </c>
      <c r="B68" t="s">
        <v>604</v>
      </c>
      <c r="C68" t="s">
        <v>165</v>
      </c>
      <c r="E68" t="s">
        <v>248</v>
      </c>
    </row>
    <row r="69" spans="1:5" ht="409.6" x14ac:dyDescent="0.3">
      <c r="A69" t="s">
        <v>670</v>
      </c>
      <c r="B69" t="s">
        <v>133</v>
      </c>
      <c r="C69" t="s">
        <v>372</v>
      </c>
      <c r="D69" s="2" t="s">
        <v>338</v>
      </c>
      <c r="E69" t="s">
        <v>260</v>
      </c>
    </row>
    <row r="70" spans="1:5" x14ac:dyDescent="0.3">
      <c r="A70" t="s">
        <v>409</v>
      </c>
      <c r="D70" t="s">
        <v>288</v>
      </c>
      <c r="E70" t="s">
        <v>143</v>
      </c>
    </row>
    <row r="71" spans="1:5" x14ac:dyDescent="0.3">
      <c r="A71" t="s">
        <v>171</v>
      </c>
      <c r="B71" t="s">
        <v>311</v>
      </c>
      <c r="C71" t="s">
        <v>647</v>
      </c>
      <c r="D71" t="s">
        <v>477</v>
      </c>
      <c r="E71" t="s">
        <v>723</v>
      </c>
    </row>
    <row r="72" spans="1:5" x14ac:dyDescent="0.3">
      <c r="A72" t="s">
        <v>253</v>
      </c>
      <c r="B72" t="s">
        <v>399</v>
      </c>
      <c r="C72" t="s">
        <v>351</v>
      </c>
      <c r="D72" t="s">
        <v>365</v>
      </c>
      <c r="E72" t="s">
        <v>81</v>
      </c>
    </row>
    <row r="73" spans="1:5" x14ac:dyDescent="0.3">
      <c r="A73" t="s">
        <v>655</v>
      </c>
      <c r="B73" t="s">
        <v>399</v>
      </c>
      <c r="C73" t="s">
        <v>351</v>
      </c>
      <c r="D73" t="s">
        <v>513</v>
      </c>
      <c r="E73" t="s">
        <v>515</v>
      </c>
    </row>
    <row r="74" spans="1:5" x14ac:dyDescent="0.3">
      <c r="A74" t="s">
        <v>101</v>
      </c>
      <c r="B74" t="s">
        <v>311</v>
      </c>
      <c r="D74" t="s">
        <v>384</v>
      </c>
      <c r="E74" t="s">
        <v>158</v>
      </c>
    </row>
    <row r="75" spans="1:5" x14ac:dyDescent="0.3">
      <c r="A75" t="s">
        <v>702</v>
      </c>
      <c r="D75" t="s">
        <v>296</v>
      </c>
      <c r="E75" t="s">
        <v>41</v>
      </c>
    </row>
    <row r="76" spans="1:5" x14ac:dyDescent="0.3">
      <c r="A76" t="s">
        <v>357</v>
      </c>
      <c r="D76" t="s">
        <v>56</v>
      </c>
      <c r="E76" t="s">
        <v>219</v>
      </c>
    </row>
    <row r="77" spans="1:5" x14ac:dyDescent="0.3">
      <c r="A77" t="s">
        <v>26</v>
      </c>
      <c r="B77" t="s">
        <v>399</v>
      </c>
      <c r="C77" t="s">
        <v>351</v>
      </c>
      <c r="D77" t="s">
        <v>250</v>
      </c>
      <c r="E77" t="s">
        <v>53</v>
      </c>
    </row>
    <row r="78" spans="1:5" x14ac:dyDescent="0.3">
      <c r="A78" t="s">
        <v>391</v>
      </c>
      <c r="B78" t="s">
        <v>489</v>
      </c>
      <c r="C78" t="s">
        <v>165</v>
      </c>
      <c r="E78" t="s">
        <v>148</v>
      </c>
    </row>
    <row r="79" spans="1:5" x14ac:dyDescent="0.3">
      <c r="A79" t="s">
        <v>625</v>
      </c>
      <c r="B79" t="s">
        <v>399</v>
      </c>
      <c r="C79" t="s">
        <v>351</v>
      </c>
      <c r="D79" t="s">
        <v>620</v>
      </c>
      <c r="E79" t="s">
        <v>379</v>
      </c>
    </row>
    <row r="80" spans="1:5" x14ac:dyDescent="0.3">
      <c r="A80" t="s">
        <v>472</v>
      </c>
      <c r="B80" t="s">
        <v>399</v>
      </c>
      <c r="C80" t="s">
        <v>351</v>
      </c>
      <c r="E80" t="s">
        <v>343</v>
      </c>
    </row>
    <row r="81" spans="1:5" x14ac:dyDescent="0.3">
      <c r="A81" t="s">
        <v>284</v>
      </c>
      <c r="B81" t="s">
        <v>489</v>
      </c>
      <c r="C81" t="s">
        <v>372</v>
      </c>
      <c r="D81" t="s">
        <v>539</v>
      </c>
      <c r="E81" t="s">
        <v>388</v>
      </c>
    </row>
    <row r="82" spans="1:5" x14ac:dyDescent="0.3">
      <c r="A82" t="s">
        <v>371</v>
      </c>
      <c r="B82" t="s">
        <v>311</v>
      </c>
      <c r="C82" t="s">
        <v>165</v>
      </c>
      <c r="E82" t="s">
        <v>500</v>
      </c>
    </row>
    <row r="83" spans="1:5" x14ac:dyDescent="0.3">
      <c r="A83" t="s">
        <v>586</v>
      </c>
      <c r="B83" t="s">
        <v>399</v>
      </c>
      <c r="C83" t="s">
        <v>351</v>
      </c>
      <c r="E83" t="s">
        <v>667</v>
      </c>
    </row>
    <row r="84" spans="1:5" x14ac:dyDescent="0.3">
      <c r="A84" t="s">
        <v>467</v>
      </c>
      <c r="B84" t="s">
        <v>399</v>
      </c>
      <c r="C84" t="s">
        <v>165</v>
      </c>
      <c r="D84" t="s">
        <v>569</v>
      </c>
      <c r="E84" t="s">
        <v>619</v>
      </c>
    </row>
    <row r="85" spans="1:5" x14ac:dyDescent="0.3">
      <c r="A85" t="s">
        <v>550</v>
      </c>
      <c r="B85" t="s">
        <v>311</v>
      </c>
      <c r="C85" t="s">
        <v>372</v>
      </c>
      <c r="D85" t="s">
        <v>706</v>
      </c>
      <c r="E85" t="s">
        <v>169</v>
      </c>
    </row>
    <row r="86" spans="1:5" x14ac:dyDescent="0.3">
      <c r="A86" t="s">
        <v>681</v>
      </c>
      <c r="B86" t="s">
        <v>399</v>
      </c>
      <c r="C86" t="s">
        <v>351</v>
      </c>
      <c r="D86" t="s">
        <v>482</v>
      </c>
      <c r="E86" t="s">
        <v>131</v>
      </c>
    </row>
    <row r="87" spans="1:5" x14ac:dyDescent="0.3">
      <c r="A87" t="s">
        <v>570</v>
      </c>
      <c r="B87" t="s">
        <v>311</v>
      </c>
      <c r="C87" t="s">
        <v>372</v>
      </c>
      <c r="E87" t="s">
        <v>575</v>
      </c>
    </row>
    <row r="88" spans="1:5" x14ac:dyDescent="0.3">
      <c r="A88" t="s">
        <v>85</v>
      </c>
      <c r="B88" t="s">
        <v>311</v>
      </c>
      <c r="C88" t="s">
        <v>647</v>
      </c>
      <c r="E88" t="s">
        <v>25</v>
      </c>
    </row>
    <row r="89" spans="1:5" x14ac:dyDescent="0.3">
      <c r="A89" t="s">
        <v>162</v>
      </c>
      <c r="B89" t="s">
        <v>311</v>
      </c>
      <c r="C89" t="s">
        <v>647</v>
      </c>
      <c r="E89" t="s">
        <v>580</v>
      </c>
    </row>
    <row r="90" spans="1:5" x14ac:dyDescent="0.3">
      <c r="A90" t="s">
        <v>232</v>
      </c>
      <c r="B90" t="s">
        <v>311</v>
      </c>
      <c r="C90" t="s">
        <v>165</v>
      </c>
      <c r="E90" t="s">
        <v>643</v>
      </c>
    </row>
    <row r="91" spans="1:5" x14ac:dyDescent="0.3">
      <c r="A91" t="s">
        <v>544</v>
      </c>
      <c r="B91" t="s">
        <v>399</v>
      </c>
      <c r="C91" t="s">
        <v>351</v>
      </c>
      <c r="D91" t="s">
        <v>425</v>
      </c>
      <c r="E91" t="s">
        <v>689</v>
      </c>
    </row>
    <row r="92" spans="1:5" x14ac:dyDescent="0.3">
      <c r="A92" t="s">
        <v>598</v>
      </c>
      <c r="B92" t="s">
        <v>604</v>
      </c>
      <c r="C92" t="s">
        <v>165</v>
      </c>
      <c r="E92" t="s">
        <v>75</v>
      </c>
    </row>
    <row r="93" spans="1:5" x14ac:dyDescent="0.3">
      <c r="A93" t="s">
        <v>661</v>
      </c>
      <c r="B93" t="s">
        <v>399</v>
      </c>
      <c r="C93" t="s">
        <v>351</v>
      </c>
      <c r="E93" t="s">
        <v>525</v>
      </c>
    </row>
    <row r="94" spans="1:5" x14ac:dyDescent="0.3">
      <c r="A94" t="s">
        <v>139</v>
      </c>
      <c r="B94" t="s">
        <v>604</v>
      </c>
      <c r="C94" t="s">
        <v>165</v>
      </c>
      <c r="D94" t="s">
        <v>107</v>
      </c>
      <c r="E94" t="s">
        <v>265</v>
      </c>
    </row>
    <row r="95" spans="1:5" x14ac:dyDescent="0.3">
      <c r="A95" t="s">
        <v>40</v>
      </c>
      <c r="B95" t="s">
        <v>489</v>
      </c>
      <c r="C95" t="s">
        <v>351</v>
      </c>
      <c r="E95" t="s">
        <v>733</v>
      </c>
    </row>
    <row r="96" spans="1:5" x14ac:dyDescent="0.3">
      <c r="A96" t="s">
        <v>532</v>
      </c>
      <c r="B96" t="s">
        <v>604</v>
      </c>
      <c r="C96" t="s">
        <v>351</v>
      </c>
      <c r="E96" t="s">
        <v>363</v>
      </c>
    </row>
    <row r="97" spans="1:5" x14ac:dyDescent="0.3">
      <c r="A97" t="s">
        <v>533</v>
      </c>
      <c r="D97" t="s">
        <v>155</v>
      </c>
      <c r="E97" t="s">
        <v>351</v>
      </c>
    </row>
    <row r="98" spans="1:5" x14ac:dyDescent="0.3">
      <c r="A98" t="s">
        <v>340</v>
      </c>
      <c r="B98" t="s">
        <v>489</v>
      </c>
      <c r="C98" t="s">
        <v>351</v>
      </c>
      <c r="D98" t="s">
        <v>730</v>
      </c>
      <c r="E98" t="s">
        <v>272</v>
      </c>
    </row>
    <row r="99" spans="1:5" x14ac:dyDescent="0.3">
      <c r="A99" t="s">
        <v>64</v>
      </c>
      <c r="B99" t="s">
        <v>604</v>
      </c>
      <c r="C99" t="s">
        <v>372</v>
      </c>
      <c r="D99" t="s">
        <v>173</v>
      </c>
      <c r="E99" t="s">
        <v>551</v>
      </c>
    </row>
    <row r="100" spans="1:5" x14ac:dyDescent="0.3">
      <c r="A100" t="s">
        <v>159</v>
      </c>
      <c r="D100" t="s">
        <v>626</v>
      </c>
      <c r="E100" t="s">
        <v>682</v>
      </c>
    </row>
    <row r="101" spans="1:5" x14ac:dyDescent="0.3">
      <c r="A101" t="s">
        <v>624</v>
      </c>
      <c r="B101" t="s">
        <v>399</v>
      </c>
      <c r="C101" t="s">
        <v>351</v>
      </c>
      <c r="D101" t="s">
        <v>129</v>
      </c>
      <c r="E101" t="s">
        <v>520</v>
      </c>
    </row>
    <row r="102" spans="1:5" x14ac:dyDescent="0.3">
      <c r="A102" t="s">
        <v>92</v>
      </c>
      <c r="B102" t="s">
        <v>604</v>
      </c>
      <c r="C102" t="s">
        <v>372</v>
      </c>
      <c r="D102" t="s">
        <v>561</v>
      </c>
      <c r="E102" t="s">
        <v>5</v>
      </c>
    </row>
    <row r="103" spans="1:5" x14ac:dyDescent="0.3">
      <c r="A103" t="s">
        <v>636</v>
      </c>
      <c r="B103" t="s">
        <v>399</v>
      </c>
      <c r="C103" t="s">
        <v>351</v>
      </c>
      <c r="E103" t="s">
        <v>52</v>
      </c>
    </row>
    <row r="104" spans="1:5" x14ac:dyDescent="0.3">
      <c r="A104" t="s">
        <v>144</v>
      </c>
      <c r="D104" t="s">
        <v>375</v>
      </c>
      <c r="E104" t="s">
        <v>714</v>
      </c>
    </row>
    <row r="105" spans="1:5" x14ac:dyDescent="0.3">
      <c r="A105" t="s">
        <v>276</v>
      </c>
      <c r="D105" t="s">
        <v>13</v>
      </c>
      <c r="E105" t="s">
        <v>79</v>
      </c>
    </row>
    <row r="106" spans="1:5" x14ac:dyDescent="0.3">
      <c r="A106" t="s">
        <v>548</v>
      </c>
      <c r="D106" t="s">
        <v>251</v>
      </c>
      <c r="E106" t="s">
        <v>735</v>
      </c>
    </row>
    <row r="107" spans="1:5" x14ac:dyDescent="0.3">
      <c r="A107" t="s">
        <v>1</v>
      </c>
      <c r="D107" t="s">
        <v>450</v>
      </c>
      <c r="E107" t="s">
        <v>502</v>
      </c>
    </row>
    <row r="108" spans="1:5" x14ac:dyDescent="0.3">
      <c r="A108" t="s">
        <v>478</v>
      </c>
      <c r="B108" t="s">
        <v>489</v>
      </c>
      <c r="C108" t="s">
        <v>165</v>
      </c>
      <c r="D108" t="s">
        <v>117</v>
      </c>
      <c r="E108" t="s">
        <v>471</v>
      </c>
    </row>
    <row r="109" spans="1:5" x14ac:dyDescent="0.3">
      <c r="A109" t="s">
        <v>673</v>
      </c>
      <c r="D109" t="s">
        <v>241</v>
      </c>
      <c r="E109" t="s">
        <v>729</v>
      </c>
    </row>
    <row r="110" spans="1:5" x14ac:dyDescent="0.3">
      <c r="A110" t="s">
        <v>116</v>
      </c>
      <c r="B110" t="s">
        <v>399</v>
      </c>
      <c r="C110" t="s">
        <v>351</v>
      </c>
      <c r="D110" t="s">
        <v>615</v>
      </c>
      <c r="E110" t="s">
        <v>301</v>
      </c>
    </row>
    <row r="111" spans="1:5" x14ac:dyDescent="0.3">
      <c r="A111" t="s">
        <v>595</v>
      </c>
      <c r="B111" t="s">
        <v>89</v>
      </c>
      <c r="C111" t="s">
        <v>372</v>
      </c>
      <c r="D111" t="s">
        <v>400</v>
      </c>
      <c r="E111" t="s">
        <v>206</v>
      </c>
    </row>
    <row r="112" spans="1:5" x14ac:dyDescent="0.3">
      <c r="A112" t="s">
        <v>57</v>
      </c>
      <c r="B112" t="s">
        <v>399</v>
      </c>
      <c r="C112" t="s">
        <v>351</v>
      </c>
      <c r="D112" t="s">
        <v>91</v>
      </c>
      <c r="E112" t="s">
        <v>105</v>
      </c>
    </row>
    <row r="113" spans="1:5" x14ac:dyDescent="0.3">
      <c r="A113" t="s">
        <v>181</v>
      </c>
      <c r="B113" t="s">
        <v>133</v>
      </c>
      <c r="C113" t="s">
        <v>165</v>
      </c>
      <c r="D113" t="s">
        <v>439</v>
      </c>
      <c r="E113" t="s">
        <v>419</v>
      </c>
    </row>
    <row r="114" spans="1:5" x14ac:dyDescent="0.3">
      <c r="A114" t="s">
        <v>538</v>
      </c>
      <c r="B114" t="s">
        <v>133</v>
      </c>
      <c r="C114" t="s">
        <v>165</v>
      </c>
      <c r="E114" t="s">
        <v>0</v>
      </c>
    </row>
    <row r="115" spans="1:5" x14ac:dyDescent="0.3">
      <c r="A115" t="s">
        <v>145</v>
      </c>
      <c r="B115" t="s">
        <v>399</v>
      </c>
      <c r="C115" t="s">
        <v>351</v>
      </c>
      <c r="E115" t="s">
        <v>28</v>
      </c>
    </row>
    <row r="116" spans="1:5" x14ac:dyDescent="0.3">
      <c r="A116" t="s">
        <v>669</v>
      </c>
      <c r="B116" t="s">
        <v>133</v>
      </c>
      <c r="C116" t="s">
        <v>351</v>
      </c>
      <c r="E116" t="s">
        <v>485</v>
      </c>
    </row>
    <row r="117" spans="1:5" x14ac:dyDescent="0.3">
      <c r="A117" t="s">
        <v>564</v>
      </c>
      <c r="B117" t="s">
        <v>399</v>
      </c>
      <c r="C117" t="s">
        <v>351</v>
      </c>
      <c r="D117" t="s">
        <v>39</v>
      </c>
      <c r="E117" t="s">
        <v>174</v>
      </c>
    </row>
    <row r="118" spans="1:5" x14ac:dyDescent="0.3">
      <c r="A118" t="s">
        <v>700</v>
      </c>
      <c r="B118" t="s">
        <v>604</v>
      </c>
      <c r="C118" t="s">
        <v>165</v>
      </c>
      <c r="E118" t="s">
        <v>126</v>
      </c>
    </row>
    <row r="119" spans="1:5" x14ac:dyDescent="0.3">
      <c r="A119" t="s">
        <v>309</v>
      </c>
      <c r="B119" t="s">
        <v>133</v>
      </c>
      <c r="C119" t="s">
        <v>372</v>
      </c>
      <c r="E119" t="s">
        <v>574</v>
      </c>
    </row>
    <row r="120" spans="1:5" x14ac:dyDescent="0.3">
      <c r="A120" t="s">
        <v>565</v>
      </c>
      <c r="B120" t="s">
        <v>489</v>
      </c>
      <c r="C120" t="s">
        <v>351</v>
      </c>
      <c r="D120" t="s">
        <v>424</v>
      </c>
      <c r="E120" t="s">
        <v>732</v>
      </c>
    </row>
    <row r="121" spans="1:5" x14ac:dyDescent="0.3">
      <c r="A121" t="s">
        <v>290</v>
      </c>
      <c r="B121" t="s">
        <v>399</v>
      </c>
      <c r="C121" t="s">
        <v>165</v>
      </c>
      <c r="E121" t="s">
        <v>83</v>
      </c>
    </row>
    <row r="122" spans="1:5" x14ac:dyDescent="0.3">
      <c r="A122" t="s">
        <v>694</v>
      </c>
      <c r="B122" t="s">
        <v>311</v>
      </c>
      <c r="C122" t="s">
        <v>372</v>
      </c>
      <c r="D122" t="s">
        <v>680</v>
      </c>
      <c r="E122" t="s">
        <v>737</v>
      </c>
    </row>
    <row r="123" spans="1:5" x14ac:dyDescent="0.3">
      <c r="A123" t="s">
        <v>422</v>
      </c>
      <c r="B123" t="s">
        <v>399</v>
      </c>
      <c r="C123" t="s">
        <v>372</v>
      </c>
      <c r="E123" t="s">
        <v>469</v>
      </c>
    </row>
    <row r="124" spans="1:5" x14ac:dyDescent="0.3">
      <c r="A124" t="s">
        <v>707</v>
      </c>
      <c r="B124" t="s">
        <v>489</v>
      </c>
      <c r="C124" t="s">
        <v>372</v>
      </c>
      <c r="D124" t="s">
        <v>233</v>
      </c>
      <c r="E124" t="s">
        <v>672</v>
      </c>
    </row>
    <row r="125" spans="1:5" x14ac:dyDescent="0.3">
      <c r="A125" t="s">
        <v>526</v>
      </c>
      <c r="B125" t="s">
        <v>489</v>
      </c>
      <c r="C125" t="s">
        <v>372</v>
      </c>
      <c r="E125" t="s">
        <v>634</v>
      </c>
    </row>
    <row r="126" spans="1:5" x14ac:dyDescent="0.3">
      <c r="A126" t="s">
        <v>392</v>
      </c>
      <c r="B126" t="s">
        <v>604</v>
      </c>
      <c r="C126" t="s">
        <v>351</v>
      </c>
      <c r="E126" t="s">
        <v>167</v>
      </c>
    </row>
    <row r="127" spans="1:5" x14ac:dyDescent="0.3">
      <c r="A127" t="s">
        <v>665</v>
      </c>
      <c r="B127" t="s">
        <v>489</v>
      </c>
      <c r="C127" t="s">
        <v>351</v>
      </c>
      <c r="E127" t="s">
        <v>196</v>
      </c>
    </row>
    <row r="128" spans="1:5" x14ac:dyDescent="0.3">
      <c r="A128" t="s">
        <v>508</v>
      </c>
      <c r="B128" t="s">
        <v>133</v>
      </c>
      <c r="C128" t="s">
        <v>351</v>
      </c>
      <c r="E128" t="s">
        <v>722</v>
      </c>
    </row>
    <row r="129" spans="1:5" x14ac:dyDescent="0.3">
      <c r="A129" t="s">
        <v>521</v>
      </c>
      <c r="E129" t="s">
        <v>285</v>
      </c>
    </row>
    <row r="130" spans="1:5" x14ac:dyDescent="0.3">
      <c r="A130" t="s">
        <v>242</v>
      </c>
      <c r="B130" t="s">
        <v>489</v>
      </c>
      <c r="C130" t="s">
        <v>372</v>
      </c>
      <c r="D130" t="s">
        <v>240</v>
      </c>
      <c r="E130" t="s">
        <v>573</v>
      </c>
    </row>
    <row r="131" spans="1:5" x14ac:dyDescent="0.3">
      <c r="A131" t="s">
        <v>261</v>
      </c>
      <c r="B131" t="s">
        <v>133</v>
      </c>
      <c r="C131" t="s">
        <v>372</v>
      </c>
      <c r="D131" t="s">
        <v>207</v>
      </c>
      <c r="E131" t="s">
        <v>445</v>
      </c>
    </row>
    <row r="132" spans="1:5" x14ac:dyDescent="0.3">
      <c r="A132" t="s">
        <v>660</v>
      </c>
      <c r="B132" t="s">
        <v>311</v>
      </c>
      <c r="C132" t="s">
        <v>647</v>
      </c>
      <c r="D132" t="s">
        <v>204</v>
      </c>
      <c r="E132" t="s">
        <v>245</v>
      </c>
    </row>
    <row r="133" spans="1:5" x14ac:dyDescent="0.3">
      <c r="A133" t="s">
        <v>664</v>
      </c>
      <c r="B133" t="s">
        <v>133</v>
      </c>
      <c r="C133" t="s">
        <v>165</v>
      </c>
      <c r="E133" t="s">
        <v>554</v>
      </c>
    </row>
    <row r="134" spans="1:5" x14ac:dyDescent="0.3">
      <c r="A134" t="s">
        <v>381</v>
      </c>
      <c r="B134" t="s">
        <v>604</v>
      </c>
      <c r="C134" t="s">
        <v>165</v>
      </c>
      <c r="E134" t="s">
        <v>514</v>
      </c>
    </row>
    <row r="135" spans="1:5" x14ac:dyDescent="0.3">
      <c r="A135" t="s">
        <v>177</v>
      </c>
      <c r="E135" t="s">
        <v>604</v>
      </c>
    </row>
    <row r="136" spans="1:5" x14ac:dyDescent="0.3">
      <c r="A136" t="s">
        <v>588</v>
      </c>
      <c r="E136" t="s">
        <v>282</v>
      </c>
    </row>
    <row r="137" spans="1:5" x14ac:dyDescent="0.3">
      <c r="A137" t="s">
        <v>69</v>
      </c>
      <c r="D137" t="s">
        <v>95</v>
      </c>
      <c r="E137" t="s">
        <v>647</v>
      </c>
    </row>
    <row r="138" spans="1:5" x14ac:dyDescent="0.3">
      <c r="A138" t="s">
        <v>354</v>
      </c>
      <c r="B138" t="s">
        <v>399</v>
      </c>
      <c r="C138" t="s">
        <v>351</v>
      </c>
      <c r="E138" t="s">
        <v>614</v>
      </c>
    </row>
    <row r="139" spans="1:5" x14ac:dyDescent="0.3">
      <c r="A139" t="s">
        <v>685</v>
      </c>
      <c r="B139" t="s">
        <v>89</v>
      </c>
      <c r="C139" t="s">
        <v>372</v>
      </c>
      <c r="E139" t="s">
        <v>3</v>
      </c>
    </row>
    <row r="140" spans="1:5" x14ac:dyDescent="0.3">
      <c r="A140" t="s">
        <v>222</v>
      </c>
      <c r="D140" t="s">
        <v>367</v>
      </c>
      <c r="E140" t="s">
        <v>372</v>
      </c>
    </row>
    <row r="141" spans="1:5" x14ac:dyDescent="0.3">
      <c r="A141" t="s">
        <v>304</v>
      </c>
      <c r="D141" t="s">
        <v>152</v>
      </c>
      <c r="E141" t="s">
        <v>327</v>
      </c>
    </row>
    <row r="142" spans="1:5" x14ac:dyDescent="0.3">
      <c r="A142" t="s">
        <v>256</v>
      </c>
      <c r="B142" t="s">
        <v>311</v>
      </c>
      <c r="C142" t="s">
        <v>372</v>
      </c>
      <c r="D142" t="s">
        <v>424</v>
      </c>
      <c r="E142" t="s">
        <v>501</v>
      </c>
    </row>
    <row r="143" spans="1:5" x14ac:dyDescent="0.3">
      <c r="A143" t="s">
        <v>720</v>
      </c>
      <c r="D143" t="s">
        <v>709</v>
      </c>
      <c r="E143" t="s">
        <v>415</v>
      </c>
    </row>
    <row r="144" spans="1:5" x14ac:dyDescent="0.3">
      <c r="A144" t="s">
        <v>113</v>
      </c>
      <c r="B144" t="s">
        <v>399</v>
      </c>
      <c r="C144" t="s">
        <v>351</v>
      </c>
      <c r="D144" t="s">
        <v>323</v>
      </c>
      <c r="E144" t="s">
        <v>423</v>
      </c>
    </row>
    <row r="145" spans="1:5" x14ac:dyDescent="0.3">
      <c r="A145" t="s">
        <v>545</v>
      </c>
      <c r="B145" t="s">
        <v>399</v>
      </c>
      <c r="C145" t="s">
        <v>351</v>
      </c>
      <c r="D145" t="s">
        <v>364</v>
      </c>
      <c r="E145" t="s">
        <v>299</v>
      </c>
    </row>
    <row r="146" spans="1:5" x14ac:dyDescent="0.3">
      <c r="A146" t="s">
        <v>470</v>
      </c>
      <c r="B146" t="s">
        <v>399</v>
      </c>
      <c r="C146" t="s">
        <v>351</v>
      </c>
      <c r="D146" t="s">
        <v>346</v>
      </c>
      <c r="E146" t="s">
        <v>275</v>
      </c>
    </row>
    <row r="147" spans="1:5" x14ac:dyDescent="0.3">
      <c r="A147" t="s">
        <v>305</v>
      </c>
      <c r="B147" t="s">
        <v>489</v>
      </c>
      <c r="C147" t="s">
        <v>351</v>
      </c>
      <c r="D147" t="s">
        <v>73</v>
      </c>
      <c r="E147" t="s">
        <v>577</v>
      </c>
    </row>
    <row r="148" spans="1:5" x14ac:dyDescent="0.3">
      <c r="A148" t="s">
        <v>474</v>
      </c>
      <c r="B148" t="s">
        <v>604</v>
      </c>
      <c r="C148" t="s">
        <v>351</v>
      </c>
      <c r="E148" t="s">
        <v>405</v>
      </c>
    </row>
    <row r="149" spans="1:5" x14ac:dyDescent="0.3">
      <c r="A149" t="s">
        <v>203</v>
      </c>
      <c r="B149" t="s">
        <v>133</v>
      </c>
      <c r="C149" t="s">
        <v>372</v>
      </c>
      <c r="E149" t="s">
        <v>36</v>
      </c>
    </row>
    <row r="150" spans="1:5" x14ac:dyDescent="0.3">
      <c r="A150" t="s">
        <v>6</v>
      </c>
      <c r="B150" t="s">
        <v>399</v>
      </c>
      <c r="C150" t="s">
        <v>351</v>
      </c>
      <c r="E150" t="s">
        <v>413</v>
      </c>
    </row>
    <row r="151" spans="1:5" x14ac:dyDescent="0.3">
      <c r="A151" t="s">
        <v>87</v>
      </c>
      <c r="B151" t="s">
        <v>399</v>
      </c>
      <c r="C151" t="s">
        <v>165</v>
      </c>
      <c r="D151" t="s">
        <v>385</v>
      </c>
      <c r="E151" t="s">
        <v>483</v>
      </c>
    </row>
    <row r="152" spans="1:5" x14ac:dyDescent="0.3">
      <c r="A152" t="s">
        <v>16</v>
      </c>
      <c r="B152" t="s">
        <v>311</v>
      </c>
      <c r="C152" t="s">
        <v>647</v>
      </c>
      <c r="E152" t="s">
        <v>426</v>
      </c>
    </row>
    <row r="153" spans="1:5" x14ac:dyDescent="0.3">
      <c r="A153" t="s">
        <v>96</v>
      </c>
      <c r="B153" t="s">
        <v>89</v>
      </c>
      <c r="C153" t="s">
        <v>165</v>
      </c>
      <c r="E153" t="s">
        <v>226</v>
      </c>
    </row>
    <row r="154" spans="1:5" x14ac:dyDescent="0.3">
      <c r="A154" t="s">
        <v>163</v>
      </c>
      <c r="D154" t="s">
        <v>200</v>
      </c>
      <c r="E154" t="s">
        <v>582</v>
      </c>
    </row>
    <row r="155" spans="1:5" x14ac:dyDescent="0.3">
      <c r="A155" t="s">
        <v>308</v>
      </c>
      <c r="B155" t="s">
        <v>604</v>
      </c>
      <c r="C155" t="s">
        <v>165</v>
      </c>
      <c r="E155" t="s">
        <v>243</v>
      </c>
    </row>
    <row r="156" spans="1:5" x14ac:dyDescent="0.3">
      <c r="A156" t="s">
        <v>639</v>
      </c>
      <c r="B156" t="s">
        <v>489</v>
      </c>
      <c r="C156" t="s">
        <v>165</v>
      </c>
      <c r="D156" t="s">
        <v>281</v>
      </c>
      <c r="E156" t="s">
        <v>705</v>
      </c>
    </row>
    <row r="157" spans="1:5" x14ac:dyDescent="0.3">
      <c r="A157" t="s">
        <v>599</v>
      </c>
      <c r="D157" t="s">
        <v>32</v>
      </c>
      <c r="E157" t="s">
        <v>457</v>
      </c>
    </row>
    <row r="158" spans="1:5" x14ac:dyDescent="0.3">
      <c r="A158" t="s">
        <v>652</v>
      </c>
      <c r="B158" t="s">
        <v>399</v>
      </c>
      <c r="C158" t="s">
        <v>165</v>
      </c>
      <c r="E158" t="s">
        <v>122</v>
      </c>
    </row>
    <row r="159" spans="1:5" x14ac:dyDescent="0.3">
      <c r="A159" t="s">
        <v>611</v>
      </c>
      <c r="B159" t="s">
        <v>311</v>
      </c>
      <c r="C159" t="s">
        <v>647</v>
      </c>
      <c r="E159" t="s">
        <v>355</v>
      </c>
    </row>
    <row r="160" spans="1:5" x14ac:dyDescent="0.3">
      <c r="A160" t="s">
        <v>118</v>
      </c>
      <c r="B160" t="s">
        <v>133</v>
      </c>
      <c r="C160" t="s">
        <v>351</v>
      </c>
      <c r="D160" t="s">
        <v>220</v>
      </c>
      <c r="E160" t="s">
        <v>406</v>
      </c>
    </row>
    <row r="161" spans="1:5" ht="409.6" x14ac:dyDescent="0.3">
      <c r="A161" t="s">
        <v>68</v>
      </c>
      <c r="B161" t="s">
        <v>489</v>
      </c>
      <c r="C161" t="s">
        <v>372</v>
      </c>
      <c r="D161" s="2" t="s">
        <v>23</v>
      </c>
      <c r="E161" t="s">
        <v>432</v>
      </c>
    </row>
    <row r="162" spans="1:5" x14ac:dyDescent="0.3">
      <c r="A162" t="s">
        <v>552</v>
      </c>
      <c r="D162" t="s">
        <v>179</v>
      </c>
      <c r="E162" t="s">
        <v>658</v>
      </c>
    </row>
    <row r="163" spans="1:5" x14ac:dyDescent="0.3">
      <c r="A163" t="s">
        <v>199</v>
      </c>
      <c r="B163" t="s">
        <v>399</v>
      </c>
      <c r="C163" t="s">
        <v>165</v>
      </c>
      <c r="D163" t="s">
        <v>213</v>
      </c>
      <c r="E163" t="s">
        <v>411</v>
      </c>
    </row>
    <row r="164" spans="1:5" x14ac:dyDescent="0.3">
      <c r="A164" t="s">
        <v>480</v>
      </c>
      <c r="B164" t="s">
        <v>489</v>
      </c>
      <c r="C164" t="s">
        <v>165</v>
      </c>
      <c r="D164" t="s">
        <v>76</v>
      </c>
      <c r="E164" t="s">
        <v>404</v>
      </c>
    </row>
    <row r="165" spans="1:5" x14ac:dyDescent="0.3">
      <c r="A165" t="s">
        <v>612</v>
      </c>
      <c r="B165" t="s">
        <v>489</v>
      </c>
      <c r="C165" t="s">
        <v>351</v>
      </c>
      <c r="E165" t="s">
        <v>183</v>
      </c>
    </row>
    <row r="166" spans="1:5" x14ac:dyDescent="0.3">
      <c r="A166" t="s">
        <v>140</v>
      </c>
      <c r="B166" t="s">
        <v>311</v>
      </c>
      <c r="C166" t="s">
        <v>647</v>
      </c>
      <c r="E166" t="s">
        <v>605</v>
      </c>
    </row>
    <row r="167" spans="1:5" x14ac:dyDescent="0.3">
      <c r="A167" t="s">
        <v>418</v>
      </c>
      <c r="B167" t="s">
        <v>311</v>
      </c>
      <c r="C167" t="s">
        <v>372</v>
      </c>
      <c r="D167" t="s">
        <v>534</v>
      </c>
      <c r="E167" t="s">
        <v>58</v>
      </c>
    </row>
    <row r="168" spans="1:5" x14ac:dyDescent="0.3">
      <c r="A168" t="s">
        <v>428</v>
      </c>
      <c r="B168" t="s">
        <v>311</v>
      </c>
      <c r="C168" t="s">
        <v>165</v>
      </c>
      <c r="E168" t="s">
        <v>51</v>
      </c>
    </row>
    <row r="169" spans="1:5" x14ac:dyDescent="0.3">
      <c r="A169" t="s">
        <v>244</v>
      </c>
      <c r="B169" t="s">
        <v>311</v>
      </c>
      <c r="C169" t="s">
        <v>647</v>
      </c>
      <c r="E169" t="s">
        <v>542</v>
      </c>
    </row>
    <row r="170" spans="1:5" x14ac:dyDescent="0.3">
      <c r="A170" t="s">
        <v>587</v>
      </c>
      <c r="B170" t="s">
        <v>489</v>
      </c>
      <c r="C170" t="s">
        <v>165</v>
      </c>
      <c r="E170" t="s">
        <v>451</v>
      </c>
    </row>
    <row r="171" spans="1:5" x14ac:dyDescent="0.3">
      <c r="A171" t="s">
        <v>662</v>
      </c>
      <c r="D171" t="s">
        <v>368</v>
      </c>
      <c r="E171" t="s">
        <v>225</v>
      </c>
    </row>
    <row r="172" spans="1:5" x14ac:dyDescent="0.3">
      <c r="A172" t="s">
        <v>267</v>
      </c>
      <c r="B172" t="s">
        <v>311</v>
      </c>
      <c r="C172" t="s">
        <v>372</v>
      </c>
      <c r="D172" t="s">
        <v>424</v>
      </c>
      <c r="E172" t="s">
        <v>156</v>
      </c>
    </row>
    <row r="173" spans="1:5" x14ac:dyDescent="0.3">
      <c r="A173" t="s">
        <v>197</v>
      </c>
      <c r="B173" t="s">
        <v>489</v>
      </c>
      <c r="C173" t="s">
        <v>351</v>
      </c>
      <c r="E173" t="s">
        <v>721</v>
      </c>
    </row>
    <row r="174" spans="1:5" x14ac:dyDescent="0.3">
      <c r="A174" t="s">
        <v>141</v>
      </c>
      <c r="B174" t="s">
        <v>311</v>
      </c>
      <c r="C174" t="s">
        <v>647</v>
      </c>
      <c r="E174" t="s">
        <v>180</v>
      </c>
    </row>
    <row r="175" spans="1:5" x14ac:dyDescent="0.3">
      <c r="A175" t="s">
        <v>683</v>
      </c>
      <c r="B175" t="s">
        <v>311</v>
      </c>
      <c r="C175" t="s">
        <v>372</v>
      </c>
      <c r="D175" t="s">
        <v>454</v>
      </c>
      <c r="E175" t="s">
        <v>302</v>
      </c>
    </row>
    <row r="176" spans="1:5" x14ac:dyDescent="0.3">
      <c r="A176" t="s">
        <v>218</v>
      </c>
      <c r="B176" t="s">
        <v>604</v>
      </c>
      <c r="C176" t="s">
        <v>372</v>
      </c>
      <c r="D176" t="s">
        <v>49</v>
      </c>
      <c r="E176" t="s">
        <v>603</v>
      </c>
    </row>
    <row r="177" spans="1:5" x14ac:dyDescent="0.3">
      <c r="A177" t="s">
        <v>516</v>
      </c>
      <c r="B177" t="s">
        <v>399</v>
      </c>
      <c r="C177" t="s">
        <v>351</v>
      </c>
      <c r="D177" t="s">
        <v>535</v>
      </c>
      <c r="E177" t="s">
        <v>14</v>
      </c>
    </row>
    <row r="178" spans="1:5" x14ac:dyDescent="0.3">
      <c r="A178" t="s">
        <v>596</v>
      </c>
      <c r="B178" t="s">
        <v>399</v>
      </c>
      <c r="C178" t="s">
        <v>351</v>
      </c>
      <c r="E178" t="s">
        <v>678</v>
      </c>
    </row>
    <row r="179" spans="1:5" x14ac:dyDescent="0.3">
      <c r="A179" t="s">
        <v>719</v>
      </c>
      <c r="B179" t="s">
        <v>89</v>
      </c>
      <c r="C179" t="s">
        <v>372</v>
      </c>
      <c r="D179" t="s">
        <v>77</v>
      </c>
      <c r="E179" t="s">
        <v>214</v>
      </c>
    </row>
    <row r="180" spans="1:5" x14ac:dyDescent="0.3">
      <c r="A180" t="s">
        <v>269</v>
      </c>
      <c r="B180" t="s">
        <v>489</v>
      </c>
      <c r="C180" t="s">
        <v>351</v>
      </c>
      <c r="D180" t="s">
        <v>274</v>
      </c>
      <c r="E180" t="s">
        <v>104</v>
      </c>
    </row>
    <row r="181" spans="1:5" x14ac:dyDescent="0.3">
      <c r="A181" t="s">
        <v>293</v>
      </c>
      <c r="B181" t="s">
        <v>489</v>
      </c>
      <c r="C181" t="s">
        <v>351</v>
      </c>
      <c r="D181" t="s">
        <v>424</v>
      </c>
      <c r="E181" t="s">
        <v>560</v>
      </c>
    </row>
    <row r="182" spans="1:5" x14ac:dyDescent="0.3">
      <c r="A182" t="s">
        <v>651</v>
      </c>
      <c r="E182" t="s">
        <v>342</v>
      </c>
    </row>
    <row r="183" spans="1:5" x14ac:dyDescent="0.3">
      <c r="A183" t="s">
        <v>566</v>
      </c>
      <c r="B183" t="s">
        <v>133</v>
      </c>
      <c r="C183" t="s">
        <v>351</v>
      </c>
      <c r="E183" t="s">
        <v>695</v>
      </c>
    </row>
    <row r="184" spans="1:5" x14ac:dyDescent="0.3">
      <c r="A184" t="s">
        <v>420</v>
      </c>
      <c r="D184" t="s">
        <v>675</v>
      </c>
      <c r="E184" t="s">
        <v>693</v>
      </c>
    </row>
    <row r="185" spans="1:5" x14ac:dyDescent="0.3">
      <c r="A185" t="s">
        <v>134</v>
      </c>
      <c r="B185" t="s">
        <v>133</v>
      </c>
      <c r="C185" t="s">
        <v>372</v>
      </c>
      <c r="D185" t="s">
        <v>274</v>
      </c>
      <c r="E185" t="s">
        <v>738</v>
      </c>
    </row>
    <row r="186" spans="1:5" x14ac:dyDescent="0.3">
      <c r="A186" t="s">
        <v>464</v>
      </c>
      <c r="B186" t="s">
        <v>604</v>
      </c>
      <c r="C186" t="s">
        <v>351</v>
      </c>
      <c r="E186" t="s">
        <v>540</v>
      </c>
    </row>
    <row r="187" spans="1:5" x14ac:dyDescent="0.3">
      <c r="A187" t="s">
        <v>294</v>
      </c>
      <c r="B187" t="s">
        <v>604</v>
      </c>
      <c r="C187" t="s">
        <v>165</v>
      </c>
      <c r="D187" t="s">
        <v>724</v>
      </c>
      <c r="E187" t="s">
        <v>494</v>
      </c>
    </row>
    <row r="188" spans="1:5" x14ac:dyDescent="0.3">
      <c r="A188" t="s">
        <v>579</v>
      </c>
      <c r="B188" t="s">
        <v>489</v>
      </c>
      <c r="C188" t="s">
        <v>372</v>
      </c>
      <c r="E188" t="s">
        <v>283</v>
      </c>
    </row>
    <row r="189" spans="1:5" x14ac:dyDescent="0.3">
      <c r="A189" t="s">
        <v>382</v>
      </c>
      <c r="B189" t="s">
        <v>489</v>
      </c>
      <c r="C189" t="s">
        <v>351</v>
      </c>
      <c r="D189" t="s">
        <v>281</v>
      </c>
      <c r="E189" t="s">
        <v>677</v>
      </c>
    </row>
    <row r="190" spans="1:5" x14ac:dyDescent="0.3">
      <c r="A190" t="s">
        <v>259</v>
      </c>
      <c r="B190" t="s">
        <v>489</v>
      </c>
      <c r="C190" t="s">
        <v>372</v>
      </c>
      <c r="E190" t="s">
        <v>453</v>
      </c>
    </row>
    <row r="191" spans="1:5" x14ac:dyDescent="0.3">
      <c r="A191" t="s">
        <v>42</v>
      </c>
      <c r="B191" t="s">
        <v>399</v>
      </c>
      <c r="C191" t="s">
        <v>351</v>
      </c>
      <c r="E191" t="s">
        <v>74</v>
      </c>
    </row>
    <row r="192" spans="1:5" x14ac:dyDescent="0.3">
      <c r="A192" t="s">
        <v>292</v>
      </c>
      <c r="D192" t="s">
        <v>4</v>
      </c>
      <c r="E192" t="s">
        <v>235</v>
      </c>
    </row>
    <row r="193" spans="1:5" x14ac:dyDescent="0.3">
      <c r="A193" t="s">
        <v>684</v>
      </c>
      <c r="B193" t="s">
        <v>604</v>
      </c>
      <c r="C193" t="s">
        <v>351</v>
      </c>
      <c r="D193" t="s">
        <v>606</v>
      </c>
      <c r="E193" t="s">
        <v>266</v>
      </c>
    </row>
    <row r="194" spans="1:5" x14ac:dyDescent="0.3">
      <c r="A194" t="s">
        <v>59</v>
      </c>
      <c r="B194" t="s">
        <v>489</v>
      </c>
      <c r="C194" t="s">
        <v>647</v>
      </c>
      <c r="E194" t="s">
        <v>524</v>
      </c>
    </row>
    <row r="195" spans="1:5" x14ac:dyDescent="0.3">
      <c r="A195" t="s">
        <v>191</v>
      </c>
      <c r="B195" t="s">
        <v>399</v>
      </c>
      <c r="C195" t="s">
        <v>351</v>
      </c>
      <c r="D195" t="s">
        <v>452</v>
      </c>
      <c r="E195" t="s">
        <v>433</v>
      </c>
    </row>
    <row r="196" spans="1:5" x14ac:dyDescent="0.3">
      <c r="A196" t="s">
        <v>71</v>
      </c>
      <c r="B196" t="s">
        <v>604</v>
      </c>
      <c r="C196" t="s">
        <v>165</v>
      </c>
      <c r="D196" t="s">
        <v>149</v>
      </c>
      <c r="E196" t="s">
        <v>493</v>
      </c>
    </row>
    <row r="197" spans="1:5" x14ac:dyDescent="0.3">
      <c r="A197" t="s">
        <v>198</v>
      </c>
      <c r="B197" t="s">
        <v>133</v>
      </c>
      <c r="C197" t="s">
        <v>372</v>
      </c>
      <c r="D197" t="s">
        <v>204</v>
      </c>
      <c r="E197" t="s">
        <v>86</v>
      </c>
    </row>
    <row r="198" spans="1:5" x14ac:dyDescent="0.3">
      <c r="A198" t="s">
        <v>208</v>
      </c>
      <c r="D198" t="s">
        <v>108</v>
      </c>
      <c r="E198" t="s">
        <v>130</v>
      </c>
    </row>
    <row r="199" spans="1:5" x14ac:dyDescent="0.3">
      <c r="A199" t="s">
        <v>278</v>
      </c>
      <c r="D199" t="s">
        <v>295</v>
      </c>
      <c r="E199" t="s">
        <v>591</v>
      </c>
    </row>
    <row r="200" spans="1:5" x14ac:dyDescent="0.3">
      <c r="A200" t="s">
        <v>576</v>
      </c>
      <c r="B200" t="s">
        <v>489</v>
      </c>
      <c r="C200" t="s">
        <v>351</v>
      </c>
      <c r="E200" t="s">
        <v>362</v>
      </c>
    </row>
    <row r="201" spans="1:5" x14ac:dyDescent="0.3">
      <c r="A201" t="s">
        <v>24</v>
      </c>
      <c r="B201" t="s">
        <v>133</v>
      </c>
      <c r="C201" t="s">
        <v>351</v>
      </c>
      <c r="E201" t="s">
        <v>613</v>
      </c>
    </row>
    <row r="202" spans="1:5" x14ac:dyDescent="0.3">
      <c r="A202" t="s">
        <v>331</v>
      </c>
      <c r="B202" t="s">
        <v>399</v>
      </c>
      <c r="C202" t="s">
        <v>351</v>
      </c>
      <c r="D202" t="s">
        <v>708</v>
      </c>
      <c r="E202" t="s">
        <v>553</v>
      </c>
    </row>
    <row r="203" spans="1:5" x14ac:dyDescent="0.3">
      <c r="A203" t="s">
        <v>353</v>
      </c>
      <c r="B203" t="s">
        <v>399</v>
      </c>
      <c r="C203" t="s">
        <v>351</v>
      </c>
      <c r="E203" t="s">
        <v>2</v>
      </c>
    </row>
    <row r="204" spans="1:5" x14ac:dyDescent="0.3">
      <c r="A204" t="s">
        <v>93</v>
      </c>
      <c r="B204" t="s">
        <v>311</v>
      </c>
      <c r="C204" t="s">
        <v>647</v>
      </c>
      <c r="E204" t="s">
        <v>270</v>
      </c>
    </row>
    <row r="205" spans="1:5" x14ac:dyDescent="0.3">
      <c r="A205" t="s">
        <v>125</v>
      </c>
      <c r="D205" t="s">
        <v>35</v>
      </c>
      <c r="E205" t="s">
        <v>89</v>
      </c>
    </row>
    <row r="206" spans="1:5" x14ac:dyDescent="0.3">
      <c r="A206" t="s">
        <v>246</v>
      </c>
      <c r="B206" t="s">
        <v>133</v>
      </c>
      <c r="C206" t="s">
        <v>351</v>
      </c>
      <c r="E206" t="s">
        <v>479</v>
      </c>
    </row>
    <row r="207" spans="1:5" x14ac:dyDescent="0.3">
      <c r="A207" t="s">
        <v>465</v>
      </c>
      <c r="B207" t="s">
        <v>311</v>
      </c>
      <c r="C207" t="s">
        <v>647</v>
      </c>
      <c r="D207" t="s">
        <v>437</v>
      </c>
      <c r="E207" t="s">
        <v>230</v>
      </c>
    </row>
    <row r="208" spans="1:5" x14ac:dyDescent="0.3">
      <c r="A208" t="s">
        <v>559</v>
      </c>
      <c r="B208" t="s">
        <v>311</v>
      </c>
      <c r="C208" t="s">
        <v>372</v>
      </c>
      <c r="E208" t="s">
        <v>34</v>
      </c>
    </row>
    <row r="209" spans="1:5" x14ac:dyDescent="0.3">
      <c r="A209" t="s">
        <v>82</v>
      </c>
      <c r="B209" t="s">
        <v>489</v>
      </c>
      <c r="C209" t="s">
        <v>351</v>
      </c>
      <c r="D209" t="s">
        <v>424</v>
      </c>
      <c r="E209" t="s">
        <v>507</v>
      </c>
    </row>
    <row r="210" spans="1:5" x14ac:dyDescent="0.3">
      <c r="A210" t="s">
        <v>314</v>
      </c>
      <c r="B210" t="s">
        <v>489</v>
      </c>
      <c r="C210" t="s">
        <v>372</v>
      </c>
      <c r="E210" t="s">
        <v>100</v>
      </c>
    </row>
    <row r="211" spans="1:5" x14ac:dyDescent="0.3">
      <c r="A211" t="s">
        <v>642</v>
      </c>
      <c r="B211" t="s">
        <v>311</v>
      </c>
      <c r="C211" t="s">
        <v>647</v>
      </c>
      <c r="E211" t="s">
        <v>701</v>
      </c>
    </row>
    <row r="212" spans="1:5" x14ac:dyDescent="0.3">
      <c r="A212" t="s">
        <v>94</v>
      </c>
      <c r="B212" t="s">
        <v>604</v>
      </c>
      <c r="C212" t="s">
        <v>165</v>
      </c>
      <c r="E212" t="s">
        <v>572</v>
      </c>
    </row>
    <row r="213" spans="1:5" x14ac:dyDescent="0.3">
      <c r="A213" t="s">
        <v>518</v>
      </c>
      <c r="B213" t="s">
        <v>399</v>
      </c>
      <c r="C213" t="s">
        <v>351</v>
      </c>
      <c r="E213" t="s">
        <v>456</v>
      </c>
    </row>
    <row r="214" spans="1:5" x14ac:dyDescent="0.3">
      <c r="A214" t="s">
        <v>31</v>
      </c>
      <c r="B214" t="s">
        <v>311</v>
      </c>
      <c r="C214" t="s">
        <v>647</v>
      </c>
      <c r="D214" t="s">
        <v>734</v>
      </c>
      <c r="E214" t="s">
        <v>350</v>
      </c>
    </row>
    <row r="215" spans="1:5" x14ac:dyDescent="0.3">
      <c r="A215" t="s">
        <v>444</v>
      </c>
      <c r="B215" t="s">
        <v>399</v>
      </c>
      <c r="C215" t="s">
        <v>165</v>
      </c>
      <c r="D215" t="s">
        <v>537</v>
      </c>
      <c r="E215" t="s">
        <v>319</v>
      </c>
    </row>
    <row r="216" spans="1:5" x14ac:dyDescent="0.3">
      <c r="A216" t="s">
        <v>459</v>
      </c>
      <c r="E216" t="s">
        <v>60</v>
      </c>
    </row>
    <row r="217" spans="1:5" x14ac:dyDescent="0.3">
      <c r="A217" t="s">
        <v>63</v>
      </c>
      <c r="B217" t="s">
        <v>311</v>
      </c>
      <c r="C217" t="s">
        <v>647</v>
      </c>
      <c r="D217" t="s">
        <v>274</v>
      </c>
      <c r="E217" t="s">
        <v>286</v>
      </c>
    </row>
    <row r="218" spans="1:5" x14ac:dyDescent="0.3">
      <c r="A218" t="s">
        <v>186</v>
      </c>
      <c r="D218" t="s">
        <v>380</v>
      </c>
      <c r="E218" t="s">
        <v>311</v>
      </c>
    </row>
    <row r="219" spans="1:5" x14ac:dyDescent="0.3">
      <c r="A219" t="s">
        <v>195</v>
      </c>
      <c r="D219" t="s">
        <v>112</v>
      </c>
      <c r="E219" t="s">
        <v>43</v>
      </c>
    </row>
    <row r="220" spans="1:5" x14ac:dyDescent="0.3">
      <c r="A220" t="s">
        <v>448</v>
      </c>
      <c r="B220" t="s">
        <v>311</v>
      </c>
      <c r="C220" t="s">
        <v>372</v>
      </c>
      <c r="D220" t="s">
        <v>600</v>
      </c>
      <c r="E220" t="s">
        <v>430</v>
      </c>
    </row>
    <row r="221" spans="1:5" x14ac:dyDescent="0.3">
      <c r="A221" t="s">
        <v>67</v>
      </c>
      <c r="B221" t="s">
        <v>604</v>
      </c>
      <c r="C221" t="s">
        <v>165</v>
      </c>
      <c r="D221" t="s">
        <v>164</v>
      </c>
      <c r="E221" t="s">
        <v>511</v>
      </c>
    </row>
    <row r="222" spans="1:5" x14ac:dyDescent="0.3">
      <c r="A222" t="s">
        <v>150</v>
      </c>
      <c r="B222" t="s">
        <v>399</v>
      </c>
      <c r="C222" t="s">
        <v>351</v>
      </c>
      <c r="D222" t="s">
        <v>622</v>
      </c>
      <c r="E222" t="s">
        <v>386</v>
      </c>
    </row>
    <row r="223" spans="1:5" x14ac:dyDescent="0.3">
      <c r="A223" t="s">
        <v>333</v>
      </c>
      <c r="B223" t="s">
        <v>399</v>
      </c>
      <c r="C223" t="s">
        <v>351</v>
      </c>
      <c r="D223" t="s">
        <v>429</v>
      </c>
      <c r="E223" t="s">
        <v>376</v>
      </c>
    </row>
    <row r="224" spans="1:5" x14ac:dyDescent="0.3">
      <c r="A224" t="s">
        <v>289</v>
      </c>
      <c r="B224" t="s">
        <v>399</v>
      </c>
      <c r="C224" t="s">
        <v>351</v>
      </c>
      <c r="D224" t="s">
        <v>680</v>
      </c>
      <c r="E224" t="s">
        <v>72</v>
      </c>
    </row>
    <row r="225" spans="1:5" x14ac:dyDescent="0.3">
      <c r="A225" t="s">
        <v>138</v>
      </c>
      <c r="B225" t="s">
        <v>311</v>
      </c>
      <c r="C225" t="s">
        <v>372</v>
      </c>
      <c r="D225" t="s">
        <v>337</v>
      </c>
      <c r="E225" t="s">
        <v>654</v>
      </c>
    </row>
    <row r="226" spans="1:5" x14ac:dyDescent="0.3">
      <c r="A226" t="s">
        <v>417</v>
      </c>
      <c r="B226" t="s">
        <v>604</v>
      </c>
      <c r="C226" t="s">
        <v>351</v>
      </c>
      <c r="E226" t="s">
        <v>366</v>
      </c>
    </row>
    <row r="227" spans="1:5" x14ac:dyDescent="0.3">
      <c r="A227" t="s">
        <v>154</v>
      </c>
      <c r="B227" t="s">
        <v>311</v>
      </c>
      <c r="C227" t="s">
        <v>351</v>
      </c>
      <c r="E227" t="s">
        <v>503</v>
      </c>
    </row>
    <row r="228" spans="1:5" x14ac:dyDescent="0.3">
      <c r="A228" t="s">
        <v>221</v>
      </c>
      <c r="B228" t="s">
        <v>133</v>
      </c>
      <c r="C228" t="s">
        <v>647</v>
      </c>
      <c r="D228" t="s">
        <v>210</v>
      </c>
      <c r="E228" t="s">
        <v>178</v>
      </c>
    </row>
    <row r="229" spans="1:5" x14ac:dyDescent="0.3">
      <c r="A229" t="s">
        <v>231</v>
      </c>
      <c r="B229" t="s">
        <v>604</v>
      </c>
      <c r="C229" t="s">
        <v>351</v>
      </c>
      <c r="E229" t="s">
        <v>123</v>
      </c>
    </row>
    <row r="230" spans="1:5" x14ac:dyDescent="0.3">
      <c r="A230" t="s">
        <v>581</v>
      </c>
      <c r="B230" t="s">
        <v>311</v>
      </c>
      <c r="C230" t="s">
        <v>647</v>
      </c>
      <c r="E230" t="s">
        <v>608</v>
      </c>
    </row>
    <row r="231" spans="1:5" x14ac:dyDescent="0.3">
      <c r="A231" t="s">
        <v>377</v>
      </c>
      <c r="D231" t="s">
        <v>315</v>
      </c>
      <c r="E231" t="s">
        <v>10</v>
      </c>
    </row>
    <row r="232" spans="1:5" x14ac:dyDescent="0.3">
      <c r="A232" t="s">
        <v>512</v>
      </c>
      <c r="D232" t="s">
        <v>189</v>
      </c>
      <c r="E232" t="s">
        <v>217</v>
      </c>
    </row>
    <row r="233" spans="1:5" x14ac:dyDescent="0.3">
      <c r="A233" t="s">
        <v>387</v>
      </c>
      <c r="B233" t="s">
        <v>311</v>
      </c>
      <c r="C233" t="s">
        <v>647</v>
      </c>
      <c r="E233" t="s">
        <v>257</v>
      </c>
    </row>
    <row r="234" spans="1:5" x14ac:dyDescent="0.3">
      <c r="A234" t="s">
        <v>449</v>
      </c>
      <c r="B234" t="s">
        <v>489</v>
      </c>
      <c r="C234" t="s">
        <v>165</v>
      </c>
      <c r="D234" t="s">
        <v>325</v>
      </c>
      <c r="E234" t="s">
        <v>556</v>
      </c>
    </row>
    <row r="235" spans="1:5" x14ac:dyDescent="0.3">
      <c r="A235" t="s">
        <v>48</v>
      </c>
      <c r="B235" t="s">
        <v>399</v>
      </c>
      <c r="C235" t="s">
        <v>372</v>
      </c>
      <c r="E235" t="s">
        <v>46</v>
      </c>
    </row>
    <row r="236" spans="1:5" x14ac:dyDescent="0.3">
      <c r="A236" t="s">
        <v>264</v>
      </c>
      <c r="B236" t="s">
        <v>399</v>
      </c>
      <c r="C236" t="s">
        <v>165</v>
      </c>
      <c r="E236" t="s">
        <v>523</v>
      </c>
    </row>
    <row r="237" spans="1:5" x14ac:dyDescent="0.3">
      <c r="A237" t="s">
        <v>610</v>
      </c>
      <c r="D237" t="s">
        <v>460</v>
      </c>
      <c r="E237" t="s">
        <v>312</v>
      </c>
    </row>
    <row r="238" spans="1:5" x14ac:dyDescent="0.3">
      <c r="A238" t="s">
        <v>287</v>
      </c>
      <c r="B238" t="s">
        <v>489</v>
      </c>
      <c r="C238" t="s">
        <v>372</v>
      </c>
      <c r="E238" t="s">
        <v>671</v>
      </c>
    </row>
    <row r="239" spans="1:5" x14ac:dyDescent="0.3">
      <c r="A239" t="s">
        <v>468</v>
      </c>
      <c r="D239" t="s">
        <v>127</v>
      </c>
      <c r="E239" t="s">
        <v>716</v>
      </c>
    </row>
    <row r="240" spans="1:5" x14ac:dyDescent="0.3">
      <c r="A240" t="s">
        <v>623</v>
      </c>
      <c r="B240" t="s">
        <v>489</v>
      </c>
      <c r="C240" t="s">
        <v>165</v>
      </c>
      <c r="D240" t="s">
        <v>274</v>
      </c>
      <c r="E240" t="s">
        <v>644</v>
      </c>
    </row>
    <row r="241" spans="1:5" x14ac:dyDescent="0.3">
      <c r="A241" t="s">
        <v>90</v>
      </c>
      <c r="D241" t="s">
        <v>602</v>
      </c>
      <c r="E241" t="s">
        <v>8</v>
      </c>
    </row>
    <row r="242" spans="1:5" x14ac:dyDescent="0.3">
      <c r="A242" t="s">
        <v>504</v>
      </c>
      <c r="D242" t="s">
        <v>414</v>
      </c>
      <c r="E242" t="s">
        <v>19</v>
      </c>
    </row>
    <row r="243" spans="1:5" x14ac:dyDescent="0.3">
      <c r="A243" t="s">
        <v>175</v>
      </c>
      <c r="B243" t="s">
        <v>604</v>
      </c>
      <c r="C243" t="s">
        <v>351</v>
      </c>
      <c r="E243" t="s">
        <v>663</v>
      </c>
    </row>
    <row r="244" spans="1:5" x14ac:dyDescent="0.3">
      <c r="A244" t="s">
        <v>20</v>
      </c>
      <c r="B244" t="s">
        <v>133</v>
      </c>
      <c r="C244" t="s">
        <v>372</v>
      </c>
      <c r="E244" t="s">
        <v>212</v>
      </c>
    </row>
    <row r="245" spans="1:5" x14ac:dyDescent="0.3">
      <c r="A245" t="s">
        <v>431</v>
      </c>
      <c r="B245" t="s">
        <v>399</v>
      </c>
      <c r="C245" t="s">
        <v>165</v>
      </c>
      <c r="E245" t="s">
        <v>630</v>
      </c>
    </row>
    <row r="246" spans="1:5" x14ac:dyDescent="0.3">
      <c r="A246" t="s">
        <v>97</v>
      </c>
      <c r="B246" t="s">
        <v>489</v>
      </c>
      <c r="C246" t="s">
        <v>165</v>
      </c>
      <c r="E246" t="s">
        <v>442</v>
      </c>
    </row>
    <row r="247" spans="1:5" x14ac:dyDescent="0.3">
      <c r="A247" t="s">
        <v>466</v>
      </c>
      <c r="B247" t="s">
        <v>311</v>
      </c>
      <c r="C247" t="s">
        <v>372</v>
      </c>
      <c r="E247" t="s">
        <v>568</v>
      </c>
    </row>
    <row r="248" spans="1:5" x14ac:dyDescent="0.3">
      <c r="A248" t="s">
        <v>160</v>
      </c>
      <c r="B248" t="s">
        <v>311</v>
      </c>
      <c r="C248" t="s">
        <v>647</v>
      </c>
      <c r="D248" t="s">
        <v>697</v>
      </c>
      <c r="E248" t="s">
        <v>692</v>
      </c>
    </row>
    <row r="249" spans="1:5" x14ac:dyDescent="0.3">
      <c r="A249" t="s">
        <v>509</v>
      </c>
      <c r="B249" t="s">
        <v>399</v>
      </c>
      <c r="C249" t="s">
        <v>165</v>
      </c>
      <c r="E249" t="s">
        <v>440</v>
      </c>
    </row>
    <row r="250" spans="1:5" x14ac:dyDescent="0.3">
      <c r="A250" t="s">
        <v>593</v>
      </c>
      <c r="D250" t="s">
        <v>161</v>
      </c>
      <c r="E250" t="s">
        <v>165</v>
      </c>
    </row>
    <row r="251" spans="1:5" x14ac:dyDescent="0.3">
      <c r="A251" t="s">
        <v>728</v>
      </c>
      <c r="B251" t="s">
        <v>604</v>
      </c>
      <c r="C251" t="s">
        <v>351</v>
      </c>
      <c r="E251" t="s">
        <v>531</v>
      </c>
    </row>
    <row r="252" spans="1:5" x14ac:dyDescent="0.3">
      <c r="A252" t="s">
        <v>616</v>
      </c>
      <c r="B252" t="s">
        <v>225</v>
      </c>
      <c r="C252" t="s">
        <v>351</v>
      </c>
      <c r="E252" t="s">
        <v>407</v>
      </c>
    </row>
    <row r="253" spans="1:5" x14ac:dyDescent="0.3">
      <c r="A253" t="s">
        <v>157</v>
      </c>
      <c r="B253" t="s">
        <v>399</v>
      </c>
      <c r="C253" t="s">
        <v>372</v>
      </c>
      <c r="E253" t="s">
        <v>313</v>
      </c>
    </row>
    <row r="254" spans="1:5" x14ac:dyDescent="0.3">
      <c r="A254" t="s">
        <v>103</v>
      </c>
      <c r="B254" t="s">
        <v>604</v>
      </c>
      <c r="C254" t="s">
        <v>165</v>
      </c>
      <c r="E254" t="s">
        <v>54</v>
      </c>
    </row>
    <row r="255" spans="1:5" x14ac:dyDescent="0.3">
      <c r="A255" t="s">
        <v>322</v>
      </c>
      <c r="B255" t="s">
        <v>604</v>
      </c>
      <c r="E255" t="s">
        <v>80</v>
      </c>
    </row>
    <row r="256" spans="1:5" x14ac:dyDescent="0.3">
      <c r="A256" t="s">
        <v>594</v>
      </c>
      <c r="B256" t="s">
        <v>604</v>
      </c>
      <c r="C256" t="s">
        <v>351</v>
      </c>
      <c r="E256" t="s">
        <v>330</v>
      </c>
    </row>
    <row r="257" spans="1:5" x14ac:dyDescent="0.3">
      <c r="A257" t="s">
        <v>137</v>
      </c>
      <c r="B257" t="s">
        <v>604</v>
      </c>
      <c r="C257" t="s">
        <v>351</v>
      </c>
      <c r="E257" t="s">
        <v>529</v>
      </c>
    </row>
    <row r="258" spans="1:5" x14ac:dyDescent="0.3">
      <c r="A258" t="s">
        <v>635</v>
      </c>
      <c r="B258" t="s">
        <v>489</v>
      </c>
      <c r="C258" t="s">
        <v>372</v>
      </c>
      <c r="E258" t="s">
        <v>398</v>
      </c>
    </row>
    <row r="259" spans="1:5" x14ac:dyDescent="0.3">
      <c r="A259" t="s">
        <v>124</v>
      </c>
      <c r="B259" t="s">
        <v>489</v>
      </c>
      <c r="C259" t="s">
        <v>372</v>
      </c>
      <c r="E259" t="s">
        <v>633</v>
      </c>
    </row>
    <row r="260" spans="1:5" x14ac:dyDescent="0.3">
      <c r="A260" t="s">
        <v>715</v>
      </c>
      <c r="E260" t="s">
        <v>590</v>
      </c>
    </row>
    <row r="261" spans="1:5" x14ac:dyDescent="0.3">
      <c r="A261" t="s">
        <v>490</v>
      </c>
      <c r="B261" t="s">
        <v>489</v>
      </c>
      <c r="C261" t="s">
        <v>165</v>
      </c>
      <c r="D261" t="s">
        <v>274</v>
      </c>
      <c r="E261" t="s">
        <v>184</v>
      </c>
    </row>
    <row r="262" spans="1:5" x14ac:dyDescent="0.3">
      <c r="A262" t="s">
        <v>216</v>
      </c>
      <c r="B262" t="s">
        <v>399</v>
      </c>
      <c r="C262" t="s">
        <v>165</v>
      </c>
      <c r="E262" t="s">
        <v>441</v>
      </c>
    </row>
    <row r="263" spans="1:5" x14ac:dyDescent="0.3">
      <c r="A263" t="s">
        <v>15</v>
      </c>
      <c r="B263" t="s">
        <v>133</v>
      </c>
      <c r="C263" t="s">
        <v>647</v>
      </c>
      <c r="D263" t="s">
        <v>712</v>
      </c>
      <c r="E263" t="s">
        <v>698</v>
      </c>
    </row>
    <row r="264" spans="1:5" x14ac:dyDescent="0.3">
      <c r="A264" t="s">
        <v>396</v>
      </c>
      <c r="B264" t="s">
        <v>311</v>
      </c>
      <c r="C264" t="s">
        <v>165</v>
      </c>
      <c r="D264" t="s">
        <v>424</v>
      </c>
      <c r="E264" t="s">
        <v>492</v>
      </c>
    </row>
    <row r="265" spans="1:5" x14ac:dyDescent="0.3">
      <c r="A265" t="s">
        <v>436</v>
      </c>
      <c r="B265" t="s">
        <v>311</v>
      </c>
      <c r="C265" t="s">
        <v>372</v>
      </c>
      <c r="D265" t="s">
        <v>496</v>
      </c>
      <c r="E265" t="s">
        <v>9</v>
      </c>
    </row>
    <row r="266" spans="1:5" ht="409.6" x14ac:dyDescent="0.3">
      <c r="A266" t="s">
        <v>348</v>
      </c>
      <c r="B266" t="s">
        <v>311</v>
      </c>
      <c r="C266" t="s">
        <v>372</v>
      </c>
      <c r="D266" s="2" t="s">
        <v>27</v>
      </c>
      <c r="E266" t="s">
        <v>739</v>
      </c>
    </row>
  </sheetData>
  <pageMargins left="0.7" right="0.7" top="0.75" bottom="0.75" header="0.3" footer="0.3"/>
  <headerFooter alignWithMargins="0">
    <oddFooter>&amp;L_x000D_&amp;1#&amp;"Aptos"&amp;10&amp;K000000 LUT Group Confidential - Other information (3Y)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EBEFD-3641-4260-9A14-DB6BD7E23796}">
  <dimension ref="A1:D2"/>
  <sheetViews>
    <sheetView workbookViewId="0">
      <selection activeCell="C2" sqref="C2"/>
    </sheetView>
  </sheetViews>
  <sheetFormatPr defaultRowHeight="14.4" x14ac:dyDescent="0.3"/>
  <cols>
    <col min="1" max="1" width="15.5546875" bestFit="1" customWidth="1"/>
    <col min="2" max="2" width="16.109375" bestFit="1" customWidth="1"/>
    <col min="3" max="4" width="255" bestFit="1" customWidth="1"/>
  </cols>
  <sheetData>
    <row r="1" spans="1:4" x14ac:dyDescent="0.3">
      <c r="A1" t="s">
        <v>227</v>
      </c>
      <c r="B1" t="s">
        <v>621</v>
      </c>
      <c r="C1" t="s">
        <v>403</v>
      </c>
      <c r="D1" t="s">
        <v>236</v>
      </c>
    </row>
    <row r="2" spans="1:4" x14ac:dyDescent="0.3">
      <c r="A2" t="s">
        <v>224</v>
      </c>
      <c r="B2" t="s">
        <v>629</v>
      </c>
      <c r="C2" t="s">
        <v>271</v>
      </c>
      <c r="D2" t="s">
        <v>268</v>
      </c>
    </row>
  </sheetData>
  <pageMargins left="0.7" right="0.7" top="0.75" bottom="0.75" header="0.3" footer="0.3"/>
  <headerFooter alignWithMargins="0">
    <oddFooter>&amp;L_x000D_&amp;1#&amp;"Aptos"&amp;10&amp;K000000 LUT Group Confidential - Other information (3Y)</oddFooter>
  </headerFooter>
</worksheet>
</file>

<file path=docMetadata/LabelInfo.xml><?xml version="1.0" encoding="utf-8"?>
<clbl:labelList xmlns:clbl="http://schemas.microsoft.com/office/2020/mipLabelMetadata">
  <clbl:label id="{4306014c-c088-4a50-b503-4830bda7971c}" enabled="1" method="Standard" siteId="{9d97530e-8f27-4137-a2a9-5cb4dcf26f2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Gini_2015</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ElSayed (LUT)</dc:creator>
  <cp:lastModifiedBy>Mai ElSayed (LUT)</cp:lastModifiedBy>
  <dcterms:created xsi:type="dcterms:W3CDTF">2025-11-13T10:34:50Z</dcterms:created>
  <dcterms:modified xsi:type="dcterms:W3CDTF">2026-04-08T09:11:38Z</dcterms:modified>
</cp:coreProperties>
</file>