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t-my.sharepoint.com/personal/mai_elsayed_lut_fi/Documents/LEMPS/EEM25/Paper extension/Clean workflow/script_datalab/input/"/>
    </mc:Choice>
  </mc:AlternateContent>
  <xr:revisionPtr revIDLastSave="398" documentId="8_{4BE0109F-DAED-4DC5-826C-D3BE6E5607CC}" xr6:coauthVersionLast="47" xr6:coauthVersionMax="47" xr10:uidLastSave="{6BC9E6CF-FB47-4303-933F-2B2267F214CD}"/>
  <bookViews>
    <workbookView xWindow="-108" yWindow="-108" windowWidth="23256" windowHeight="12456" xr2:uid="{0FADDA1B-2D4B-401B-9B0C-DBDB1E92D8C9}"/>
  </bookViews>
  <sheets>
    <sheet name="Data" sheetId="1" r:id="rId1"/>
    <sheet name="Data_Africa" sheetId="19" r:id="rId2"/>
    <sheet name="POP_base" sheetId="18" r:id="rId3"/>
    <sheet name="GDP_PPP_base" sheetId="17" r:id="rId4"/>
    <sheet name="INC_PPP_base" sheetId="16" r:id="rId5"/>
    <sheet name="Elec_Access_base" sheetId="5" r:id="rId6"/>
  </sheets>
  <definedNames>
    <definedName name="_xlnm._FilterDatabase" localSheetId="0" hidden="1">Data!$A$1:$J$126</definedName>
    <definedName name="_xlnm._FilterDatabase" localSheetId="1" hidden="1">Data_Africa!$A$1:$J$96</definedName>
    <definedName name="_xlnm._FilterDatabase" localSheetId="5" hidden="1">Elec_Access_base!$A$4:$BQ$270</definedName>
    <definedName name="_xlnm._FilterDatabase" localSheetId="3" hidden="1">GDP_PPP_base!$A$1:$N$193</definedName>
    <definedName name="_xlnm._FilterDatabase" localSheetId="4" hidden="1">INC_PPP_base!$A$1:$N$193</definedName>
    <definedName name="_xlnm._FilterDatabase" localSheetId="2" hidden="1">POP_base!$A$1:$T$201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9" l="1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2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2" i="19"/>
  <c r="I126" i="1"/>
  <c r="C126" i="1"/>
  <c r="J126" i="1" s="1"/>
  <c r="D126" i="1"/>
  <c r="E126" i="1"/>
  <c r="H126" i="1"/>
  <c r="I125" i="1"/>
  <c r="C125" i="1"/>
  <c r="J125" i="1" s="1"/>
  <c r="D125" i="1"/>
  <c r="E125" i="1"/>
  <c r="H125" i="1"/>
  <c r="I124" i="1"/>
  <c r="C124" i="1"/>
  <c r="J124" i="1" s="1"/>
  <c r="D124" i="1"/>
  <c r="E124" i="1"/>
  <c r="H124" i="1"/>
  <c r="I123" i="1"/>
  <c r="C123" i="1"/>
  <c r="J123" i="1" s="1"/>
  <c r="D123" i="1"/>
  <c r="F123" i="1" s="1"/>
  <c r="E123" i="1"/>
  <c r="H123" i="1"/>
  <c r="I122" i="1"/>
  <c r="C122" i="1"/>
  <c r="J122" i="1" s="1"/>
  <c r="D122" i="1"/>
  <c r="F122" i="1" s="1"/>
  <c r="E122" i="1"/>
  <c r="H122" i="1"/>
  <c r="I121" i="1"/>
  <c r="C121" i="1"/>
  <c r="J121" i="1" s="1"/>
  <c r="D121" i="1"/>
  <c r="E121" i="1"/>
  <c r="H121" i="1"/>
  <c r="I120" i="1"/>
  <c r="C120" i="1"/>
  <c r="J120" i="1" s="1"/>
  <c r="D120" i="1"/>
  <c r="E120" i="1"/>
  <c r="H120" i="1"/>
  <c r="I119" i="1"/>
  <c r="C119" i="1"/>
  <c r="J119" i="1" s="1"/>
  <c r="D119" i="1"/>
  <c r="E119" i="1"/>
  <c r="H119" i="1"/>
  <c r="I118" i="1"/>
  <c r="C118" i="1"/>
  <c r="J118" i="1" s="1"/>
  <c r="D118" i="1"/>
  <c r="E118" i="1"/>
  <c r="H118" i="1"/>
  <c r="I117" i="1"/>
  <c r="C117" i="1"/>
  <c r="J117" i="1" s="1"/>
  <c r="D117" i="1"/>
  <c r="E117" i="1"/>
  <c r="H117" i="1"/>
  <c r="I116" i="1"/>
  <c r="C116" i="1"/>
  <c r="J116" i="1" s="1"/>
  <c r="D116" i="1"/>
  <c r="E116" i="1"/>
  <c r="H116" i="1"/>
  <c r="I115" i="1"/>
  <c r="H115" i="1"/>
  <c r="C115" i="1"/>
  <c r="J115" i="1" s="1"/>
  <c r="D115" i="1"/>
  <c r="E115" i="1"/>
  <c r="I114" i="1"/>
  <c r="H114" i="1"/>
  <c r="C114" i="1"/>
  <c r="J114" i="1" s="1"/>
  <c r="D114" i="1"/>
  <c r="E114" i="1"/>
  <c r="H38" i="19"/>
  <c r="E38" i="19"/>
  <c r="D38" i="19"/>
  <c r="C38" i="19"/>
  <c r="H37" i="19"/>
  <c r="E37" i="19"/>
  <c r="D37" i="19"/>
  <c r="C37" i="19"/>
  <c r="J37" i="19" s="1"/>
  <c r="H36" i="19"/>
  <c r="E36" i="19"/>
  <c r="D36" i="19"/>
  <c r="C36" i="19"/>
  <c r="H35" i="19"/>
  <c r="E35" i="19"/>
  <c r="D35" i="19"/>
  <c r="C35" i="19"/>
  <c r="H34" i="19"/>
  <c r="E34" i="19"/>
  <c r="D34" i="19"/>
  <c r="C34" i="19"/>
  <c r="H33" i="19"/>
  <c r="E33" i="19"/>
  <c r="D33" i="19"/>
  <c r="C33" i="19"/>
  <c r="H32" i="19"/>
  <c r="E32" i="19"/>
  <c r="D32" i="19"/>
  <c r="C32" i="19"/>
  <c r="H31" i="19"/>
  <c r="E31" i="19"/>
  <c r="D31" i="19"/>
  <c r="C31" i="19"/>
  <c r="H30" i="19"/>
  <c r="E30" i="19"/>
  <c r="D30" i="19"/>
  <c r="C30" i="19"/>
  <c r="H29" i="19"/>
  <c r="E29" i="19"/>
  <c r="D29" i="19"/>
  <c r="C29" i="19"/>
  <c r="J29" i="19" s="1"/>
  <c r="H28" i="19"/>
  <c r="E28" i="19"/>
  <c r="D28" i="19"/>
  <c r="C28" i="19"/>
  <c r="H27" i="19"/>
  <c r="E27" i="19"/>
  <c r="D27" i="19"/>
  <c r="C27" i="19"/>
  <c r="H26" i="19"/>
  <c r="E26" i="19"/>
  <c r="D26" i="19"/>
  <c r="C26" i="19"/>
  <c r="H25" i="19"/>
  <c r="E25" i="19"/>
  <c r="D25" i="19"/>
  <c r="C25" i="19"/>
  <c r="H24" i="19"/>
  <c r="E24" i="19"/>
  <c r="D24" i="19"/>
  <c r="C24" i="19"/>
  <c r="H23" i="19"/>
  <c r="E23" i="19"/>
  <c r="D23" i="19"/>
  <c r="C23" i="19"/>
  <c r="H22" i="19"/>
  <c r="E22" i="19"/>
  <c r="D22" i="19"/>
  <c r="C22" i="19"/>
  <c r="H21" i="19"/>
  <c r="E21" i="19"/>
  <c r="D21" i="19"/>
  <c r="C21" i="19"/>
  <c r="H20" i="19"/>
  <c r="E20" i="19"/>
  <c r="D20" i="19"/>
  <c r="C20" i="19"/>
  <c r="H19" i="19"/>
  <c r="E19" i="19"/>
  <c r="D19" i="19"/>
  <c r="C19" i="19"/>
  <c r="H18" i="19"/>
  <c r="E18" i="19"/>
  <c r="D18" i="19"/>
  <c r="C18" i="19"/>
  <c r="H17" i="19"/>
  <c r="E17" i="19"/>
  <c r="D17" i="19"/>
  <c r="C17" i="19"/>
  <c r="H16" i="19"/>
  <c r="E16" i="19"/>
  <c r="D16" i="19"/>
  <c r="C16" i="19"/>
  <c r="H15" i="19"/>
  <c r="E15" i="19"/>
  <c r="D15" i="19"/>
  <c r="C15" i="19"/>
  <c r="H14" i="19"/>
  <c r="E14" i="19"/>
  <c r="D14" i="19"/>
  <c r="C14" i="19"/>
  <c r="H13" i="19"/>
  <c r="E13" i="19"/>
  <c r="D13" i="19"/>
  <c r="C13" i="19"/>
  <c r="H12" i="19"/>
  <c r="E12" i="19"/>
  <c r="D12" i="19"/>
  <c r="C12" i="19"/>
  <c r="H11" i="19"/>
  <c r="E11" i="19"/>
  <c r="D11" i="19"/>
  <c r="C11" i="19"/>
  <c r="H10" i="19"/>
  <c r="E10" i="19"/>
  <c r="D10" i="19"/>
  <c r="C10" i="19"/>
  <c r="H9" i="19"/>
  <c r="E9" i="19"/>
  <c r="D9" i="19"/>
  <c r="C9" i="19"/>
  <c r="H8" i="19"/>
  <c r="E8" i="19"/>
  <c r="D8" i="19"/>
  <c r="C8" i="19"/>
  <c r="H7" i="19"/>
  <c r="E7" i="19"/>
  <c r="D7" i="19"/>
  <c r="C7" i="19"/>
  <c r="H6" i="19"/>
  <c r="E6" i="19"/>
  <c r="D6" i="19"/>
  <c r="C6" i="19"/>
  <c r="H5" i="19"/>
  <c r="E5" i="19"/>
  <c r="D5" i="19"/>
  <c r="C5" i="19"/>
  <c r="H4" i="19"/>
  <c r="E4" i="19"/>
  <c r="D4" i="19"/>
  <c r="C4" i="19"/>
  <c r="H3" i="19"/>
  <c r="E3" i="19"/>
  <c r="D3" i="19"/>
  <c r="C3" i="19"/>
  <c r="H2" i="19"/>
  <c r="E2" i="19"/>
  <c r="D2" i="19"/>
  <c r="C2" i="1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2" i="1"/>
  <c r="C3" i="1"/>
  <c r="J3" i="1" s="1"/>
  <c r="C4" i="1"/>
  <c r="J4" i="1" s="1"/>
  <c r="C5" i="1"/>
  <c r="J5" i="1" s="1"/>
  <c r="C6" i="1"/>
  <c r="J6" i="1" s="1"/>
  <c r="C7" i="1"/>
  <c r="J7" i="1" s="1"/>
  <c r="C8" i="1"/>
  <c r="J8" i="1" s="1"/>
  <c r="C9" i="1"/>
  <c r="J9" i="1" s="1"/>
  <c r="C10" i="1"/>
  <c r="J10" i="1" s="1"/>
  <c r="C11" i="1"/>
  <c r="J11" i="1" s="1"/>
  <c r="C12" i="1"/>
  <c r="J12" i="1" s="1"/>
  <c r="C13" i="1"/>
  <c r="J13" i="1" s="1"/>
  <c r="C14" i="1"/>
  <c r="J14" i="1" s="1"/>
  <c r="C15" i="1"/>
  <c r="J15" i="1" s="1"/>
  <c r="C16" i="1"/>
  <c r="J16" i="1" s="1"/>
  <c r="C17" i="1"/>
  <c r="J17" i="1" s="1"/>
  <c r="C18" i="1"/>
  <c r="F18" i="1" s="1"/>
  <c r="C19" i="1"/>
  <c r="J19" i="1" s="1"/>
  <c r="C20" i="1"/>
  <c r="J20" i="1" s="1"/>
  <c r="C21" i="1"/>
  <c r="J21" i="1" s="1"/>
  <c r="C22" i="1"/>
  <c r="J22" i="1" s="1"/>
  <c r="C23" i="1"/>
  <c r="J23" i="1" s="1"/>
  <c r="C24" i="1"/>
  <c r="J24" i="1" s="1"/>
  <c r="C25" i="1"/>
  <c r="J25" i="1" s="1"/>
  <c r="C26" i="1"/>
  <c r="J26" i="1" s="1"/>
  <c r="C27" i="1"/>
  <c r="J27" i="1" s="1"/>
  <c r="C28" i="1"/>
  <c r="J28" i="1" s="1"/>
  <c r="C29" i="1"/>
  <c r="J29" i="1" s="1"/>
  <c r="C30" i="1"/>
  <c r="J30" i="1" s="1"/>
  <c r="C31" i="1"/>
  <c r="J31" i="1" s="1"/>
  <c r="C32" i="1"/>
  <c r="J32" i="1" s="1"/>
  <c r="C33" i="1"/>
  <c r="J33" i="1" s="1"/>
  <c r="C34" i="1"/>
  <c r="J34" i="1" s="1"/>
  <c r="C35" i="1"/>
  <c r="J35" i="1" s="1"/>
  <c r="C36" i="1"/>
  <c r="J36" i="1" s="1"/>
  <c r="C37" i="1"/>
  <c r="J37" i="1" s="1"/>
  <c r="C38" i="1"/>
  <c r="J38" i="1" s="1"/>
  <c r="C39" i="1"/>
  <c r="C40" i="1"/>
  <c r="J40" i="1" s="1"/>
  <c r="C41" i="1"/>
  <c r="J41" i="1" s="1"/>
  <c r="C42" i="1"/>
  <c r="J42" i="1" s="1"/>
  <c r="C43" i="1"/>
  <c r="J43" i="1" s="1"/>
  <c r="C44" i="1"/>
  <c r="J44" i="1" s="1"/>
  <c r="C45" i="1"/>
  <c r="J45" i="1" s="1"/>
  <c r="C46" i="1"/>
  <c r="J46" i="1" s="1"/>
  <c r="C47" i="1"/>
  <c r="J47" i="1" s="1"/>
  <c r="C48" i="1"/>
  <c r="J48" i="1" s="1"/>
  <c r="C49" i="1"/>
  <c r="J49" i="1" s="1"/>
  <c r="C50" i="1"/>
  <c r="J50" i="1" s="1"/>
  <c r="C51" i="1"/>
  <c r="J51" i="1" s="1"/>
  <c r="C52" i="1"/>
  <c r="J52" i="1" s="1"/>
  <c r="C53" i="1"/>
  <c r="J53" i="1" s="1"/>
  <c r="C54" i="1"/>
  <c r="J54" i="1" s="1"/>
  <c r="C55" i="1"/>
  <c r="J55" i="1" s="1"/>
  <c r="C56" i="1"/>
  <c r="J56" i="1" s="1"/>
  <c r="C57" i="1"/>
  <c r="C58" i="1"/>
  <c r="J58" i="1" s="1"/>
  <c r="C59" i="1"/>
  <c r="J59" i="1" s="1"/>
  <c r="C60" i="1"/>
  <c r="J60" i="1" s="1"/>
  <c r="C61" i="1"/>
  <c r="J61" i="1" s="1"/>
  <c r="C62" i="1"/>
  <c r="J62" i="1" s="1"/>
  <c r="C63" i="1"/>
  <c r="J63" i="1" s="1"/>
  <c r="C64" i="1"/>
  <c r="J64" i="1" s="1"/>
  <c r="C65" i="1"/>
  <c r="J65" i="1" s="1"/>
  <c r="C66" i="1"/>
  <c r="J66" i="1" s="1"/>
  <c r="C67" i="1"/>
  <c r="J67" i="1" s="1"/>
  <c r="C68" i="1"/>
  <c r="J68" i="1" s="1"/>
  <c r="C69" i="1"/>
  <c r="J69" i="1" s="1"/>
  <c r="C70" i="1"/>
  <c r="J70" i="1" s="1"/>
  <c r="C71" i="1"/>
  <c r="J71" i="1" s="1"/>
  <c r="C72" i="1"/>
  <c r="J72" i="1" s="1"/>
  <c r="C73" i="1"/>
  <c r="J73" i="1" s="1"/>
  <c r="C74" i="1"/>
  <c r="J74" i="1" s="1"/>
  <c r="C75" i="1"/>
  <c r="J75" i="1" s="1"/>
  <c r="C76" i="1"/>
  <c r="J76" i="1" s="1"/>
  <c r="C77" i="1"/>
  <c r="J77" i="1" s="1"/>
  <c r="C78" i="1"/>
  <c r="J78" i="1" s="1"/>
  <c r="C79" i="1"/>
  <c r="J79" i="1" s="1"/>
  <c r="C80" i="1"/>
  <c r="J80" i="1" s="1"/>
  <c r="C81" i="1"/>
  <c r="J81" i="1" s="1"/>
  <c r="C82" i="1"/>
  <c r="J82" i="1" s="1"/>
  <c r="C83" i="1"/>
  <c r="J83" i="1" s="1"/>
  <c r="C84" i="1"/>
  <c r="J84" i="1" s="1"/>
  <c r="C85" i="1"/>
  <c r="J85" i="1" s="1"/>
  <c r="C86" i="1"/>
  <c r="J86" i="1" s="1"/>
  <c r="C87" i="1"/>
  <c r="J87" i="1" s="1"/>
  <c r="C88" i="1"/>
  <c r="J88" i="1" s="1"/>
  <c r="C89" i="1"/>
  <c r="J89" i="1" s="1"/>
  <c r="C90" i="1"/>
  <c r="J90" i="1" s="1"/>
  <c r="C91" i="1"/>
  <c r="J91" i="1" s="1"/>
  <c r="C92" i="1"/>
  <c r="J92" i="1" s="1"/>
  <c r="C93" i="1"/>
  <c r="J93" i="1" s="1"/>
  <c r="C94" i="1"/>
  <c r="J94" i="1" s="1"/>
  <c r="C95" i="1"/>
  <c r="J95" i="1" s="1"/>
  <c r="C96" i="1"/>
  <c r="J96" i="1" s="1"/>
  <c r="C97" i="1"/>
  <c r="J97" i="1" s="1"/>
  <c r="C98" i="1"/>
  <c r="J98" i="1" s="1"/>
  <c r="C99" i="1"/>
  <c r="J99" i="1" s="1"/>
  <c r="C100" i="1"/>
  <c r="J100" i="1" s="1"/>
  <c r="C101" i="1"/>
  <c r="J101" i="1" s="1"/>
  <c r="C102" i="1"/>
  <c r="J102" i="1" s="1"/>
  <c r="C103" i="1"/>
  <c r="C104" i="1"/>
  <c r="J104" i="1" s="1"/>
  <c r="C105" i="1"/>
  <c r="J105" i="1" s="1"/>
  <c r="C106" i="1"/>
  <c r="J106" i="1" s="1"/>
  <c r="C107" i="1"/>
  <c r="J107" i="1" s="1"/>
  <c r="C108" i="1"/>
  <c r="J108" i="1" s="1"/>
  <c r="C109" i="1"/>
  <c r="J109" i="1" s="1"/>
  <c r="C110" i="1"/>
  <c r="J110" i="1" s="1"/>
  <c r="C111" i="1"/>
  <c r="J111" i="1" s="1"/>
  <c r="C112" i="1"/>
  <c r="J112" i="1" s="1"/>
  <c r="C113" i="1"/>
  <c r="J113" i="1" s="1"/>
  <c r="C2" i="1"/>
  <c r="J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2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6" i="1"/>
  <c r="I77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2" i="1"/>
  <c r="F117" i="1" l="1"/>
  <c r="G117" i="1" s="1"/>
  <c r="J103" i="1"/>
  <c r="J39" i="1"/>
  <c r="J57" i="1"/>
  <c r="F118" i="1"/>
  <c r="G118" i="1" s="1"/>
  <c r="F124" i="1"/>
  <c r="F119" i="1"/>
  <c r="F114" i="1"/>
  <c r="G114" i="1" s="1"/>
  <c r="F126" i="1"/>
  <c r="G126" i="1" s="1"/>
  <c r="G124" i="1"/>
  <c r="J32" i="19"/>
  <c r="F120" i="1"/>
  <c r="G120" i="1" s="1"/>
  <c r="G122" i="1"/>
  <c r="G123" i="1"/>
  <c r="F116" i="1"/>
  <c r="G116" i="1" s="1"/>
  <c r="F121" i="1"/>
  <c r="G121" i="1" s="1"/>
  <c r="F125" i="1"/>
  <c r="G125" i="1" s="1"/>
  <c r="G119" i="1"/>
  <c r="F115" i="1"/>
  <c r="G115" i="1" s="1"/>
  <c r="J28" i="19"/>
  <c r="J23" i="19"/>
  <c r="J33" i="19"/>
  <c r="J38" i="19"/>
  <c r="F32" i="19"/>
  <c r="G32" i="19" s="1"/>
  <c r="F35" i="19"/>
  <c r="G35" i="19" s="1"/>
  <c r="F37" i="19"/>
  <c r="G37" i="19" s="1"/>
  <c r="F25" i="19"/>
  <c r="G25" i="19" s="1"/>
  <c r="J24" i="19"/>
  <c r="F19" i="19"/>
  <c r="G19" i="19" s="1"/>
  <c r="J34" i="19"/>
  <c r="J9" i="19"/>
  <c r="J8" i="19"/>
  <c r="F16" i="19"/>
  <c r="G16" i="19" s="1"/>
  <c r="J17" i="19"/>
  <c r="J30" i="19"/>
  <c r="J18" i="19"/>
  <c r="J10" i="19"/>
  <c r="F5" i="19"/>
  <c r="G5" i="19" s="1"/>
  <c r="F7" i="19"/>
  <c r="G7" i="19" s="1"/>
  <c r="F9" i="19"/>
  <c r="G9" i="19" s="1"/>
  <c r="J15" i="19"/>
  <c r="J7" i="19"/>
  <c r="J36" i="19"/>
  <c r="J27" i="19"/>
  <c r="J22" i="19"/>
  <c r="J14" i="19"/>
  <c r="J6" i="19"/>
  <c r="J21" i="19"/>
  <c r="J13" i="19"/>
  <c r="J5" i="19"/>
  <c r="J26" i="19"/>
  <c r="J20" i="19"/>
  <c r="J12" i="19"/>
  <c r="J4" i="19"/>
  <c r="J35" i="19"/>
  <c r="J31" i="19"/>
  <c r="J25" i="19"/>
  <c r="J19" i="19"/>
  <c r="J11" i="19"/>
  <c r="J3" i="19"/>
  <c r="F23" i="19"/>
  <c r="G23" i="19" s="1"/>
  <c r="F27" i="19"/>
  <c r="G27" i="19" s="1"/>
  <c r="F29" i="19"/>
  <c r="G29" i="19" s="1"/>
  <c r="F33" i="19"/>
  <c r="G33" i="19" s="1"/>
  <c r="F34" i="19"/>
  <c r="G34" i="19" s="1"/>
  <c r="F38" i="19"/>
  <c r="G38" i="19" s="1"/>
  <c r="J16" i="19"/>
  <c r="F2" i="19"/>
  <c r="G2" i="19" s="1"/>
  <c r="F4" i="19"/>
  <c r="G4" i="19" s="1"/>
  <c r="F6" i="19"/>
  <c r="G6" i="19" s="1"/>
  <c r="F8" i="19"/>
  <c r="G8" i="19" s="1"/>
  <c r="F10" i="19"/>
  <c r="G10" i="19" s="1"/>
  <c r="F18" i="19"/>
  <c r="G18" i="19" s="1"/>
  <c r="F21" i="19"/>
  <c r="G21" i="19" s="1"/>
  <c r="F17" i="19"/>
  <c r="G17" i="19" s="1"/>
  <c r="J2" i="19"/>
  <c r="F75" i="1"/>
  <c r="G75" i="1" s="1"/>
  <c r="F59" i="1"/>
  <c r="G59" i="1" s="1"/>
  <c r="F3" i="1"/>
  <c r="G3" i="1" s="1"/>
  <c r="F106" i="1"/>
  <c r="G106" i="1" s="1"/>
  <c r="F105" i="1"/>
  <c r="G105" i="1" s="1"/>
  <c r="F81" i="1"/>
  <c r="G81" i="1" s="1"/>
  <c r="F65" i="1"/>
  <c r="G65" i="1" s="1"/>
  <c r="F41" i="1"/>
  <c r="G41" i="1" s="1"/>
  <c r="F112" i="1"/>
  <c r="G112" i="1" s="1"/>
  <c r="F104" i="1"/>
  <c r="G104" i="1" s="1"/>
  <c r="F96" i="1"/>
  <c r="G96" i="1" s="1"/>
  <c r="F88" i="1"/>
  <c r="G88" i="1" s="1"/>
  <c r="F80" i="1"/>
  <c r="G80" i="1" s="1"/>
  <c r="F72" i="1"/>
  <c r="G72" i="1" s="1"/>
  <c r="F64" i="1"/>
  <c r="G64" i="1" s="1"/>
  <c r="F56" i="1"/>
  <c r="G56" i="1" s="1"/>
  <c r="F48" i="1"/>
  <c r="G48" i="1" s="1"/>
  <c r="F40" i="1"/>
  <c r="G40" i="1" s="1"/>
  <c r="F32" i="1"/>
  <c r="F24" i="1"/>
  <c r="G24" i="1" s="1"/>
  <c r="F16" i="1"/>
  <c r="G16" i="1" s="1"/>
  <c r="F8" i="1"/>
  <c r="G8" i="1" s="1"/>
  <c r="F111" i="1"/>
  <c r="G111" i="1" s="1"/>
  <c r="F103" i="1"/>
  <c r="G103" i="1" s="1"/>
  <c r="F95" i="1"/>
  <c r="G95" i="1" s="1"/>
  <c r="F87" i="1"/>
  <c r="G87" i="1" s="1"/>
  <c r="F79" i="1"/>
  <c r="G79" i="1" s="1"/>
  <c r="F71" i="1"/>
  <c r="G71" i="1" s="1"/>
  <c r="F63" i="1"/>
  <c r="G63" i="1" s="1"/>
  <c r="F55" i="1"/>
  <c r="G55" i="1" s="1"/>
  <c r="F47" i="1"/>
  <c r="G47" i="1" s="1"/>
  <c r="F39" i="1"/>
  <c r="F31" i="1"/>
  <c r="F23" i="1"/>
  <c r="G23" i="1" s="1"/>
  <c r="F15" i="1"/>
  <c r="G15" i="1" s="1"/>
  <c r="F7" i="1"/>
  <c r="G7" i="1" s="1"/>
  <c r="F91" i="1"/>
  <c r="G91" i="1" s="1"/>
  <c r="F51" i="1"/>
  <c r="G51" i="1" s="1"/>
  <c r="F19" i="1"/>
  <c r="G19" i="1" s="1"/>
  <c r="F2" i="1"/>
  <c r="F82" i="1"/>
  <c r="F42" i="1"/>
  <c r="G42" i="1" s="1"/>
  <c r="F97" i="1"/>
  <c r="F25" i="1"/>
  <c r="G25" i="1" s="1"/>
  <c r="F110" i="1"/>
  <c r="G110" i="1" s="1"/>
  <c r="F102" i="1"/>
  <c r="F94" i="1"/>
  <c r="G94" i="1" s="1"/>
  <c r="F86" i="1"/>
  <c r="G86" i="1" s="1"/>
  <c r="F78" i="1"/>
  <c r="G78" i="1" s="1"/>
  <c r="F70" i="1"/>
  <c r="F62" i="1"/>
  <c r="F54" i="1"/>
  <c r="G54" i="1" s="1"/>
  <c r="F46" i="1"/>
  <c r="G46" i="1" s="1"/>
  <c r="F38" i="1"/>
  <c r="G38" i="1" s="1"/>
  <c r="F30" i="1"/>
  <c r="G30" i="1" s="1"/>
  <c r="F22" i="1"/>
  <c r="G22" i="1" s="1"/>
  <c r="F14" i="1"/>
  <c r="G14" i="1" s="1"/>
  <c r="F6" i="1"/>
  <c r="G6" i="1" s="1"/>
  <c r="F99" i="1"/>
  <c r="G99" i="1" s="1"/>
  <c r="F35" i="1"/>
  <c r="G35" i="1" s="1"/>
  <c r="F90" i="1"/>
  <c r="G90" i="1" s="1"/>
  <c r="F50" i="1"/>
  <c r="G50" i="1" s="1"/>
  <c r="F85" i="1"/>
  <c r="G85" i="1" s="1"/>
  <c r="F61" i="1"/>
  <c r="G61" i="1" s="1"/>
  <c r="F53" i="1"/>
  <c r="G53" i="1" s="1"/>
  <c r="F45" i="1"/>
  <c r="G45" i="1" s="1"/>
  <c r="F37" i="1"/>
  <c r="G37" i="1" s="1"/>
  <c r="F29" i="1"/>
  <c r="G29" i="1" s="1"/>
  <c r="F21" i="1"/>
  <c r="G21" i="1" s="1"/>
  <c r="F13" i="1"/>
  <c r="G13" i="1" s="1"/>
  <c r="F5" i="1"/>
  <c r="G5" i="1" s="1"/>
  <c r="F107" i="1"/>
  <c r="G107" i="1" s="1"/>
  <c r="F83" i="1"/>
  <c r="G83" i="1" s="1"/>
  <c r="F67" i="1"/>
  <c r="G67" i="1" s="1"/>
  <c r="F43" i="1"/>
  <c r="G43" i="1" s="1"/>
  <c r="F27" i="1"/>
  <c r="G27" i="1" s="1"/>
  <c r="F11" i="1"/>
  <c r="F98" i="1"/>
  <c r="F74" i="1"/>
  <c r="G74" i="1" s="1"/>
  <c r="F66" i="1"/>
  <c r="G66" i="1" s="1"/>
  <c r="F58" i="1"/>
  <c r="F34" i="1"/>
  <c r="G34" i="1" s="1"/>
  <c r="F26" i="1"/>
  <c r="G26" i="1" s="1"/>
  <c r="F10" i="1"/>
  <c r="G10" i="1" s="1"/>
  <c r="F113" i="1"/>
  <c r="G113" i="1" s="1"/>
  <c r="F89" i="1"/>
  <c r="G89" i="1" s="1"/>
  <c r="F73" i="1"/>
  <c r="G73" i="1" s="1"/>
  <c r="F57" i="1"/>
  <c r="G57" i="1" s="1"/>
  <c r="F49" i="1"/>
  <c r="G49" i="1" s="1"/>
  <c r="F33" i="1"/>
  <c r="G33" i="1" s="1"/>
  <c r="F17" i="1"/>
  <c r="G17" i="1" s="1"/>
  <c r="F9" i="1"/>
  <c r="G9" i="1" s="1"/>
  <c r="F109" i="1"/>
  <c r="G109" i="1" s="1"/>
  <c r="F101" i="1"/>
  <c r="G101" i="1" s="1"/>
  <c r="F93" i="1"/>
  <c r="G93" i="1" s="1"/>
  <c r="F77" i="1"/>
  <c r="F69" i="1"/>
  <c r="G69" i="1" s="1"/>
  <c r="F108" i="1"/>
  <c r="F100" i="1"/>
  <c r="G100" i="1" s="1"/>
  <c r="F92" i="1"/>
  <c r="G92" i="1" s="1"/>
  <c r="F84" i="1"/>
  <c r="G84" i="1" s="1"/>
  <c r="F76" i="1"/>
  <c r="G76" i="1" s="1"/>
  <c r="F68" i="1"/>
  <c r="G68" i="1" s="1"/>
  <c r="F60" i="1"/>
  <c r="G60" i="1" s="1"/>
  <c r="F52" i="1"/>
  <c r="G52" i="1" s="1"/>
  <c r="F44" i="1"/>
  <c r="G44" i="1" s="1"/>
  <c r="F36" i="1"/>
  <c r="G36" i="1" s="1"/>
  <c r="F28" i="1"/>
  <c r="G28" i="1" s="1"/>
  <c r="F20" i="1"/>
  <c r="G20" i="1" s="1"/>
  <c r="F12" i="1"/>
  <c r="F4" i="1"/>
  <c r="G4" i="1" s="1"/>
  <c r="J18" i="1"/>
  <c r="F13" i="19"/>
  <c r="G13" i="19" s="1"/>
  <c r="F20" i="19"/>
  <c r="G20" i="19" s="1"/>
  <c r="F36" i="19"/>
  <c r="G36" i="19" s="1"/>
  <c r="F12" i="19"/>
  <c r="G12" i="19" s="1"/>
  <c r="F22" i="19"/>
  <c r="G22" i="19" s="1"/>
  <c r="F26" i="19"/>
  <c r="G26" i="19" s="1"/>
  <c r="F28" i="19"/>
  <c r="G28" i="19" s="1"/>
  <c r="F24" i="19"/>
  <c r="G24" i="19" s="1"/>
  <c r="F11" i="19"/>
  <c r="G11" i="19" s="1"/>
  <c r="F3" i="19"/>
  <c r="G3" i="19" s="1"/>
  <c r="F31" i="19"/>
  <c r="G31" i="19" s="1"/>
  <c r="F30" i="19"/>
  <c r="G30" i="19" s="1"/>
  <c r="F15" i="19"/>
  <c r="G15" i="19" s="1"/>
  <c r="F14" i="19"/>
  <c r="G14" i="19" s="1"/>
  <c r="G18" i="1"/>
  <c r="G82" i="1" l="1"/>
  <c r="G31" i="1"/>
  <c r="G77" i="1"/>
  <c r="G11" i="1"/>
  <c r="G12" i="1"/>
  <c r="G98" i="1"/>
  <c r="G62" i="1"/>
  <c r="G97" i="1"/>
  <c r="G32" i="1"/>
  <c r="G2" i="1"/>
  <c r="G39" i="1"/>
  <c r="G102" i="1"/>
  <c r="G108" i="1"/>
  <c r="G70" i="1"/>
  <c r="G58" i="1"/>
</calcChain>
</file>

<file path=xl/sharedStrings.xml><?xml version="1.0" encoding="utf-8"?>
<sst xmlns="http://schemas.openxmlformats.org/spreadsheetml/2006/main" count="4747" uniqueCount="782">
  <si>
    <t>Country</t>
  </si>
  <si>
    <t>Code</t>
  </si>
  <si>
    <t>Angola</t>
  </si>
  <si>
    <t>ago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</si>
  <si>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</si>
  <si>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</si>
  <si>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</si>
  <si>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</si>
  <si>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</si>
  <si>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</si>
  <si>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</si>
  <si>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</si>
  <si>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</si>
  <si>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</si>
  <si>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</si>
  <si>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</si>
  <si>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</si>
  <si>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Belgium</t>
  </si>
  <si>
    <t>bel</t>
  </si>
  <si>
    <t>Benin</t>
  </si>
  <si>
    <t>ben</t>
  </si>
  <si>
    <t>Bangladesh</t>
  </si>
  <si>
    <t>bgd</t>
  </si>
  <si>
    <t>Bulgaria</t>
  </si>
  <si>
    <t>bgr</t>
  </si>
  <si>
    <t>Bahrain</t>
  </si>
  <si>
    <t>bhr</t>
  </si>
  <si>
    <t>Bosnia and Herzegovina</t>
  </si>
  <si>
    <t>bih</t>
  </si>
  <si>
    <t>Belarus</t>
  </si>
  <si>
    <t>blr</t>
  </si>
  <si>
    <t>Bolivia</t>
  </si>
  <si>
    <t>bol</t>
  </si>
  <si>
    <t>Brazil</t>
  </si>
  <si>
    <t>bra</t>
  </si>
  <si>
    <t>Brunei Darussalam</t>
  </si>
  <si>
    <t>brn</t>
  </si>
  <si>
    <t>Botswana</t>
  </si>
  <si>
    <t>bwa</t>
  </si>
  <si>
    <t>Canada</t>
  </si>
  <si>
    <t>can</t>
  </si>
  <si>
    <t>Switzerland</t>
  </si>
  <si>
    <t>che</t>
  </si>
  <si>
    <t>Chile</t>
  </si>
  <si>
    <t>chl</t>
  </si>
  <si>
    <t>China</t>
  </si>
  <si>
    <t>Cote d'Ivoire</t>
  </si>
  <si>
    <t>civ</t>
  </si>
  <si>
    <t>Cameroon</t>
  </si>
  <si>
    <t>cmr</t>
  </si>
  <si>
    <t>cod</t>
  </si>
  <si>
    <t>cog</t>
  </si>
  <si>
    <t>Colombia</t>
  </si>
  <si>
    <t>col</t>
  </si>
  <si>
    <t>Costa Rica</t>
  </si>
  <si>
    <t>cri</t>
  </si>
  <si>
    <t>Curacao</t>
  </si>
  <si>
    <t>Cyprus</t>
  </si>
  <si>
    <t>cyp</t>
  </si>
  <si>
    <t>Czechia</t>
  </si>
  <si>
    <t>cze</t>
  </si>
  <si>
    <t>Germany</t>
  </si>
  <si>
    <t>deu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</si>
  <si>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</si>
  <si>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</si>
  <si>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</si>
  <si>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</si>
  <si>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</si>
  <si>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</si>
  <si>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</si>
  <si>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</si>
  <si>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</si>
  <si>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</si>
  <si>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</si>
  <si>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</si>
  <si>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</si>
  <si>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</si>
  <si>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</si>
  <si>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</si>
  <si>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</si>
  <si>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</si>
  <si>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</si>
  <si>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</si>
  <si>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</si>
  <si>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</si>
  <si>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</si>
  <si>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</si>
  <si>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</si>
  <si>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</si>
  <si>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</si>
  <si>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Greece</t>
  </si>
  <si>
    <t>grc</t>
  </si>
  <si>
    <t>Guatemala</t>
  </si>
  <si>
    <t>gtm</t>
  </si>
  <si>
    <t>Hong Kong SAR, China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</si>
  <si>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</si>
  <si>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</si>
  <si>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</si>
  <si>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</si>
  <si>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</si>
  <si>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</si>
  <si>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</si>
  <si>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</si>
  <si>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</si>
  <si>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</si>
  <si>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</si>
  <si>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</si>
  <si>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</si>
  <si>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</si>
  <si>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irn</t>
  </si>
  <si>
    <t>Iraq</t>
  </si>
  <si>
    <t>irq</t>
  </si>
  <si>
    <t>Iceland</t>
  </si>
  <si>
    <t>Israel</t>
  </si>
  <si>
    <t>isr</t>
  </si>
  <si>
    <t>Italy</t>
  </si>
  <si>
    <t>ita</t>
  </si>
  <si>
    <t>Jamaica</t>
  </si>
  <si>
    <t>Jordan</t>
  </si>
  <si>
    <t>Japan</t>
  </si>
  <si>
    <t>jpn</t>
  </si>
  <si>
    <t>Kazakhstan</t>
  </si>
  <si>
    <t>kaz</t>
  </si>
  <si>
    <t>Kenya</t>
  </si>
  <si>
    <t>ken</t>
  </si>
  <si>
    <t>kgz</t>
  </si>
  <si>
    <t>Cambodia</t>
  </si>
  <si>
    <t>khm</t>
  </si>
  <si>
    <t>kor</t>
  </si>
  <si>
    <t>Kuwait</t>
  </si>
  <si>
    <t>kwt</t>
  </si>
  <si>
    <t>Lebanon</t>
  </si>
  <si>
    <t>lbn</t>
  </si>
  <si>
    <t>Libya</t>
  </si>
  <si>
    <t>lby</t>
  </si>
  <si>
    <t>Sri Lanka</t>
  </si>
  <si>
    <t>lka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</si>
  <si>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</si>
  <si>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</si>
  <si>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</si>
  <si>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</si>
  <si>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</si>
  <si>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</si>
  <si>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</si>
  <si>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</si>
  <si>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</si>
  <si>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</si>
  <si>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Mexico</t>
  </si>
  <si>
    <t>mex</t>
  </si>
  <si>
    <t>North Macedonia</t>
  </si>
  <si>
    <t>mkd</t>
  </si>
  <si>
    <t>Malta</t>
  </si>
  <si>
    <t>Myanmar</t>
  </si>
  <si>
    <t>Montenegro</t>
  </si>
  <si>
    <t>mne</t>
  </si>
  <si>
    <t>Mongolia</t>
  </si>
  <si>
    <t>mng</t>
  </si>
  <si>
    <t>Mozambique</t>
  </si>
  <si>
    <t>moz</t>
  </si>
  <si>
    <t>Mauritius</t>
  </si>
  <si>
    <t>Malaysia</t>
  </si>
  <si>
    <t>mys</t>
  </si>
  <si>
    <t>Namibia</t>
  </si>
  <si>
    <t>nam</t>
  </si>
  <si>
    <t>Niger</t>
  </si>
  <si>
    <t>ner</t>
  </si>
  <si>
    <t>Nigeria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</si>
  <si>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</si>
  <si>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</si>
  <si>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</si>
  <si>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</si>
  <si>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</si>
  <si>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</si>
  <si>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</si>
  <si>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</si>
  <si>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</si>
  <si>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</si>
  <si>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</si>
  <si>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</si>
  <si>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</si>
  <si>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</si>
  <si>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</si>
  <si>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</si>
  <si>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</si>
  <si>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</si>
  <si>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</si>
  <si>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</si>
  <si>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</si>
  <si>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</si>
  <si>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</si>
  <si>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</si>
  <si>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Paraguay</t>
  </si>
  <si>
    <t>pry</t>
  </si>
  <si>
    <t>Qatar</t>
  </si>
  <si>
    <t>Romania</t>
  </si>
  <si>
    <t>rou</t>
  </si>
  <si>
    <t>Russian Federation</t>
  </si>
  <si>
    <t>rus</t>
  </si>
  <si>
    <t>Saudi Arabia</t>
  </si>
  <si>
    <t>sau</t>
  </si>
  <si>
    <t>Sudan</t>
  </si>
  <si>
    <t>Senegal</t>
  </si>
  <si>
    <t>sen</t>
  </si>
  <si>
    <t>Singapore</t>
  </si>
  <si>
    <t>sgp</t>
  </si>
  <si>
    <t>El Salvador</t>
  </si>
  <si>
    <t>slv</t>
  </si>
  <si>
    <t>Serbia</t>
  </si>
  <si>
    <t>srb</t>
  </si>
  <si>
    <t>Suriname</t>
  </si>
  <si>
    <t>svk</t>
  </si>
  <si>
    <t>Slovenia</t>
  </si>
  <si>
    <t>svn</t>
  </si>
  <si>
    <t>Sweden</t>
  </si>
  <si>
    <t>swe</t>
  </si>
  <si>
    <t>Syrian Arab Republic</t>
  </si>
  <si>
    <t>Togo</t>
  </si>
  <si>
    <t>tgo</t>
  </si>
  <si>
    <t>Thailand</t>
  </si>
  <si>
    <t>Tajikistan</t>
  </si>
  <si>
    <t>tjk</t>
  </si>
  <si>
    <t>Turkmenistan</t>
  </si>
  <si>
    <t>Trinidad and Tobago</t>
  </si>
  <si>
    <t>Tunisia</t>
  </si>
  <si>
    <t>tun</t>
  </si>
  <si>
    <t>Turkiye</t>
  </si>
  <si>
    <t>Tanzania</t>
  </si>
  <si>
    <t>tza</t>
  </si>
  <si>
    <t>Ukraine</t>
  </si>
  <si>
    <t>ukr</t>
  </si>
  <si>
    <t>Uruguay</t>
  </si>
  <si>
    <t>United States</t>
  </si>
  <si>
    <t>usa</t>
  </si>
  <si>
    <t>Uzbekistan</t>
  </si>
  <si>
    <t>Viet Nam</t>
  </si>
  <si>
    <t>vnm</t>
  </si>
  <si>
    <t>South Africa</t>
  </si>
  <si>
    <t>zaf</t>
  </si>
  <si>
    <t>Zambia</t>
  </si>
  <si>
    <t>Zimbabwe</t>
  </si>
  <si>
    <t>zwe</t>
  </si>
  <si>
    <t>POP</t>
  </si>
  <si>
    <t>GDP_2017USD</t>
  </si>
  <si>
    <t>Res_Elec_TJ</t>
  </si>
  <si>
    <t>Elec_Access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</si>
  <si>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</si>
  <si>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</si>
  <si>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</si>
  <si>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</si>
  <si>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</si>
  <si>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</si>
  <si>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</si>
  <si>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</si>
  <si>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</si>
  <si>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</si>
  <si>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</si>
  <si>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</si>
  <si>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</si>
  <si>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</si>
  <si>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</si>
  <si>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</si>
  <si>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</si>
  <si>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</si>
  <si>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</si>
  <si>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</si>
  <si>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</si>
  <si>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</si>
  <si>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</si>
  <si>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</si>
  <si>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</si>
  <si>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</si>
  <si>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</si>
  <si>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</si>
  <si>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</si>
  <si>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</si>
  <si>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</si>
  <si>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</si>
  <si>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</si>
  <si>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</si>
  <si>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</si>
  <si>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</si>
  <si>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</si>
  <si>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</si>
  <si>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</si>
  <si>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</si>
  <si>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</si>
  <si>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</si>
  <si>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</si>
  <si>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</si>
  <si>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</si>
  <si>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</si>
  <si>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</si>
  <si>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</si>
  <si>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</si>
  <si>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</si>
  <si>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</si>
  <si>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</si>
  <si>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</si>
  <si>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</si>
  <si>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</si>
  <si>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</si>
  <si>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</si>
  <si>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</si>
  <si>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</si>
  <si>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</si>
  <si>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</si>
  <si>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</si>
  <si>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</si>
  <si>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</si>
  <si>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</si>
  <si>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</si>
  <si>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</si>
  <si>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</si>
  <si>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</si>
  <si>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</si>
  <si>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</si>
  <si>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</si>
  <si>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</si>
  <si>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</si>
  <si>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</si>
  <si>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</si>
  <si>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</si>
  <si>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</si>
  <si>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</si>
  <si>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</si>
  <si>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AGO</t>
  </si>
  <si>
    <t>ALB</t>
  </si>
  <si>
    <t>Andorra</t>
  </si>
  <si>
    <t>AND</t>
  </si>
  <si>
    <t>Arab World</t>
  </si>
  <si>
    <t>ARB</t>
  </si>
  <si>
    <t>ARE</t>
  </si>
  <si>
    <t>ARG</t>
  </si>
  <si>
    <t>ARM</t>
  </si>
  <si>
    <t>American Samoa</t>
  </si>
  <si>
    <t>ASM</t>
  </si>
  <si>
    <t>Antigua and Barbuda</t>
  </si>
  <si>
    <t>ATG</t>
  </si>
  <si>
    <t>AUS</t>
  </si>
  <si>
    <t>AUT</t>
  </si>
  <si>
    <t>AZE</t>
  </si>
  <si>
    <t>Burundi</t>
  </si>
  <si>
    <t>BDI</t>
  </si>
  <si>
    <t>BEL</t>
  </si>
  <si>
    <t>BEN</t>
  </si>
  <si>
    <t>Burkina Faso</t>
  </si>
  <si>
    <t>BFA</t>
  </si>
  <si>
    <t>BGD</t>
  </si>
  <si>
    <t>BGR</t>
  </si>
  <si>
    <t>BHR</t>
  </si>
  <si>
    <t>Bahamas, The</t>
  </si>
  <si>
    <t>BHS</t>
  </si>
  <si>
    <t>BIH</t>
  </si>
  <si>
    <t>BLR</t>
  </si>
  <si>
    <t>Belize</t>
  </si>
  <si>
    <t>BLZ</t>
  </si>
  <si>
    <t>Bermuda</t>
  </si>
  <si>
    <t>BMU</t>
  </si>
  <si>
    <t>BOL</t>
  </si>
  <si>
    <t>BRA</t>
  </si>
  <si>
    <t>Barbados</t>
  </si>
  <si>
    <t>BRB</t>
  </si>
  <si>
    <t>BRN</t>
  </si>
  <si>
    <t>Bhutan</t>
  </si>
  <si>
    <t>BTN</t>
  </si>
  <si>
    <t>BWA</t>
  </si>
  <si>
    <t>Central African Republic</t>
  </si>
  <si>
    <t>CAF</t>
  </si>
  <si>
    <t>CAN</t>
  </si>
  <si>
    <t>Central Europe and the Baltics</t>
  </si>
  <si>
    <t>CEB</t>
  </si>
  <si>
    <t>CHE</t>
  </si>
  <si>
    <t>Channel Islands</t>
  </si>
  <si>
    <t>CHI</t>
  </si>
  <si>
    <t>CHL</t>
  </si>
  <si>
    <t>CHN</t>
  </si>
  <si>
    <t>CIV</t>
  </si>
  <si>
    <t>CMR</t>
  </si>
  <si>
    <t>COD</t>
  </si>
  <si>
    <t>COG</t>
  </si>
  <si>
    <t>COL</t>
  </si>
  <si>
    <t>Comoros</t>
  </si>
  <si>
    <t>COM</t>
  </si>
  <si>
    <t>Cabo Verde</t>
  </si>
  <si>
    <t>CPV</t>
  </si>
  <si>
    <t>CRI</t>
  </si>
  <si>
    <t>Caribbean small states</t>
  </si>
  <si>
    <t>CSS</t>
  </si>
  <si>
    <t>Cuba</t>
  </si>
  <si>
    <t>CUB</t>
  </si>
  <si>
    <t>CUW</t>
  </si>
  <si>
    <t>Cayman Islands</t>
  </si>
  <si>
    <t>CYM</t>
  </si>
  <si>
    <t>CYP</t>
  </si>
  <si>
    <t>CZE</t>
  </si>
  <si>
    <t>DEU</t>
  </si>
  <si>
    <t>Djibouti</t>
  </si>
  <si>
    <t>DJI</t>
  </si>
  <si>
    <t>Dominica</t>
  </si>
  <si>
    <t>DMA</t>
  </si>
  <si>
    <t>DNK</t>
  </si>
  <si>
    <t>DOM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</si>
  <si>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</si>
  <si>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</si>
  <si>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</si>
  <si>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</si>
  <si>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</si>
  <si>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</si>
  <si>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</si>
  <si>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</si>
  <si>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</si>
  <si>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</si>
  <si>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</si>
  <si>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</t>
  </si>
  <si>
    <t>EGY</t>
  </si>
  <si>
    <t>Euro area</t>
  </si>
  <si>
    <t>EMU</t>
  </si>
  <si>
    <t>Eritrea</t>
  </si>
  <si>
    <t>ERI</t>
  </si>
  <si>
    <t>ESP</t>
  </si>
  <si>
    <t>EST</t>
  </si>
  <si>
    <t>ETH</t>
  </si>
  <si>
    <t>European Union</t>
  </si>
  <si>
    <t>EUU</t>
  </si>
  <si>
    <t>Fragile and conflict affected situations</t>
  </si>
  <si>
    <t>FCS</t>
  </si>
  <si>
    <t>FIN</t>
  </si>
  <si>
    <t>Fiji</t>
  </si>
  <si>
    <t>FJI</t>
  </si>
  <si>
    <t>FRA</t>
  </si>
  <si>
    <t>Faroe Islands</t>
  </si>
  <si>
    <t>FRO</t>
  </si>
  <si>
    <t>Micronesia, Fed. Sts.</t>
  </si>
  <si>
    <t>FSM</t>
  </si>
  <si>
    <t>GAB</t>
  </si>
  <si>
    <t>GBR</t>
  </si>
  <si>
    <t>GEO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</si>
  <si>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</si>
  <si>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</si>
  <si>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</si>
  <si>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</si>
  <si>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</si>
  <si>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</si>
  <si>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</si>
  <si>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</si>
  <si>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</si>
  <si>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</si>
  <si>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</si>
  <si>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GRC</t>
  </si>
  <si>
    <t>Grenada</t>
  </si>
  <si>
    <t>GRD</t>
  </si>
  <si>
    <t>Greenland</t>
  </si>
  <si>
    <t>GRL</t>
  </si>
  <si>
    <t>GTM</t>
  </si>
  <si>
    <t>Guam</t>
  </si>
  <si>
    <t>GUM</t>
  </si>
  <si>
    <t>Guyana</t>
  </si>
  <si>
    <t>GUY</t>
  </si>
  <si>
    <t>High income</t>
  </si>
  <si>
    <t>HIC</t>
  </si>
  <si>
    <t>HKG</t>
  </si>
  <si>
    <t>HND</t>
  </si>
  <si>
    <t>Heavily indebted poor countries (HIPC)</t>
  </si>
  <si>
    <t>HPC</t>
  </si>
  <si>
    <t>HRV</t>
  </si>
  <si>
    <t>HTI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</si>
  <si>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</si>
  <si>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</si>
  <si>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</si>
  <si>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</si>
  <si>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</si>
  <si>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</si>
  <si>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</si>
  <si>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</si>
  <si>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</si>
  <si>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IDN</t>
  </si>
  <si>
    <t>IDA only</t>
  </si>
  <si>
    <t>IDX</t>
  </si>
  <si>
    <t>Isle of Man</t>
  </si>
  <si>
    <t>IMN</t>
  </si>
  <si>
    <t>IND</t>
  </si>
  <si>
    <t>Not classified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</si>
  <si>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</si>
  <si>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</si>
  <si>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</si>
  <si>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</si>
  <si>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</si>
  <si>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</si>
  <si>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</si>
  <si>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</si>
  <si>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</si>
  <si>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</si>
  <si>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</si>
  <si>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</si>
  <si>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</si>
  <si>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</si>
  <si>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Kiribati</t>
  </si>
  <si>
    <t>KIR</t>
  </si>
  <si>
    <t>St. Kitts and Nevis</t>
  </si>
  <si>
    <t>KNA</t>
  </si>
  <si>
    <t>KOR</t>
  </si>
  <si>
    <t>KWT</t>
  </si>
  <si>
    <t>Latin America &amp; Caribbean (excluding high income)</t>
  </si>
  <si>
    <t>LAC</t>
  </si>
  <si>
    <t>Lao PDR</t>
  </si>
  <si>
    <t>LAO</t>
  </si>
  <si>
    <t>LBN</t>
  </si>
  <si>
    <t>Liberia</t>
  </si>
  <si>
    <t>LBR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</si>
  <si>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</si>
  <si>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</si>
  <si>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</si>
  <si>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</si>
  <si>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</si>
  <si>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</si>
  <si>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</si>
  <si>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</si>
  <si>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</si>
  <si>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</si>
  <si>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</si>
  <si>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</si>
  <si>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</si>
  <si>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</si>
  <si>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</si>
  <si>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</si>
  <si>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</si>
  <si>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</si>
  <si>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</si>
  <si>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</si>
  <si>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LTU</t>
  </si>
  <si>
    <t>LUX</t>
  </si>
  <si>
    <t>LVA</t>
  </si>
  <si>
    <t>Macao SAR, China</t>
  </si>
  <si>
    <t>MAC</t>
  </si>
  <si>
    <t>St. Martin (French part)</t>
  </si>
  <si>
    <t>MAF</t>
  </si>
  <si>
    <t>MAR</t>
  </si>
  <si>
    <t>Monaco</t>
  </si>
  <si>
    <t>MCO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</si>
  <si>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</si>
  <si>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</si>
  <si>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</si>
  <si>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</si>
  <si>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</si>
  <si>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</si>
  <si>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</si>
  <si>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</t>
  </si>
  <si>
    <t>Marshall Islands</t>
  </si>
  <si>
    <t>MHL</t>
  </si>
  <si>
    <t>Middle income</t>
  </si>
  <si>
    <t>MIC</t>
  </si>
  <si>
    <t>MKD</t>
  </si>
  <si>
    <t>Mali</t>
  </si>
  <si>
    <t>MLI</t>
  </si>
  <si>
    <t>MLT</t>
  </si>
  <si>
    <t>MMR</t>
  </si>
  <si>
    <t>Middle East, North Africa, Afghanistan &amp; Pakistan (excluding high income)</t>
  </si>
  <si>
    <t>MNA</t>
  </si>
  <si>
    <t>MNE</t>
  </si>
  <si>
    <t>MNG</t>
  </si>
  <si>
    <t>Northern Mariana Islands</t>
  </si>
  <si>
    <t>MNP</t>
  </si>
  <si>
    <t>MOZ</t>
  </si>
  <si>
    <t>Mauritania</t>
  </si>
  <si>
    <t>MRT</t>
  </si>
  <si>
    <t>MUS</t>
  </si>
  <si>
    <t>Malawi</t>
  </si>
  <si>
    <t>MWI</t>
  </si>
  <si>
    <t>MYS</t>
  </si>
  <si>
    <t>North America</t>
  </si>
  <si>
    <t>NAC</t>
  </si>
  <si>
    <t>NAM</t>
  </si>
  <si>
    <t>New Caledonia</t>
  </si>
  <si>
    <t>NCL</t>
  </si>
  <si>
    <t>NER</t>
  </si>
  <si>
    <t>NGA</t>
  </si>
  <si>
    <t>NIC</t>
  </si>
  <si>
    <t>NLD</t>
  </si>
  <si>
    <t>NOR</t>
  </si>
  <si>
    <t>NPL</t>
  </si>
  <si>
    <t>Nauru</t>
  </si>
  <si>
    <t>NRU</t>
  </si>
  <si>
    <t>NZL</t>
  </si>
  <si>
    <t>OECD members</t>
  </si>
  <si>
    <t>OED</t>
  </si>
  <si>
    <t>OMN</t>
  </si>
  <si>
    <t>Other small states</t>
  </si>
  <si>
    <t>OSS</t>
  </si>
  <si>
    <t>PAK</t>
  </si>
  <si>
    <t>PAN</t>
  </si>
  <si>
    <t>PER</t>
  </si>
  <si>
    <t>PHL</t>
  </si>
  <si>
    <t>Palau</t>
  </si>
  <si>
    <t>PLW</t>
  </si>
  <si>
    <t>Papua New Guinea</t>
  </si>
  <si>
    <t>PNG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</si>
  <si>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</si>
  <si>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</si>
  <si>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</si>
  <si>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</si>
  <si>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</si>
  <si>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</si>
  <si>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</si>
  <si>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PRT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</si>
  <si>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</si>
  <si>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</si>
  <si>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</si>
  <si>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</si>
  <si>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</si>
  <si>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</si>
  <si>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</si>
  <si>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</si>
  <si>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</si>
  <si>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</t>
  </si>
  <si>
    <t>ROU</t>
  </si>
  <si>
    <t>RUS</t>
  </si>
  <si>
    <t>Rwanda</t>
  </si>
  <si>
    <t>RWA</t>
  </si>
  <si>
    <t>South Asia</t>
  </si>
  <si>
    <t>SAS</t>
  </si>
  <si>
    <t>SAU</t>
  </si>
  <si>
    <t>SDN</t>
  </si>
  <si>
    <t>SEN</t>
  </si>
  <si>
    <t>SGP</t>
  </si>
  <si>
    <t>Solomon Islands</t>
  </si>
  <si>
    <t>SLB</t>
  </si>
  <si>
    <t>Sierra Leone</t>
  </si>
  <si>
    <t>SLE</t>
  </si>
  <si>
    <t>SLV</t>
  </si>
  <si>
    <t>San Marino</t>
  </si>
  <si>
    <t>SMR</t>
  </si>
  <si>
    <t>Somalia</t>
  </si>
  <si>
    <t>SOM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</si>
  <si>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</si>
  <si>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</si>
  <si>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</si>
  <si>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</si>
  <si>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</si>
  <si>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</si>
  <si>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</si>
  <si>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</si>
  <si>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</si>
  <si>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</si>
  <si>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</si>
  <si>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</t>
  </si>
  <si>
    <t>SVK</t>
  </si>
  <si>
    <t>SVN</t>
  </si>
  <si>
    <t>SWE</t>
  </si>
  <si>
    <t>Eswatini</t>
  </si>
  <si>
    <t>SWZ</t>
  </si>
  <si>
    <t>Sint Maarten (Dutch part)</t>
  </si>
  <si>
    <t>SXM</t>
  </si>
  <si>
    <t>Seychelles</t>
  </si>
  <si>
    <t>SYC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</si>
  <si>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</si>
  <si>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</si>
  <si>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</si>
  <si>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</si>
  <si>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</si>
  <si>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</si>
  <si>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</si>
  <si>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</si>
  <si>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</si>
  <si>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TGO</t>
  </si>
  <si>
    <t>THA</t>
  </si>
  <si>
    <t>TJK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</si>
  <si>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</si>
  <si>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</si>
  <si>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</si>
  <si>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</si>
  <si>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</si>
  <si>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</si>
  <si>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</si>
  <si>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</si>
  <si>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</si>
  <si>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</si>
  <si>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</si>
  <si>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</si>
  <si>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</si>
  <si>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TTO</t>
  </si>
  <si>
    <t>TUN</t>
  </si>
  <si>
    <t>TUR</t>
  </si>
  <si>
    <t>Tuvalu</t>
  </si>
  <si>
    <t>TUV</t>
  </si>
  <si>
    <t>TZA</t>
  </si>
  <si>
    <t>Uganda</t>
  </si>
  <si>
    <t>UGA</t>
  </si>
  <si>
    <t>UKR</t>
  </si>
  <si>
    <t>Upper middle income</t>
  </si>
  <si>
    <t>UMC</t>
  </si>
  <si>
    <t>URY</t>
  </si>
  <si>
    <t>USA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</si>
  <si>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</si>
  <si>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</si>
  <si>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</si>
  <si>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</si>
  <si>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</si>
  <si>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</si>
  <si>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</si>
  <si>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</si>
  <si>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</si>
  <si>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</si>
  <si>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</si>
  <si>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</si>
  <si>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</si>
  <si>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</si>
  <si>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</si>
  <si>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</si>
  <si>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</si>
  <si>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</si>
  <si>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</si>
  <si>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</si>
  <si>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ZAF</t>
  </si>
  <si>
    <t>ZMB</t>
  </si>
  <si>
    <t>ZWE</t>
  </si>
  <si>
    <t>Access to electricity (% of population)</t>
  </si>
  <si>
    <t>EG.ELC.ACCS.ZS</t>
  </si>
  <si>
    <t>Res_Elec_kWhCapita</t>
  </si>
  <si>
    <t>Unit</t>
  </si>
  <si>
    <t>Bahamas</t>
  </si>
  <si>
    <t>Democratic Republic of the Congo</t>
  </si>
  <si>
    <t>Egypt</t>
  </si>
  <si>
    <t>French Guiana</t>
  </si>
  <si>
    <t>Gambia</t>
  </si>
  <si>
    <t>Guadeloupe</t>
  </si>
  <si>
    <t>Kyrgyzstan</t>
  </si>
  <si>
    <t>Martinique</t>
  </si>
  <si>
    <t>Mayotte</t>
  </si>
  <si>
    <t>Puerto Rico</t>
  </si>
  <si>
    <t>Saint Lucia</t>
  </si>
  <si>
    <t>Saint Vincent and the Grenadines</t>
  </si>
  <si>
    <t>Turkey</t>
  </si>
  <si>
    <t>United States Virgin Islands</t>
  </si>
  <si>
    <t>Western Sahara</t>
  </si>
  <si>
    <t>Yemen</t>
  </si>
  <si>
    <t>Model</t>
  </si>
  <si>
    <t>Scenario</t>
  </si>
  <si>
    <t>Region</t>
  </si>
  <si>
    <t>Variable</t>
  </si>
  <si>
    <t>OECD ENV-Growth 2023</t>
  </si>
  <si>
    <t>Historical Reference</t>
  </si>
  <si>
    <t>GDP|PPP [per capita]</t>
  </si>
  <si>
    <t>USD_2017/yr</t>
  </si>
  <si>
    <t/>
  </si>
  <si>
    <t>Congo</t>
  </si>
  <si>
    <t>Micronesia</t>
  </si>
  <si>
    <t>Hong Kong</t>
  </si>
  <si>
    <t>Iran</t>
  </si>
  <si>
    <t>South Korea</t>
  </si>
  <si>
    <t>Laos</t>
  </si>
  <si>
    <t>Macao</t>
  </si>
  <si>
    <t>North Korea</t>
  </si>
  <si>
    <t>Slovakia</t>
  </si>
  <si>
    <t>Taiwan</t>
  </si>
  <si>
    <t>GDP|PPP</t>
  </si>
  <si>
    <t>billion USD_2017/yr</t>
  </si>
  <si>
    <t>1950</t>
  </si>
  <si>
    <t>1955</t>
  </si>
  <si>
    <t>IIASA-WiC POP 2023</t>
  </si>
  <si>
    <t>Population</t>
  </si>
  <si>
    <t>million</t>
  </si>
  <si>
    <t>Cura?ao</t>
  </si>
  <si>
    <t>Palestine</t>
  </si>
  <si>
    <t>R?union</t>
  </si>
  <si>
    <t>Syria</t>
  </si>
  <si>
    <t>Venezuela</t>
  </si>
  <si>
    <t>INC_2017USD_SSP</t>
  </si>
  <si>
    <t>INC_2017USD_calc</t>
  </si>
  <si>
    <t>diff</t>
  </si>
  <si>
    <t>nga</t>
  </si>
  <si>
    <t>sdn</t>
  </si>
  <si>
    <t>uga</t>
  </si>
  <si>
    <t>mdg</t>
  </si>
  <si>
    <t>bfa</t>
  </si>
  <si>
    <t>zmb</t>
  </si>
  <si>
    <t>tcd</t>
  </si>
  <si>
    <t>rwa</t>
  </si>
  <si>
    <t>ssd</t>
  </si>
  <si>
    <t>eri</t>
  </si>
  <si>
    <t>gnq</t>
  </si>
  <si>
    <t>mus</t>
  </si>
  <si>
    <t>swz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</si>
</sst>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</cellStyleXfs>
  <cellXfs count="17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9" fontId="0" fillId="0" borderId="0" xfId="1" applyFont="1"/>
    <xf numFmtId="1" fontId="0" fillId="0" borderId="0" xfId="0" applyNumberFormat="1"/>
    <xf numFmtId="164" fontId="0" fillId="0" borderId="0" xfId="0" applyNumberFormat="1"/>
    <xf numFmtId="1" fontId="0" fillId="0" borderId="0" xfId="1" applyNumberFormat="1" applyFont="1"/>
    <xf numFmtId="0" fontId="4" fillId="0" borderId="0" xfId="4"/>
    <xf numFmtId="0" fontId="0" fillId="0" borderId="0" xfId="4" applyFont="1"/>
    <xf numFmtId="0" fontId="0" fillId="2" borderId="0" xfId="0" applyFill="1"/>
    <xf numFmtId="9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2" fontId="0" fillId="0" borderId="0" xfId="1" applyNumberFormat="1" applyFont="1"/>
    <xf numFmtId="164" fontId="0" fillId="0" borderId="0" xfId="1" applyNumberFormat="1" applyFont="1"/>
    <xf numFmtId="0" fontId="0" fillId="0" borderId="0" xfId="1" applyNumberFormat="1" applyFont="1"/>
  </cellXfs>
  <cellStyles count="5">
    <cellStyle name="Normal" xfId="0" builtinId="0"/>
    <cellStyle name="Normal 2" xfId="2" xr:uid="{5627CCE5-EA4A-4C47-9A21-6FAFFA6D9276}"/>
    <cellStyle name="Normal 3" xfId="3" xr:uid="{E52023D3-305D-4760-8B57-52A19BE8EE24}"/>
    <cellStyle name="Normal 4" xfId="4" xr:uid="{8BCCC568-1FA6-4532-BD83-52BDA00217F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Elec_Access_base!$A$102</c:f>
              <c:strCache>
                <c:ptCount val="1"/>
                <c:pt idx="0">
                  <c:v>Honduras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Elec_Access_base!$AL$102:$BP$102</c:f>
              <c:numCache>
                <c:formatCode>General</c:formatCode>
                <c:ptCount val="31"/>
                <c:pt idx="0">
                  <c:v>61.100155999999998</c:v>
                </c:pt>
                <c:pt idx="1">
                  <c:v>64.733947000000001</c:v>
                </c:pt>
                <c:pt idx="2">
                  <c:v>66.122022000000001</c:v>
                </c:pt>
                <c:pt idx="3">
                  <c:v>61.68112</c:v>
                </c:pt>
                <c:pt idx="4">
                  <c:v>64.794753999999998</c:v>
                </c:pt>
                <c:pt idx="5">
                  <c:v>66.859519000000006</c:v>
                </c:pt>
                <c:pt idx="6">
                  <c:v>67.394103000000001</c:v>
                </c:pt>
                <c:pt idx="7">
                  <c:v>67.400000000000006</c:v>
                </c:pt>
                <c:pt idx="8">
                  <c:v>64.2</c:v>
                </c:pt>
                <c:pt idx="9">
                  <c:v>63.1</c:v>
                </c:pt>
                <c:pt idx="10">
                  <c:v>65.099999999999994</c:v>
                </c:pt>
                <c:pt idx="11">
                  <c:v>67.099999999999994</c:v>
                </c:pt>
                <c:pt idx="12">
                  <c:v>68.900000000000006</c:v>
                </c:pt>
                <c:pt idx="13">
                  <c:v>71.3</c:v>
                </c:pt>
                <c:pt idx="14">
                  <c:v>73.5</c:v>
                </c:pt>
                <c:pt idx="15">
                  <c:v>76.400000000000006</c:v>
                </c:pt>
                <c:pt idx="16">
                  <c:v>78.3</c:v>
                </c:pt>
                <c:pt idx="17">
                  <c:v>81</c:v>
                </c:pt>
                <c:pt idx="18">
                  <c:v>82.2</c:v>
                </c:pt>
                <c:pt idx="19">
                  <c:v>83.6</c:v>
                </c:pt>
                <c:pt idx="20">
                  <c:v>87.2</c:v>
                </c:pt>
                <c:pt idx="21">
                  <c:v>88.7</c:v>
                </c:pt>
                <c:pt idx="22">
                  <c:v>90</c:v>
                </c:pt>
                <c:pt idx="23">
                  <c:v>91.6</c:v>
                </c:pt>
                <c:pt idx="24">
                  <c:v>86.5</c:v>
                </c:pt>
                <c:pt idx="25">
                  <c:v>91.6</c:v>
                </c:pt>
                <c:pt idx="26">
                  <c:v>91.1</c:v>
                </c:pt>
                <c:pt idx="27">
                  <c:v>93.1</c:v>
                </c:pt>
                <c:pt idx="28">
                  <c:v>94.1</c:v>
                </c:pt>
                <c:pt idx="29">
                  <c:v>94.4</c:v>
                </c:pt>
                <c:pt idx="30">
                  <c:v>95.6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8-4B2F-9221-B20A4300229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Elec_Access_base!$AL$103:$BP$103</c:f>
              <c:numCache>
                <c:formatCode>General</c:formatCode>
                <c:ptCount val="31"/>
                <c:pt idx="7">
                  <c:v>17.824478605208927</c:v>
                </c:pt>
                <c:pt idx="8">
                  <c:v>18.69723552909424</c:v>
                </c:pt>
                <c:pt idx="9">
                  <c:v>19.403578591130536</c:v>
                </c:pt>
                <c:pt idx="10">
                  <c:v>20.872297208887055</c:v>
                </c:pt>
                <c:pt idx="11">
                  <c:v>21.919398023811983</c:v>
                </c:pt>
                <c:pt idx="12">
                  <c:v>21.665607026330935</c:v>
                </c:pt>
                <c:pt idx="13">
                  <c:v>24.29705524068406</c:v>
                </c:pt>
                <c:pt idx="14">
                  <c:v>25.847755027410951</c:v>
                </c:pt>
                <c:pt idx="15">
                  <c:v>25.803747137151568</c:v>
                </c:pt>
                <c:pt idx="16">
                  <c:v>27.024611988869765</c:v>
                </c:pt>
                <c:pt idx="17">
                  <c:v>28.67943130183399</c:v>
                </c:pt>
                <c:pt idx="18">
                  <c:v>29.171839682858298</c:v>
                </c:pt>
                <c:pt idx="19">
                  <c:v>31.897966049350103</c:v>
                </c:pt>
                <c:pt idx="20">
                  <c:v>32.887311045362054</c:v>
                </c:pt>
                <c:pt idx="21">
                  <c:v>35.34329387411514</c:v>
                </c:pt>
                <c:pt idx="22">
                  <c:v>35.453233423296282</c:v>
                </c:pt>
                <c:pt idx="23">
                  <c:v>40.587914385909535</c:v>
                </c:pt>
                <c:pt idx="24">
                  <c:v>41.476140008264203</c:v>
                </c:pt>
                <c:pt idx="25">
                  <c:v>43.978055915551124</c:v>
                </c:pt>
                <c:pt idx="26">
                  <c:v>45.02245693284025</c:v>
                </c:pt>
                <c:pt idx="27">
                  <c:v>46.340598868519763</c:v>
                </c:pt>
                <c:pt idx="28">
                  <c:v>48.019941220743483</c:v>
                </c:pt>
                <c:pt idx="29">
                  <c:v>48.717127728938443</c:v>
                </c:pt>
                <c:pt idx="30">
                  <c:v>50.531112749859759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8-4B2F-9221-B20A4300229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Elec_Access_base!$AL$104:$BP$104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99.9</c:v>
                </c:pt>
                <c:pt idx="12">
                  <c:v>99.9</c:v>
                </c:pt>
                <c:pt idx="13">
                  <c:v>99.8</c:v>
                </c:pt>
                <c:pt idx="14">
                  <c:v>99.8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8-4B2F-9221-B20A4300229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Elec_Access_base!$AL$105:$BP$105</c:f>
              <c:numCache>
                <c:formatCode>General</c:formatCode>
                <c:ptCount val="31"/>
                <c:pt idx="2">
                  <c:v>31.3</c:v>
                </c:pt>
                <c:pt idx="3">
                  <c:v>30.013017654418899</c:v>
                </c:pt>
                <c:pt idx="4">
                  <c:v>30.5570373535156</c:v>
                </c:pt>
                <c:pt idx="5">
                  <c:v>31.0969753265381</c:v>
                </c:pt>
                <c:pt idx="6">
                  <c:v>31.632072448730501</c:v>
                </c:pt>
                <c:pt idx="7">
                  <c:v>33.700000000000003</c:v>
                </c:pt>
                <c:pt idx="8">
                  <c:v>31.5</c:v>
                </c:pt>
                <c:pt idx="9">
                  <c:v>33.1</c:v>
                </c:pt>
                <c:pt idx="10">
                  <c:v>31.6</c:v>
                </c:pt>
                <c:pt idx="11">
                  <c:v>34.1</c:v>
                </c:pt>
                <c:pt idx="12">
                  <c:v>34.5</c:v>
                </c:pt>
                <c:pt idx="13">
                  <c:v>33.9</c:v>
                </c:pt>
                <c:pt idx="14">
                  <c:v>35.5</c:v>
                </c:pt>
                <c:pt idx="15">
                  <c:v>36.1</c:v>
                </c:pt>
                <c:pt idx="16">
                  <c:v>36.6</c:v>
                </c:pt>
                <c:pt idx="17">
                  <c:v>37.200000000000003</c:v>
                </c:pt>
                <c:pt idx="18">
                  <c:v>37.799999999999997</c:v>
                </c:pt>
                <c:pt idx="19">
                  <c:v>37.9</c:v>
                </c:pt>
                <c:pt idx="20">
                  <c:v>38.9</c:v>
                </c:pt>
                <c:pt idx="21">
                  <c:v>39.6</c:v>
                </c:pt>
                <c:pt idx="22">
                  <c:v>40.799999999999997</c:v>
                </c:pt>
                <c:pt idx="23">
                  <c:v>40.4</c:v>
                </c:pt>
                <c:pt idx="24">
                  <c:v>43.3</c:v>
                </c:pt>
                <c:pt idx="25">
                  <c:v>44.4</c:v>
                </c:pt>
                <c:pt idx="26">
                  <c:v>45.4</c:v>
                </c:pt>
                <c:pt idx="27">
                  <c:v>46.3</c:v>
                </c:pt>
                <c:pt idx="28">
                  <c:v>47.2</c:v>
                </c:pt>
                <c:pt idx="29">
                  <c:v>49.3</c:v>
                </c:pt>
                <c:pt idx="30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F8-4B2F-9221-B20A4300229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Elec_Access_base!$AL$106:$BP$106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99.9</c:v>
                </c:pt>
                <c:pt idx="13">
                  <c:v>99.9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F8-4B2F-9221-B20A4300229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Elec_Access_base!$AL$107:$BP$107</c:f>
              <c:numCache>
                <c:formatCode>General</c:formatCode>
                <c:ptCount val="31"/>
                <c:pt idx="7">
                  <c:v>84.551420039195335</c:v>
                </c:pt>
                <c:pt idx="8">
                  <c:v>85.260545288029519</c:v>
                </c:pt>
                <c:pt idx="9">
                  <c:v>85.598361383749818</c:v>
                </c:pt>
                <c:pt idx="10">
                  <c:v>86.55819569022718</c:v>
                </c:pt>
                <c:pt idx="11">
                  <c:v>86.718490542475323</c:v>
                </c:pt>
                <c:pt idx="12">
                  <c:v>87.733322756668755</c:v>
                </c:pt>
                <c:pt idx="13">
                  <c:v>88.168089146625363</c:v>
                </c:pt>
                <c:pt idx="14">
                  <c:v>89.324212163893165</c:v>
                </c:pt>
                <c:pt idx="15">
                  <c:v>90.166529400894788</c:v>
                </c:pt>
                <c:pt idx="16">
                  <c:v>90.673176233291159</c:v>
                </c:pt>
                <c:pt idx="17">
                  <c:v>91.454057140759559</c:v>
                </c:pt>
                <c:pt idx="18">
                  <c:v>92.508495617541669</c:v>
                </c:pt>
                <c:pt idx="19">
                  <c:v>92.769211926387783</c:v>
                </c:pt>
                <c:pt idx="20">
                  <c:v>93.782132708479139</c:v>
                </c:pt>
                <c:pt idx="21">
                  <c:v>94.424010343468566</c:v>
                </c:pt>
                <c:pt idx="22">
                  <c:v>95.176959424091748</c:v>
                </c:pt>
                <c:pt idx="23">
                  <c:v>95.836532216849889</c:v>
                </c:pt>
                <c:pt idx="24">
                  <c:v>96.604214852008482</c:v>
                </c:pt>
                <c:pt idx="25">
                  <c:v>97.749965389821611</c:v>
                </c:pt>
                <c:pt idx="26">
                  <c:v>97.877324817405253</c:v>
                </c:pt>
                <c:pt idx="27">
                  <c:v>98.057196288285866</c:v>
                </c:pt>
                <c:pt idx="28">
                  <c:v>99.109475232608801</c:v>
                </c:pt>
                <c:pt idx="29">
                  <c:v>98.968725687628023</c:v>
                </c:pt>
                <c:pt idx="30">
                  <c:v>99.088645099492012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F8-4B2F-9221-B20A4300229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Elec_Access_base!$AL$108:$BP$108</c:f>
              <c:numCache>
                <c:formatCode>General</c:formatCode>
                <c:ptCount val="31"/>
                <c:pt idx="7">
                  <c:v>73.965437250865875</c:v>
                </c:pt>
                <c:pt idx="8">
                  <c:v>74.588359845761815</c:v>
                </c:pt>
                <c:pt idx="9">
                  <c:v>75.0793291008235</c:v>
                </c:pt>
                <c:pt idx="10">
                  <c:v>76.134644740906381</c:v>
                </c:pt>
                <c:pt idx="11">
                  <c:v>76.144453608049488</c:v>
                </c:pt>
                <c:pt idx="12">
                  <c:v>77.059769000974626</c:v>
                </c:pt>
                <c:pt idx="13">
                  <c:v>77.855226654622783</c:v>
                </c:pt>
                <c:pt idx="14">
                  <c:v>78.611980691197587</c:v>
                </c:pt>
                <c:pt idx="15">
                  <c:v>79.453318979565893</c:v>
                </c:pt>
                <c:pt idx="16">
                  <c:v>79.950152155281387</c:v>
                </c:pt>
                <c:pt idx="17">
                  <c:v>80.649133058185157</c:v>
                </c:pt>
                <c:pt idx="18">
                  <c:v>81.918910296073818</c:v>
                </c:pt>
                <c:pt idx="19">
                  <c:v>82.435805093571062</c:v>
                </c:pt>
                <c:pt idx="20">
                  <c:v>83.359547774855798</c:v>
                </c:pt>
                <c:pt idx="21">
                  <c:v>83.939807827562461</c:v>
                </c:pt>
                <c:pt idx="22">
                  <c:v>84.802454487893598</c:v>
                </c:pt>
                <c:pt idx="23">
                  <c:v>86.198372312667559</c:v>
                </c:pt>
                <c:pt idx="24">
                  <c:v>87.178509735569932</c:v>
                </c:pt>
                <c:pt idx="25">
                  <c:v>88.203442200669414</c:v>
                </c:pt>
                <c:pt idx="26">
                  <c:v>88.572280636660665</c:v>
                </c:pt>
                <c:pt idx="27">
                  <c:v>88.912152428199548</c:v>
                </c:pt>
                <c:pt idx="28">
                  <c:v>90.020451108097745</c:v>
                </c:pt>
                <c:pt idx="29">
                  <c:v>89.961861455292734</c:v>
                </c:pt>
                <c:pt idx="30">
                  <c:v>90.315108914403311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F8-4B2F-9221-B20A4300229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Elec_Access_base!$AL$109:$BP$109</c:f>
              <c:numCache>
                <c:formatCode>General</c:formatCode>
                <c:ptCount val="31"/>
                <c:pt idx="5">
                  <c:v>36.946980560784517</c:v>
                </c:pt>
                <c:pt idx="6">
                  <c:v>38.337782452806977</c:v>
                </c:pt>
                <c:pt idx="7">
                  <c:v>36.362857158658848</c:v>
                </c:pt>
                <c:pt idx="8">
                  <c:v>37.142264025294004</c:v>
                </c:pt>
                <c:pt idx="9">
                  <c:v>38.683657675057312</c:v>
                </c:pt>
                <c:pt idx="10">
                  <c:v>40.537039021966777</c:v>
                </c:pt>
                <c:pt idx="11">
                  <c:v>40.488119366039733</c:v>
                </c:pt>
                <c:pt idx="12">
                  <c:v>41.522430010005309</c:v>
                </c:pt>
                <c:pt idx="13">
                  <c:v>43.969170038537413</c:v>
                </c:pt>
                <c:pt idx="14">
                  <c:v>44.210915167277165</c:v>
                </c:pt>
                <c:pt idx="15">
                  <c:v>45.516681728267173</c:v>
                </c:pt>
                <c:pt idx="16">
                  <c:v>46.430338778000767</c:v>
                </c:pt>
                <c:pt idx="17">
                  <c:v>47.315587567975527</c:v>
                </c:pt>
                <c:pt idx="18">
                  <c:v>49.662114210740491</c:v>
                </c:pt>
                <c:pt idx="19">
                  <c:v>51.318949556050619</c:v>
                </c:pt>
                <c:pt idx="20">
                  <c:v>52.281730355199507</c:v>
                </c:pt>
                <c:pt idx="21">
                  <c:v>53.000578458485329</c:v>
                </c:pt>
                <c:pt idx="22">
                  <c:v>54.522399449380913</c:v>
                </c:pt>
                <c:pt idx="23">
                  <c:v>58.39487610486637</c:v>
                </c:pt>
                <c:pt idx="24">
                  <c:v>60.317935543241255</c:v>
                </c:pt>
                <c:pt idx="25">
                  <c:v>61.354448837086814</c:v>
                </c:pt>
                <c:pt idx="26">
                  <c:v>62.769644320149027</c:v>
                </c:pt>
                <c:pt idx="27">
                  <c:v>63.937074359376879</c:v>
                </c:pt>
                <c:pt idx="28">
                  <c:v>65.598211852634989</c:v>
                </c:pt>
                <c:pt idx="29">
                  <c:v>66.156904333555758</c:v>
                </c:pt>
                <c:pt idx="30">
                  <c:v>67.501493782886797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F8-4B2F-9221-B20A43002293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Elec_Access_base!$AL$110:$BP$110</c:f>
              <c:numCache>
                <c:formatCode>General</c:formatCode>
                <c:ptCount val="31"/>
                <c:pt idx="5">
                  <c:v>54.159310521688511</c:v>
                </c:pt>
                <c:pt idx="6">
                  <c:v>55.455819920573795</c:v>
                </c:pt>
                <c:pt idx="7">
                  <c:v>55.648110796612201</c:v>
                </c:pt>
                <c:pt idx="8">
                  <c:v>56.707898850050022</c:v>
                </c:pt>
                <c:pt idx="9">
                  <c:v>57.418213504278761</c:v>
                </c:pt>
                <c:pt idx="10">
                  <c:v>60.095281651132801</c:v>
                </c:pt>
                <c:pt idx="11">
                  <c:v>59.143274246878903</c:v>
                </c:pt>
                <c:pt idx="12">
                  <c:v>60.224211282843406</c:v>
                </c:pt>
                <c:pt idx="13">
                  <c:v>61.12698262232243</c:v>
                </c:pt>
                <c:pt idx="14">
                  <c:v>62.304314841416769</c:v>
                </c:pt>
                <c:pt idx="15">
                  <c:v>63.330939154909892</c:v>
                </c:pt>
                <c:pt idx="16">
                  <c:v>63.115541656224153</c:v>
                </c:pt>
                <c:pt idx="17">
                  <c:v>63.954748645589085</c:v>
                </c:pt>
                <c:pt idx="18">
                  <c:v>68.04984867830305</c:v>
                </c:pt>
                <c:pt idx="19">
                  <c:v>67.753428275176333</c:v>
                </c:pt>
                <c:pt idx="20">
                  <c:v>69.201284903933541</c:v>
                </c:pt>
                <c:pt idx="21">
                  <c:v>68.474990117402768</c:v>
                </c:pt>
                <c:pt idx="22">
                  <c:v>68.786832494063106</c:v>
                </c:pt>
                <c:pt idx="23">
                  <c:v>72.546034914171898</c:v>
                </c:pt>
                <c:pt idx="24">
                  <c:v>71.646613733255919</c:v>
                </c:pt>
                <c:pt idx="25">
                  <c:v>73.151878223368996</c:v>
                </c:pt>
                <c:pt idx="26">
                  <c:v>73.908908808971219</c:v>
                </c:pt>
                <c:pt idx="27">
                  <c:v>74.492462198968198</c:v>
                </c:pt>
                <c:pt idx="28">
                  <c:v>76.469887325023848</c:v>
                </c:pt>
                <c:pt idx="29">
                  <c:v>77.072132496506697</c:v>
                </c:pt>
                <c:pt idx="30">
                  <c:v>77.920134375695383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F8-4B2F-9221-B20A43002293}"/>
            </c:ext>
          </c:extLst>
        </c:ser>
        <c:ser>
          <c:idx val="9"/>
          <c:order val="9"/>
          <c:tx>
            <c:strRef>
              <c:f>Elec_Access_base!$A$111</c:f>
              <c:strCache>
                <c:ptCount val="1"/>
                <c:pt idx="0">
                  <c:v>Indonesia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Elec_Access_base!$AL$111:$BP$111</c:f>
              <c:numCache>
                <c:formatCode>General</c:formatCode>
                <c:ptCount val="31"/>
                <c:pt idx="0">
                  <c:v>55.43</c:v>
                </c:pt>
                <c:pt idx="1">
                  <c:v>62.8</c:v>
                </c:pt>
                <c:pt idx="2">
                  <c:v>66.86</c:v>
                </c:pt>
                <c:pt idx="3">
                  <c:v>72.39</c:v>
                </c:pt>
                <c:pt idx="4">
                  <c:v>80.3</c:v>
                </c:pt>
                <c:pt idx="5">
                  <c:v>80.94</c:v>
                </c:pt>
                <c:pt idx="6">
                  <c:v>83.73</c:v>
                </c:pt>
                <c:pt idx="7">
                  <c:v>86.3</c:v>
                </c:pt>
                <c:pt idx="8">
                  <c:v>86.3</c:v>
                </c:pt>
                <c:pt idx="9">
                  <c:v>87.6</c:v>
                </c:pt>
                <c:pt idx="10">
                  <c:v>87.9</c:v>
                </c:pt>
                <c:pt idx="11">
                  <c:v>89</c:v>
                </c:pt>
                <c:pt idx="12">
                  <c:v>84.8</c:v>
                </c:pt>
                <c:pt idx="13">
                  <c:v>90.6</c:v>
                </c:pt>
                <c:pt idx="14">
                  <c:v>91.1</c:v>
                </c:pt>
                <c:pt idx="15">
                  <c:v>92.7</c:v>
                </c:pt>
                <c:pt idx="16">
                  <c:v>93.6</c:v>
                </c:pt>
                <c:pt idx="17">
                  <c:v>94.2</c:v>
                </c:pt>
                <c:pt idx="18">
                  <c:v>94.8</c:v>
                </c:pt>
                <c:pt idx="19">
                  <c:v>96</c:v>
                </c:pt>
                <c:pt idx="20">
                  <c:v>96.5</c:v>
                </c:pt>
                <c:pt idx="21">
                  <c:v>97</c:v>
                </c:pt>
                <c:pt idx="22">
                  <c:v>97.5</c:v>
                </c:pt>
                <c:pt idx="23">
                  <c:v>97.6</c:v>
                </c:pt>
                <c:pt idx="24">
                  <c:v>98.1</c:v>
                </c:pt>
                <c:pt idx="25">
                  <c:v>98.5</c:v>
                </c:pt>
                <c:pt idx="26">
                  <c:v>98.9</c:v>
                </c:pt>
                <c:pt idx="27">
                  <c:v>97</c:v>
                </c:pt>
                <c:pt idx="28">
                  <c:v>99.2</c:v>
                </c:pt>
                <c:pt idx="29">
                  <c:v>100</c:v>
                </c:pt>
                <c:pt idx="30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F8-4B2F-9221-B20A43002293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Elec_Access_base!$AL$112:$BP$112</c:f>
              <c:numCache>
                <c:formatCode>General</c:formatCode>
                <c:ptCount val="31"/>
                <c:pt idx="7">
                  <c:v>25.911552326283303</c:v>
                </c:pt>
                <c:pt idx="8">
                  <c:v>26.503365515603221</c:v>
                </c:pt>
                <c:pt idx="9">
                  <c:v>28.501568921188781</c:v>
                </c:pt>
                <c:pt idx="10">
                  <c:v>29.898463854245339</c:v>
                </c:pt>
                <c:pt idx="11">
                  <c:v>30.318782034672253</c:v>
                </c:pt>
                <c:pt idx="12">
                  <c:v>31.306662041874532</c:v>
                </c:pt>
                <c:pt idx="13">
                  <c:v>34.58069854693408</c:v>
                </c:pt>
                <c:pt idx="14">
                  <c:v>34.416894260371144</c:v>
                </c:pt>
                <c:pt idx="15">
                  <c:v>35.839153133687368</c:v>
                </c:pt>
                <c:pt idx="16">
                  <c:v>37.335127271670117</c:v>
                </c:pt>
                <c:pt idx="17">
                  <c:v>38.216364564041399</c:v>
                </c:pt>
                <c:pt idx="18">
                  <c:v>39.586572964430523</c:v>
                </c:pt>
                <c:pt idx="19">
                  <c:v>42.308029151004376</c:v>
                </c:pt>
                <c:pt idx="20">
                  <c:v>42.997938461142745</c:v>
                </c:pt>
                <c:pt idx="21">
                  <c:v>44.511896697903282</c:v>
                </c:pt>
                <c:pt idx="22">
                  <c:v>46.705998397654028</c:v>
                </c:pt>
                <c:pt idx="23">
                  <c:v>50.660226481362322</c:v>
                </c:pt>
                <c:pt idx="24">
                  <c:v>54.142724095253385</c:v>
                </c:pt>
                <c:pt idx="25">
                  <c:v>54.941273906369538</c:v>
                </c:pt>
                <c:pt idx="26">
                  <c:v>56.734623782157975</c:v>
                </c:pt>
                <c:pt idx="27">
                  <c:v>58.236518846734597</c:v>
                </c:pt>
                <c:pt idx="28">
                  <c:v>59.741160065960834</c:v>
                </c:pt>
                <c:pt idx="29">
                  <c:v>60.290135879405945</c:v>
                </c:pt>
                <c:pt idx="30">
                  <c:v>61.920192118908432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DF8-4B2F-9221-B20A43002293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Elec_Access_base!$AL$113:$BP$113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DF8-4B2F-9221-B20A43002293}"/>
            </c:ext>
          </c:extLst>
        </c:ser>
        <c:ser>
          <c:idx val="12"/>
          <c:order val="12"/>
          <c:tx>
            <c:strRef>
              <c:f>Elec_Access_base!$A$114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Elec_Access_base!$AL$114:$BP$114</c:f>
              <c:numCache>
                <c:formatCode>General</c:formatCode>
                <c:ptCount val="31"/>
                <c:pt idx="0">
                  <c:v>50.9</c:v>
                </c:pt>
                <c:pt idx="1">
                  <c:v>49.811309814453097</c:v>
                </c:pt>
                <c:pt idx="2">
                  <c:v>51.408775329589801</c:v>
                </c:pt>
                <c:pt idx="3">
                  <c:v>53.0035209655762</c:v>
                </c:pt>
                <c:pt idx="4">
                  <c:v>54.594863891601598</c:v>
                </c:pt>
                <c:pt idx="5">
                  <c:v>56.182132720947301</c:v>
                </c:pt>
                <c:pt idx="6">
                  <c:v>60.1</c:v>
                </c:pt>
                <c:pt idx="7">
                  <c:v>60.3</c:v>
                </c:pt>
                <c:pt idx="8">
                  <c:v>62</c:v>
                </c:pt>
                <c:pt idx="9">
                  <c:v>62.3</c:v>
                </c:pt>
                <c:pt idx="10">
                  <c:v>65.400000000000006</c:v>
                </c:pt>
                <c:pt idx="11">
                  <c:v>64.400000000000006</c:v>
                </c:pt>
                <c:pt idx="12">
                  <c:v>68.8</c:v>
                </c:pt>
                <c:pt idx="13">
                  <c:v>67.900000000000006</c:v>
                </c:pt>
                <c:pt idx="14">
                  <c:v>72.3</c:v>
                </c:pt>
                <c:pt idx="15">
                  <c:v>74.099999999999994</c:v>
                </c:pt>
                <c:pt idx="16">
                  <c:v>75</c:v>
                </c:pt>
                <c:pt idx="17">
                  <c:v>76.3</c:v>
                </c:pt>
                <c:pt idx="18">
                  <c:v>79.5</c:v>
                </c:pt>
                <c:pt idx="19">
                  <c:v>79.900000000000006</c:v>
                </c:pt>
                <c:pt idx="20">
                  <c:v>83.1</c:v>
                </c:pt>
                <c:pt idx="21">
                  <c:v>85.1</c:v>
                </c:pt>
                <c:pt idx="22">
                  <c:v>88</c:v>
                </c:pt>
                <c:pt idx="23">
                  <c:v>89.6</c:v>
                </c:pt>
                <c:pt idx="24">
                  <c:v>91.8</c:v>
                </c:pt>
                <c:pt idx="25">
                  <c:v>95.7</c:v>
                </c:pt>
                <c:pt idx="26">
                  <c:v>95.9</c:v>
                </c:pt>
                <c:pt idx="27">
                  <c:v>96.5</c:v>
                </c:pt>
                <c:pt idx="28">
                  <c:v>99.6</c:v>
                </c:pt>
                <c:pt idx="29">
                  <c:v>99.2</c:v>
                </c:pt>
                <c:pt idx="30">
                  <c:v>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DF8-4B2F-9221-B20A43002293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Elec_Access_base!$AL$115:$BP$115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DF8-4B2F-9221-B20A43002293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Elec_Access_base!$AL$116:$BP$116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DF8-4B2F-9221-B20A43002293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Elec_Access_base!$AL$117:$BP$117</c:f>
              <c:numCache>
                <c:formatCode>General</c:formatCode>
                <c:ptCount val="31"/>
                <c:pt idx="7">
                  <c:v>97.9</c:v>
                </c:pt>
                <c:pt idx="8">
                  <c:v>98.1</c:v>
                </c:pt>
                <c:pt idx="9">
                  <c:v>98.1</c:v>
                </c:pt>
                <c:pt idx="10">
                  <c:v>98.2</c:v>
                </c:pt>
                <c:pt idx="11">
                  <c:v>98.3</c:v>
                </c:pt>
                <c:pt idx="12">
                  <c:v>98.4</c:v>
                </c:pt>
                <c:pt idx="13">
                  <c:v>98.4</c:v>
                </c:pt>
                <c:pt idx="14">
                  <c:v>98.7</c:v>
                </c:pt>
                <c:pt idx="15">
                  <c:v>98.8</c:v>
                </c:pt>
                <c:pt idx="16">
                  <c:v>99.7</c:v>
                </c:pt>
                <c:pt idx="17">
                  <c:v>99.4</c:v>
                </c:pt>
                <c:pt idx="18">
                  <c:v>99.5</c:v>
                </c:pt>
                <c:pt idx="19">
                  <c:v>99.5</c:v>
                </c:pt>
                <c:pt idx="20">
                  <c:v>99.8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99.9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DF8-4B2F-9221-B20A43002293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Elec_Access_base!$AL$118:$BP$118</c:f>
              <c:numCache>
                <c:formatCode>General</c:formatCode>
                <c:ptCount val="31"/>
                <c:pt idx="7">
                  <c:v>96.8</c:v>
                </c:pt>
                <c:pt idx="8">
                  <c:v>96.9</c:v>
                </c:pt>
                <c:pt idx="9">
                  <c:v>97.1</c:v>
                </c:pt>
                <c:pt idx="10">
                  <c:v>97.2</c:v>
                </c:pt>
                <c:pt idx="11">
                  <c:v>97.3</c:v>
                </c:pt>
                <c:pt idx="12">
                  <c:v>97.4</c:v>
                </c:pt>
                <c:pt idx="13">
                  <c:v>97.6</c:v>
                </c:pt>
                <c:pt idx="14">
                  <c:v>98.1</c:v>
                </c:pt>
                <c:pt idx="15">
                  <c:v>97.9</c:v>
                </c:pt>
                <c:pt idx="16">
                  <c:v>98.1</c:v>
                </c:pt>
                <c:pt idx="17">
                  <c:v>98.4</c:v>
                </c:pt>
                <c:pt idx="18">
                  <c:v>98</c:v>
                </c:pt>
                <c:pt idx="19">
                  <c:v>99.3</c:v>
                </c:pt>
                <c:pt idx="20">
                  <c:v>99</c:v>
                </c:pt>
                <c:pt idx="21">
                  <c:v>99.2</c:v>
                </c:pt>
                <c:pt idx="22">
                  <c:v>99.4</c:v>
                </c:pt>
                <c:pt idx="23">
                  <c:v>99.7</c:v>
                </c:pt>
                <c:pt idx="24">
                  <c:v>99.9</c:v>
                </c:pt>
                <c:pt idx="25">
                  <c:v>99.9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DF8-4B2F-9221-B20A43002293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Elec_Access_base!$AL$119:$BP$119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DF8-4B2F-9221-B20A43002293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Elec_Access_base!$AL$120:$BP$120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DF8-4B2F-9221-B20A43002293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Elec_Access_base!$AL$121:$BP$121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DF8-4B2F-9221-B20A43002293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Elec_Access_base!$AL$122:$BP$122</c:f>
              <c:numCache>
                <c:formatCode>General</c:formatCode>
                <c:ptCount val="31"/>
                <c:pt idx="0">
                  <c:v>78.836296081542997</c:v>
                </c:pt>
                <c:pt idx="1">
                  <c:v>79.638313293457003</c:v>
                </c:pt>
                <c:pt idx="2">
                  <c:v>80.438293457031307</c:v>
                </c:pt>
                <c:pt idx="3">
                  <c:v>85.706045000000003</c:v>
                </c:pt>
                <c:pt idx="4">
                  <c:v>82.029403686523395</c:v>
                </c:pt>
                <c:pt idx="5">
                  <c:v>82.819175720214801</c:v>
                </c:pt>
                <c:pt idx="6">
                  <c:v>84.554112000000003</c:v>
                </c:pt>
                <c:pt idx="7">
                  <c:v>84.4</c:v>
                </c:pt>
                <c:pt idx="8">
                  <c:v>87.7</c:v>
                </c:pt>
                <c:pt idx="9">
                  <c:v>86.7</c:v>
                </c:pt>
                <c:pt idx="10">
                  <c:v>86.5</c:v>
                </c:pt>
                <c:pt idx="11">
                  <c:v>87.2</c:v>
                </c:pt>
                <c:pt idx="12">
                  <c:v>88</c:v>
                </c:pt>
                <c:pt idx="13">
                  <c:v>88.7</c:v>
                </c:pt>
                <c:pt idx="14">
                  <c:v>89.4</c:v>
                </c:pt>
                <c:pt idx="15">
                  <c:v>92</c:v>
                </c:pt>
                <c:pt idx="16">
                  <c:v>91</c:v>
                </c:pt>
                <c:pt idx="17">
                  <c:v>92.2</c:v>
                </c:pt>
                <c:pt idx="18">
                  <c:v>91.1</c:v>
                </c:pt>
                <c:pt idx="19">
                  <c:v>93.1</c:v>
                </c:pt>
                <c:pt idx="20">
                  <c:v>93.9</c:v>
                </c:pt>
                <c:pt idx="21">
                  <c:v>93.3</c:v>
                </c:pt>
                <c:pt idx="22">
                  <c:v>94.9</c:v>
                </c:pt>
                <c:pt idx="23">
                  <c:v>96.6</c:v>
                </c:pt>
                <c:pt idx="24">
                  <c:v>97.4</c:v>
                </c:pt>
                <c:pt idx="25">
                  <c:v>98.2</c:v>
                </c:pt>
                <c:pt idx="26">
                  <c:v>98.9</c:v>
                </c:pt>
                <c:pt idx="27">
                  <c:v>99.7</c:v>
                </c:pt>
                <c:pt idx="28">
                  <c:v>100</c:v>
                </c:pt>
                <c:pt idx="29">
                  <c:v>100</c:v>
                </c:pt>
                <c:pt idx="30">
                  <c:v>97.7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DF8-4B2F-9221-B20A43002293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Elec_Access_base!$AL$123:$BP$123</c:f>
              <c:numCache>
                <c:formatCode>General</c:formatCode>
                <c:ptCount val="31"/>
                <c:pt idx="0">
                  <c:v>98.0943603515625</c:v>
                </c:pt>
                <c:pt idx="1">
                  <c:v>98.212501525878906</c:v>
                </c:pt>
                <c:pt idx="2">
                  <c:v>98.328598022460895</c:v>
                </c:pt>
                <c:pt idx="3">
                  <c:v>98.441978454589801</c:v>
                </c:pt>
                <c:pt idx="4">
                  <c:v>98.9</c:v>
                </c:pt>
                <c:pt idx="5">
                  <c:v>98.657852172851605</c:v>
                </c:pt>
                <c:pt idx="6">
                  <c:v>98.7589111328125</c:v>
                </c:pt>
                <c:pt idx="7">
                  <c:v>99</c:v>
                </c:pt>
                <c:pt idx="8">
                  <c:v>99</c:v>
                </c:pt>
                <c:pt idx="9">
                  <c:v>99.5</c:v>
                </c:pt>
                <c:pt idx="10">
                  <c:v>99</c:v>
                </c:pt>
                <c:pt idx="11">
                  <c:v>99.2</c:v>
                </c:pt>
                <c:pt idx="12">
                  <c:v>99</c:v>
                </c:pt>
                <c:pt idx="13">
                  <c:v>100</c:v>
                </c:pt>
                <c:pt idx="14">
                  <c:v>98.8</c:v>
                </c:pt>
                <c:pt idx="15">
                  <c:v>100</c:v>
                </c:pt>
                <c:pt idx="16">
                  <c:v>99.4</c:v>
                </c:pt>
                <c:pt idx="17">
                  <c:v>100</c:v>
                </c:pt>
                <c:pt idx="18">
                  <c:v>99.6</c:v>
                </c:pt>
                <c:pt idx="19">
                  <c:v>99.5</c:v>
                </c:pt>
                <c:pt idx="20">
                  <c:v>99.7</c:v>
                </c:pt>
                <c:pt idx="21">
                  <c:v>99.8</c:v>
                </c:pt>
                <c:pt idx="22">
                  <c:v>99.9</c:v>
                </c:pt>
                <c:pt idx="23">
                  <c:v>100</c:v>
                </c:pt>
                <c:pt idx="24">
                  <c:v>100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DF8-4B2F-9221-B20A43002293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Elec_Access_base!$AL$124:$BP$124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DF8-4B2F-9221-B20A43002293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Elec_Access_base!$AL$125:$BP$125</c:f>
              <c:numCache>
                <c:formatCode>General</c:formatCode>
                <c:ptCount val="31"/>
                <c:pt idx="2">
                  <c:v>99.9</c:v>
                </c:pt>
                <c:pt idx="3">
                  <c:v>99.192115783691406</c:v>
                </c:pt>
                <c:pt idx="4">
                  <c:v>99.269470214843807</c:v>
                </c:pt>
                <c:pt idx="5">
                  <c:v>99.342750549316406</c:v>
                </c:pt>
                <c:pt idx="6">
                  <c:v>97</c:v>
                </c:pt>
                <c:pt idx="7">
                  <c:v>99.6</c:v>
                </c:pt>
                <c:pt idx="8">
                  <c:v>99.7</c:v>
                </c:pt>
                <c:pt idx="9">
                  <c:v>99.8</c:v>
                </c:pt>
                <c:pt idx="10">
                  <c:v>99.9</c:v>
                </c:pt>
                <c:pt idx="11">
                  <c:v>100</c:v>
                </c:pt>
                <c:pt idx="12">
                  <c:v>100</c:v>
                </c:pt>
                <c:pt idx="13">
                  <c:v>99.8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99.8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DF8-4B2F-9221-B20A43002293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Elec_Access_base!$AL$126:$BP$126</c:f>
              <c:numCache>
                <c:formatCode>General</c:formatCode>
                <c:ptCount val="31"/>
                <c:pt idx="0">
                  <c:v>10.9</c:v>
                </c:pt>
                <c:pt idx="1">
                  <c:v>3.4734368324279798</c:v>
                </c:pt>
                <c:pt idx="2">
                  <c:v>5.4273433685302699</c:v>
                </c:pt>
                <c:pt idx="3">
                  <c:v>7.3785305023193404</c:v>
                </c:pt>
                <c:pt idx="4">
                  <c:v>9.3263177871704102</c:v>
                </c:pt>
                <c:pt idx="5">
                  <c:v>14.5</c:v>
                </c:pt>
                <c:pt idx="6">
                  <c:v>13.2088918685913</c:v>
                </c:pt>
                <c:pt idx="7">
                  <c:v>15.2</c:v>
                </c:pt>
                <c:pt idx="8">
                  <c:v>17</c:v>
                </c:pt>
                <c:pt idx="9">
                  <c:v>18.899999999999999</c:v>
                </c:pt>
                <c:pt idx="10">
                  <c:v>16</c:v>
                </c:pt>
                <c:pt idx="11">
                  <c:v>22.6</c:v>
                </c:pt>
                <c:pt idx="12">
                  <c:v>24.5</c:v>
                </c:pt>
                <c:pt idx="13">
                  <c:v>26.4</c:v>
                </c:pt>
                <c:pt idx="14">
                  <c:v>28.3</c:v>
                </c:pt>
                <c:pt idx="15">
                  <c:v>30.3</c:v>
                </c:pt>
                <c:pt idx="16">
                  <c:v>23</c:v>
                </c:pt>
                <c:pt idx="17">
                  <c:v>19.2</c:v>
                </c:pt>
                <c:pt idx="18">
                  <c:v>36.200000000000003</c:v>
                </c:pt>
                <c:pt idx="19">
                  <c:v>38.1</c:v>
                </c:pt>
                <c:pt idx="20">
                  <c:v>40.1</c:v>
                </c:pt>
                <c:pt idx="21">
                  <c:v>36</c:v>
                </c:pt>
                <c:pt idx="22">
                  <c:v>41.6</c:v>
                </c:pt>
                <c:pt idx="23">
                  <c:v>53.1</c:v>
                </c:pt>
                <c:pt idx="24">
                  <c:v>55.8</c:v>
                </c:pt>
                <c:pt idx="25">
                  <c:v>61.2</c:v>
                </c:pt>
                <c:pt idx="26">
                  <c:v>69.7</c:v>
                </c:pt>
                <c:pt idx="27">
                  <c:v>71.5</c:v>
                </c:pt>
                <c:pt idx="28">
                  <c:v>76.5</c:v>
                </c:pt>
                <c:pt idx="29">
                  <c:v>76</c:v>
                </c:pt>
                <c:pt idx="30">
                  <c:v>76.2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DF8-4B2F-9221-B20A43002293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Elec_Access_base!$AL$127:$BP$127</c:f>
              <c:numCache>
                <c:formatCode>General</c:formatCode>
                <c:ptCount val="31"/>
                <c:pt idx="4">
                  <c:v>99.8</c:v>
                </c:pt>
                <c:pt idx="5">
                  <c:v>99.553825378417997</c:v>
                </c:pt>
                <c:pt idx="6">
                  <c:v>99.565582275390597</c:v>
                </c:pt>
                <c:pt idx="7">
                  <c:v>99.6</c:v>
                </c:pt>
                <c:pt idx="8">
                  <c:v>99.5</c:v>
                </c:pt>
                <c:pt idx="9">
                  <c:v>100</c:v>
                </c:pt>
                <c:pt idx="10">
                  <c:v>99.4</c:v>
                </c:pt>
                <c:pt idx="11">
                  <c:v>99.3</c:v>
                </c:pt>
                <c:pt idx="12">
                  <c:v>99.4</c:v>
                </c:pt>
                <c:pt idx="13">
                  <c:v>98.9</c:v>
                </c:pt>
                <c:pt idx="14">
                  <c:v>99.5</c:v>
                </c:pt>
                <c:pt idx="15">
                  <c:v>99.5</c:v>
                </c:pt>
                <c:pt idx="16">
                  <c:v>99.5</c:v>
                </c:pt>
                <c:pt idx="17">
                  <c:v>99</c:v>
                </c:pt>
                <c:pt idx="18">
                  <c:v>98.3</c:v>
                </c:pt>
                <c:pt idx="19">
                  <c:v>99.8</c:v>
                </c:pt>
                <c:pt idx="20">
                  <c:v>98.9</c:v>
                </c:pt>
                <c:pt idx="21">
                  <c:v>99.8</c:v>
                </c:pt>
                <c:pt idx="22">
                  <c:v>98.7</c:v>
                </c:pt>
                <c:pt idx="23">
                  <c:v>99.7</c:v>
                </c:pt>
                <c:pt idx="24">
                  <c:v>100</c:v>
                </c:pt>
                <c:pt idx="25">
                  <c:v>100</c:v>
                </c:pt>
                <c:pt idx="26">
                  <c:v>99.9</c:v>
                </c:pt>
                <c:pt idx="27">
                  <c:v>99.9</c:v>
                </c:pt>
                <c:pt idx="28">
                  <c:v>99.7</c:v>
                </c:pt>
                <c:pt idx="29">
                  <c:v>99.7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DF8-4B2F-9221-B20A43002293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Elec_Access_base!$AL$128:$BP$128</c:f>
              <c:numCache>
                <c:formatCode>General</c:formatCode>
                <c:ptCount val="31"/>
                <c:pt idx="5">
                  <c:v>18.670000000000002</c:v>
                </c:pt>
                <c:pt idx="6">
                  <c:v>8.8200368881225604</c:v>
                </c:pt>
                <c:pt idx="7">
                  <c:v>16.600000000000001</c:v>
                </c:pt>
                <c:pt idx="8">
                  <c:v>9.5</c:v>
                </c:pt>
                <c:pt idx="9">
                  <c:v>13.1</c:v>
                </c:pt>
                <c:pt idx="10">
                  <c:v>19.3</c:v>
                </c:pt>
                <c:pt idx="11">
                  <c:v>14.2</c:v>
                </c:pt>
                <c:pt idx="12">
                  <c:v>20.5</c:v>
                </c:pt>
                <c:pt idx="13">
                  <c:v>27.5</c:v>
                </c:pt>
                <c:pt idx="14">
                  <c:v>20.2</c:v>
                </c:pt>
                <c:pt idx="15">
                  <c:v>26.4</c:v>
                </c:pt>
                <c:pt idx="16">
                  <c:v>25.6</c:v>
                </c:pt>
                <c:pt idx="17">
                  <c:v>31.1</c:v>
                </c:pt>
                <c:pt idx="18">
                  <c:v>37.4</c:v>
                </c:pt>
                <c:pt idx="19">
                  <c:v>42.3</c:v>
                </c:pt>
                <c:pt idx="20">
                  <c:v>50.9</c:v>
                </c:pt>
                <c:pt idx="21">
                  <c:v>56.1</c:v>
                </c:pt>
                <c:pt idx="22">
                  <c:v>62.7</c:v>
                </c:pt>
                <c:pt idx="23">
                  <c:v>68.8</c:v>
                </c:pt>
                <c:pt idx="24">
                  <c:v>89.1</c:v>
                </c:pt>
                <c:pt idx="25">
                  <c:v>80.7</c:v>
                </c:pt>
                <c:pt idx="26">
                  <c:v>84</c:v>
                </c:pt>
                <c:pt idx="27">
                  <c:v>86.4</c:v>
                </c:pt>
                <c:pt idx="28">
                  <c:v>82.5</c:v>
                </c:pt>
                <c:pt idx="29">
                  <c:v>92.3</c:v>
                </c:pt>
                <c:pt idx="30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DF8-4B2F-9221-B20A43002293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Elec_Access_base!$AL$129:$BP$129</c:f>
              <c:numCache>
                <c:formatCode>General</c:formatCode>
                <c:ptCount val="31"/>
                <c:pt idx="7">
                  <c:v>55.6</c:v>
                </c:pt>
                <c:pt idx="8">
                  <c:v>57.3</c:v>
                </c:pt>
                <c:pt idx="9">
                  <c:v>59</c:v>
                </c:pt>
                <c:pt idx="10">
                  <c:v>60.7</c:v>
                </c:pt>
                <c:pt idx="11">
                  <c:v>62.4</c:v>
                </c:pt>
                <c:pt idx="12">
                  <c:v>69.7</c:v>
                </c:pt>
                <c:pt idx="13">
                  <c:v>68.8</c:v>
                </c:pt>
                <c:pt idx="14">
                  <c:v>67.7</c:v>
                </c:pt>
                <c:pt idx="15">
                  <c:v>69.400000000000006</c:v>
                </c:pt>
                <c:pt idx="16">
                  <c:v>64.2</c:v>
                </c:pt>
                <c:pt idx="17">
                  <c:v>63.2</c:v>
                </c:pt>
                <c:pt idx="18">
                  <c:v>74.900000000000006</c:v>
                </c:pt>
                <c:pt idx="19">
                  <c:v>76.7</c:v>
                </c:pt>
                <c:pt idx="20">
                  <c:v>78.8</c:v>
                </c:pt>
                <c:pt idx="21">
                  <c:v>83.4</c:v>
                </c:pt>
                <c:pt idx="22">
                  <c:v>90.6</c:v>
                </c:pt>
                <c:pt idx="23">
                  <c:v>92.6</c:v>
                </c:pt>
                <c:pt idx="24">
                  <c:v>85.7</c:v>
                </c:pt>
                <c:pt idx="25">
                  <c:v>87.5</c:v>
                </c:pt>
                <c:pt idx="26">
                  <c:v>89.3</c:v>
                </c:pt>
                <c:pt idx="27">
                  <c:v>91</c:v>
                </c:pt>
                <c:pt idx="28">
                  <c:v>92.8</c:v>
                </c:pt>
                <c:pt idx="29">
                  <c:v>94.4</c:v>
                </c:pt>
                <c:pt idx="30">
                  <c:v>95.9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DF8-4B2F-9221-B20A43002293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Elec_Access_base!$AL$130:$BP$130</c:f>
              <c:numCache>
                <c:formatCode>General</c:formatCode>
                <c:ptCount val="31"/>
                <c:pt idx="0">
                  <c:v>92.399002075195298</c:v>
                </c:pt>
                <c:pt idx="1">
                  <c:v>92.761207580566406</c:v>
                </c:pt>
                <c:pt idx="2">
                  <c:v>93.121383666992202</c:v>
                </c:pt>
                <c:pt idx="3">
                  <c:v>93.478836059570298</c:v>
                </c:pt>
                <c:pt idx="4">
                  <c:v>93.8328857421875</c:v>
                </c:pt>
                <c:pt idx="5">
                  <c:v>94.182861328125</c:v>
                </c:pt>
                <c:pt idx="6">
                  <c:v>94.527992248535199</c:v>
                </c:pt>
                <c:pt idx="7">
                  <c:v>95.4</c:v>
                </c:pt>
                <c:pt idx="8">
                  <c:v>93.5</c:v>
                </c:pt>
                <c:pt idx="9">
                  <c:v>95.8</c:v>
                </c:pt>
                <c:pt idx="10">
                  <c:v>96</c:v>
                </c:pt>
                <c:pt idx="11">
                  <c:v>96.3</c:v>
                </c:pt>
                <c:pt idx="12">
                  <c:v>96.5</c:v>
                </c:pt>
                <c:pt idx="13">
                  <c:v>96.7</c:v>
                </c:pt>
                <c:pt idx="14">
                  <c:v>97</c:v>
                </c:pt>
                <c:pt idx="15">
                  <c:v>97.3</c:v>
                </c:pt>
                <c:pt idx="16">
                  <c:v>97.6</c:v>
                </c:pt>
                <c:pt idx="17">
                  <c:v>99.8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DF8-4B2F-9221-B20A43002293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Elec_Access_base!$AL$131:$BP$131</c:f>
              <c:numCache>
                <c:formatCode>General</c:formatCode>
                <c:ptCount val="31"/>
                <c:pt idx="0">
                  <c:v>99.969436645507798</c:v>
                </c:pt>
                <c:pt idx="1">
                  <c:v>99.989120483398395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DF8-4B2F-9221-B20A43002293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Elec_Access_base!$AL$132:$BP$132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DF8-4B2F-9221-B20A43002293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Elec_Access_base!$AL$133:$BP$133</c:f>
              <c:numCache>
                <c:formatCode>General</c:formatCode>
                <c:ptCount val="31"/>
                <c:pt idx="0">
                  <c:v>88.547974438973611</c:v>
                </c:pt>
                <c:pt idx="1">
                  <c:v>89.539742150277092</c:v>
                </c:pt>
                <c:pt idx="2">
                  <c:v>87.73701130659083</c:v>
                </c:pt>
                <c:pt idx="3">
                  <c:v>88.834290145097356</c:v>
                </c:pt>
                <c:pt idx="4">
                  <c:v>89.292967784147493</c:v>
                </c:pt>
                <c:pt idx="5">
                  <c:v>89.956030063098083</c:v>
                </c:pt>
                <c:pt idx="6">
                  <c:v>90.621198195276307</c:v>
                </c:pt>
                <c:pt idx="7">
                  <c:v>91.075293345756876</c:v>
                </c:pt>
                <c:pt idx="8">
                  <c:v>91.690440503015168</c:v>
                </c:pt>
                <c:pt idx="9">
                  <c:v>92.042359667761232</c:v>
                </c:pt>
                <c:pt idx="10">
                  <c:v>92.264552561160158</c:v>
                </c:pt>
                <c:pt idx="11">
                  <c:v>92.689959545234032</c:v>
                </c:pt>
                <c:pt idx="12">
                  <c:v>93.040147021850018</c:v>
                </c:pt>
                <c:pt idx="13">
                  <c:v>93.768506942341901</c:v>
                </c:pt>
                <c:pt idx="14">
                  <c:v>94.066305531029727</c:v>
                </c:pt>
                <c:pt idx="15">
                  <c:v>94.891138972116735</c:v>
                </c:pt>
                <c:pt idx="16">
                  <c:v>95.066055033047789</c:v>
                </c:pt>
                <c:pt idx="17">
                  <c:v>95.565614024175346</c:v>
                </c:pt>
                <c:pt idx="18">
                  <c:v>95.913671996716431</c:v>
                </c:pt>
                <c:pt idx="19">
                  <c:v>96.288238387919279</c:v>
                </c:pt>
                <c:pt idx="20">
                  <c:v>96.627272327495291</c:v>
                </c:pt>
                <c:pt idx="21">
                  <c:v>96.782149387197492</c:v>
                </c:pt>
                <c:pt idx="22">
                  <c:v>97.044484254320707</c:v>
                </c:pt>
                <c:pt idx="23">
                  <c:v>97.278372515273787</c:v>
                </c:pt>
                <c:pt idx="24">
                  <c:v>97.549452000149643</c:v>
                </c:pt>
                <c:pt idx="25">
                  <c:v>97.555023579869427</c:v>
                </c:pt>
                <c:pt idx="26">
                  <c:v>97.832195015339991</c:v>
                </c:pt>
                <c:pt idx="27">
                  <c:v>97.985777482580403</c:v>
                </c:pt>
                <c:pt idx="28">
                  <c:v>98.121087568018325</c:v>
                </c:pt>
                <c:pt idx="29">
                  <c:v>98.462602071621689</c:v>
                </c:pt>
                <c:pt idx="30">
                  <c:v>98.268744342362439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DF8-4B2F-9221-B20A43002293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Elec_Access_base!$AL$134:$BP$134</c:f>
              <c:numCache>
                <c:formatCode>General</c:formatCode>
                <c:ptCount val="31"/>
                <c:pt idx="0">
                  <c:v>31</c:v>
                </c:pt>
                <c:pt idx="1">
                  <c:v>25.605792999267599</c:v>
                </c:pt>
                <c:pt idx="2">
                  <c:v>25</c:v>
                </c:pt>
                <c:pt idx="3">
                  <c:v>31.2476997375488</c:v>
                </c:pt>
                <c:pt idx="4">
                  <c:v>34.063896179199197</c:v>
                </c:pt>
                <c:pt idx="5">
                  <c:v>36.876010894775398</c:v>
                </c:pt>
                <c:pt idx="6">
                  <c:v>39.683284759521499</c:v>
                </c:pt>
                <c:pt idx="7">
                  <c:v>42.6</c:v>
                </c:pt>
                <c:pt idx="8">
                  <c:v>45.3</c:v>
                </c:pt>
                <c:pt idx="9">
                  <c:v>46.3</c:v>
                </c:pt>
                <c:pt idx="10">
                  <c:v>48</c:v>
                </c:pt>
                <c:pt idx="11">
                  <c:v>53.5</c:v>
                </c:pt>
                <c:pt idx="12">
                  <c:v>57.2</c:v>
                </c:pt>
                <c:pt idx="13">
                  <c:v>57</c:v>
                </c:pt>
                <c:pt idx="14">
                  <c:v>55</c:v>
                </c:pt>
                <c:pt idx="15">
                  <c:v>66</c:v>
                </c:pt>
                <c:pt idx="16">
                  <c:v>67.400000000000006</c:v>
                </c:pt>
                <c:pt idx="17">
                  <c:v>70.2</c:v>
                </c:pt>
                <c:pt idx="18">
                  <c:v>70</c:v>
                </c:pt>
                <c:pt idx="19">
                  <c:v>76.400000000000006</c:v>
                </c:pt>
                <c:pt idx="20">
                  <c:v>79.3</c:v>
                </c:pt>
                <c:pt idx="21">
                  <c:v>82.5</c:v>
                </c:pt>
                <c:pt idx="22">
                  <c:v>89.7</c:v>
                </c:pt>
                <c:pt idx="23">
                  <c:v>89</c:v>
                </c:pt>
                <c:pt idx="24">
                  <c:v>93.6</c:v>
                </c:pt>
                <c:pt idx="25">
                  <c:v>92.9</c:v>
                </c:pt>
                <c:pt idx="26">
                  <c:v>98.4</c:v>
                </c:pt>
                <c:pt idx="27">
                  <c:v>99.3</c:v>
                </c:pt>
                <c:pt idx="28">
                  <c:v>100</c:v>
                </c:pt>
                <c:pt idx="29">
                  <c:v>100</c:v>
                </c:pt>
                <c:pt idx="30">
                  <c:v>96.5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DF8-4B2F-9221-B20A43002293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Elec_Access_base!$AL$135:$BP$135</c:f>
              <c:numCache>
                <c:formatCode>General</c:formatCode>
                <c:ptCount val="31"/>
                <c:pt idx="7">
                  <c:v>99.3</c:v>
                </c:pt>
                <c:pt idx="8">
                  <c:v>99.3</c:v>
                </c:pt>
                <c:pt idx="9">
                  <c:v>99.3</c:v>
                </c:pt>
                <c:pt idx="10">
                  <c:v>99.2</c:v>
                </c:pt>
                <c:pt idx="11">
                  <c:v>99.9</c:v>
                </c:pt>
                <c:pt idx="12">
                  <c:v>99.2</c:v>
                </c:pt>
                <c:pt idx="13">
                  <c:v>99.4</c:v>
                </c:pt>
                <c:pt idx="14">
                  <c:v>97.8</c:v>
                </c:pt>
                <c:pt idx="15">
                  <c:v>99.9</c:v>
                </c:pt>
                <c:pt idx="16">
                  <c:v>99.3</c:v>
                </c:pt>
                <c:pt idx="17">
                  <c:v>99.5</c:v>
                </c:pt>
                <c:pt idx="18">
                  <c:v>99.7</c:v>
                </c:pt>
                <c:pt idx="19">
                  <c:v>99.5</c:v>
                </c:pt>
                <c:pt idx="20">
                  <c:v>99.6</c:v>
                </c:pt>
                <c:pt idx="21">
                  <c:v>99.7</c:v>
                </c:pt>
                <c:pt idx="22">
                  <c:v>99.7</c:v>
                </c:pt>
                <c:pt idx="23">
                  <c:v>99.8</c:v>
                </c:pt>
                <c:pt idx="24">
                  <c:v>99.9</c:v>
                </c:pt>
                <c:pt idx="25">
                  <c:v>99.7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DF8-4B2F-9221-B20A43002293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Elec_Access_base!$AL$136:$BP$136</c:f>
              <c:numCache>
                <c:formatCode>General</c:formatCode>
                <c:ptCount val="31"/>
                <c:pt idx="14">
                  <c:v>3</c:v>
                </c:pt>
                <c:pt idx="15">
                  <c:v>1.3</c:v>
                </c:pt>
                <c:pt idx="16">
                  <c:v>1.9</c:v>
                </c:pt>
                <c:pt idx="17">
                  <c:v>5.3</c:v>
                </c:pt>
                <c:pt idx="18">
                  <c:v>4.0999999999999996</c:v>
                </c:pt>
                <c:pt idx="19">
                  <c:v>9.3000000000000007</c:v>
                </c:pt>
                <c:pt idx="20">
                  <c:v>9.8000000000000007</c:v>
                </c:pt>
                <c:pt idx="21">
                  <c:v>9.4</c:v>
                </c:pt>
                <c:pt idx="22">
                  <c:v>15.2</c:v>
                </c:pt>
                <c:pt idx="23">
                  <c:v>17.7</c:v>
                </c:pt>
                <c:pt idx="24">
                  <c:v>24.2</c:v>
                </c:pt>
                <c:pt idx="25">
                  <c:v>22.8</c:v>
                </c:pt>
                <c:pt idx="26">
                  <c:v>23.1</c:v>
                </c:pt>
                <c:pt idx="27">
                  <c:v>27.6</c:v>
                </c:pt>
                <c:pt idx="28">
                  <c:v>29.8</c:v>
                </c:pt>
                <c:pt idx="29">
                  <c:v>31.8</c:v>
                </c:pt>
                <c:pt idx="30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DF8-4B2F-9221-B20A43002293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Elec_Access_base!$AL$137:$BP$137</c:f>
              <c:numCache>
                <c:formatCode>General</c:formatCode>
                <c:ptCount val="31"/>
                <c:pt idx="7">
                  <c:v>99.8</c:v>
                </c:pt>
                <c:pt idx="8">
                  <c:v>96.9</c:v>
                </c:pt>
                <c:pt idx="9">
                  <c:v>95.2</c:v>
                </c:pt>
                <c:pt idx="10">
                  <c:v>93.5</c:v>
                </c:pt>
                <c:pt idx="11">
                  <c:v>91.8</c:v>
                </c:pt>
                <c:pt idx="12">
                  <c:v>90.1</c:v>
                </c:pt>
                <c:pt idx="13">
                  <c:v>88.4</c:v>
                </c:pt>
                <c:pt idx="14">
                  <c:v>86.8</c:v>
                </c:pt>
                <c:pt idx="15">
                  <c:v>85.1</c:v>
                </c:pt>
                <c:pt idx="16">
                  <c:v>83.5</c:v>
                </c:pt>
                <c:pt idx="17">
                  <c:v>81.900000000000006</c:v>
                </c:pt>
                <c:pt idx="18">
                  <c:v>80.3</c:v>
                </c:pt>
                <c:pt idx="19">
                  <c:v>78.7</c:v>
                </c:pt>
                <c:pt idx="20">
                  <c:v>77.099999999999994</c:v>
                </c:pt>
                <c:pt idx="21">
                  <c:v>75.5</c:v>
                </c:pt>
                <c:pt idx="22">
                  <c:v>73.8</c:v>
                </c:pt>
                <c:pt idx="23">
                  <c:v>72.2</c:v>
                </c:pt>
                <c:pt idx="24">
                  <c:v>70.599999999999994</c:v>
                </c:pt>
                <c:pt idx="25">
                  <c:v>67</c:v>
                </c:pt>
                <c:pt idx="26">
                  <c:v>68.5</c:v>
                </c:pt>
                <c:pt idx="27">
                  <c:v>69.400000000000006</c:v>
                </c:pt>
                <c:pt idx="28">
                  <c:v>70.2</c:v>
                </c:pt>
                <c:pt idx="29">
                  <c:v>70</c:v>
                </c:pt>
                <c:pt idx="30">
                  <c:v>73.2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DF8-4B2F-9221-B20A43002293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Elec_Access_base!$AL$138:$BP$138</c:f>
              <c:numCache>
                <c:formatCode>General</c:formatCode>
                <c:ptCount val="31"/>
                <c:pt idx="7">
                  <c:v>86</c:v>
                </c:pt>
                <c:pt idx="8">
                  <c:v>89.9</c:v>
                </c:pt>
                <c:pt idx="9">
                  <c:v>87.7</c:v>
                </c:pt>
                <c:pt idx="10">
                  <c:v>88.5</c:v>
                </c:pt>
                <c:pt idx="11">
                  <c:v>89.3</c:v>
                </c:pt>
                <c:pt idx="12">
                  <c:v>90.1</c:v>
                </c:pt>
                <c:pt idx="13">
                  <c:v>90.9</c:v>
                </c:pt>
                <c:pt idx="14">
                  <c:v>91.8</c:v>
                </c:pt>
                <c:pt idx="15">
                  <c:v>92.7</c:v>
                </c:pt>
                <c:pt idx="16">
                  <c:v>93.5</c:v>
                </c:pt>
                <c:pt idx="17">
                  <c:v>94.2</c:v>
                </c:pt>
                <c:pt idx="18">
                  <c:v>95.4</c:v>
                </c:pt>
                <c:pt idx="19">
                  <c:v>95.3</c:v>
                </c:pt>
                <c:pt idx="20">
                  <c:v>97.2</c:v>
                </c:pt>
                <c:pt idx="21">
                  <c:v>98.1</c:v>
                </c:pt>
                <c:pt idx="22">
                  <c:v>99</c:v>
                </c:pt>
                <c:pt idx="23">
                  <c:v>99.8</c:v>
                </c:pt>
                <c:pt idx="24">
                  <c:v>99.9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DF8-4B2F-9221-B20A43002293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Elec_Access_base!$AL$139:$BP$139</c:f>
              <c:numCache>
                <c:formatCode>General</c:formatCode>
                <c:ptCount val="31"/>
                <c:pt idx="0">
                  <c:v>89.343452335519032</c:v>
                </c:pt>
                <c:pt idx="1">
                  <c:v>90.241013703307772</c:v>
                </c:pt>
                <c:pt idx="2">
                  <c:v>88.621263596698071</c:v>
                </c:pt>
                <c:pt idx="3">
                  <c:v>89.576268844563799</c:v>
                </c:pt>
                <c:pt idx="4">
                  <c:v>90.030900876532783</c:v>
                </c:pt>
                <c:pt idx="5">
                  <c:v>90.648251905524802</c:v>
                </c:pt>
                <c:pt idx="6">
                  <c:v>91.25763829487218</c:v>
                </c:pt>
                <c:pt idx="7">
                  <c:v>91.736086427756618</c:v>
                </c:pt>
                <c:pt idx="8">
                  <c:v>92.332550773397557</c:v>
                </c:pt>
                <c:pt idx="9">
                  <c:v>92.655446118844978</c:v>
                </c:pt>
                <c:pt idx="10">
                  <c:v>92.738408833458166</c:v>
                </c:pt>
                <c:pt idx="11">
                  <c:v>93.219141010335591</c:v>
                </c:pt>
                <c:pt idx="12">
                  <c:v>93.522744236308355</c:v>
                </c:pt>
                <c:pt idx="13">
                  <c:v>94.259334622501271</c:v>
                </c:pt>
                <c:pt idx="14">
                  <c:v>94.476542195932339</c:v>
                </c:pt>
                <c:pt idx="15">
                  <c:v>95.223080828900891</c:v>
                </c:pt>
                <c:pt idx="16">
                  <c:v>95.426662402836911</c:v>
                </c:pt>
                <c:pt idx="17">
                  <c:v>95.879004910919093</c:v>
                </c:pt>
                <c:pt idx="18">
                  <c:v>96.184103120050835</c:v>
                </c:pt>
                <c:pt idx="19">
                  <c:v>96.569234553016017</c:v>
                </c:pt>
                <c:pt idx="20">
                  <c:v>96.864682228680479</c:v>
                </c:pt>
                <c:pt idx="21">
                  <c:v>97.054025417086137</c:v>
                </c:pt>
                <c:pt idx="22">
                  <c:v>97.284727607431378</c:v>
                </c:pt>
                <c:pt idx="23">
                  <c:v>97.478382134228724</c:v>
                </c:pt>
                <c:pt idx="24">
                  <c:v>97.710599217417695</c:v>
                </c:pt>
                <c:pt idx="25">
                  <c:v>97.75671520799095</c:v>
                </c:pt>
                <c:pt idx="26">
                  <c:v>97.998211387048471</c:v>
                </c:pt>
                <c:pt idx="27">
                  <c:v>98.149992759307523</c:v>
                </c:pt>
                <c:pt idx="28">
                  <c:v>98.27562636709753</c:v>
                </c:pt>
                <c:pt idx="29">
                  <c:v>98.578871365658856</c:v>
                </c:pt>
                <c:pt idx="30">
                  <c:v>98.422620474839647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DF8-4B2F-9221-B20A43002293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Elec_Access_base!$AL$140:$BP$140</c:f>
              <c:numCache>
                <c:formatCode>General</c:formatCode>
                <c:ptCount val="31"/>
                <c:pt idx="7">
                  <c:v>20.228054244719146</c:v>
                </c:pt>
                <c:pt idx="8">
                  <c:v>20.997755401722692</c:v>
                </c:pt>
                <c:pt idx="9">
                  <c:v>22.98180791258352</c:v>
                </c:pt>
                <c:pt idx="10">
                  <c:v>24.519923826863931</c:v>
                </c:pt>
                <c:pt idx="11">
                  <c:v>24.909719415298518</c:v>
                </c:pt>
                <c:pt idx="12">
                  <c:v>26.271180746356102</c:v>
                </c:pt>
                <c:pt idx="13">
                  <c:v>29.139392423505765</c:v>
                </c:pt>
                <c:pt idx="14">
                  <c:v>29.352471209981996</c:v>
                </c:pt>
                <c:pt idx="15">
                  <c:v>30.741293806780494</c:v>
                </c:pt>
                <c:pt idx="16">
                  <c:v>32.144430624864917</c:v>
                </c:pt>
                <c:pt idx="17">
                  <c:v>33.016452287558543</c:v>
                </c:pt>
                <c:pt idx="18">
                  <c:v>34.499177768677242</c:v>
                </c:pt>
                <c:pt idx="19">
                  <c:v>37.823243478299432</c:v>
                </c:pt>
                <c:pt idx="20">
                  <c:v>38.230624532696488</c:v>
                </c:pt>
                <c:pt idx="21">
                  <c:v>39.48782347724768</c:v>
                </c:pt>
                <c:pt idx="22">
                  <c:v>42.312728127497742</c:v>
                </c:pt>
                <c:pt idx="23">
                  <c:v>46.345833242944174</c:v>
                </c:pt>
                <c:pt idx="24">
                  <c:v>50.20449408687351</c:v>
                </c:pt>
                <c:pt idx="25">
                  <c:v>51.087420260040105</c:v>
                </c:pt>
                <c:pt idx="26">
                  <c:v>52.878712266240484</c:v>
                </c:pt>
                <c:pt idx="27">
                  <c:v>54.473684014626414</c:v>
                </c:pt>
                <c:pt idx="28">
                  <c:v>56.105537355346087</c:v>
                </c:pt>
                <c:pt idx="29">
                  <c:v>56.738312928479573</c:v>
                </c:pt>
                <c:pt idx="30">
                  <c:v>58.434145296604889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DF8-4B2F-9221-B20A43002293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Elec_Access_base!$AL$141:$BP$141</c:f>
              <c:numCache>
                <c:formatCode>General</c:formatCode>
                <c:ptCount val="31"/>
                <c:pt idx="7">
                  <c:v>16.631872272007953</c:v>
                </c:pt>
                <c:pt idx="8">
                  <c:v>18.161562560991722</c:v>
                </c:pt>
                <c:pt idx="9">
                  <c:v>18.61813699878309</c:v>
                </c:pt>
                <c:pt idx="10">
                  <c:v>20.366125389985427</c:v>
                </c:pt>
                <c:pt idx="11">
                  <c:v>20.95815976022514</c:v>
                </c:pt>
                <c:pt idx="12">
                  <c:v>20.922571526067323</c:v>
                </c:pt>
                <c:pt idx="13">
                  <c:v>22.95226398675754</c:v>
                </c:pt>
                <c:pt idx="14">
                  <c:v>24.418321663645894</c:v>
                </c:pt>
                <c:pt idx="15">
                  <c:v>23.444731878401885</c:v>
                </c:pt>
                <c:pt idx="16">
                  <c:v>24.958448059972291</c:v>
                </c:pt>
                <c:pt idx="17">
                  <c:v>26.447137199646647</c:v>
                </c:pt>
                <c:pt idx="18">
                  <c:v>27.666409468700351</c:v>
                </c:pt>
                <c:pt idx="19">
                  <c:v>30.077646650454813</c:v>
                </c:pt>
                <c:pt idx="20">
                  <c:v>31.07253971390293</c:v>
                </c:pt>
                <c:pt idx="21">
                  <c:v>33.471640305689519</c:v>
                </c:pt>
                <c:pt idx="22">
                  <c:v>33.070218388295281</c:v>
                </c:pt>
                <c:pt idx="23">
                  <c:v>36.433612416159065</c:v>
                </c:pt>
                <c:pt idx="24">
                  <c:v>38.179256386152261</c:v>
                </c:pt>
                <c:pt idx="25">
                  <c:v>39.683802790056845</c:v>
                </c:pt>
                <c:pt idx="26">
                  <c:v>40.702144497581486</c:v>
                </c:pt>
                <c:pt idx="27">
                  <c:v>41.736845671684598</c:v>
                </c:pt>
                <c:pt idx="28">
                  <c:v>43.015465793649</c:v>
                </c:pt>
                <c:pt idx="29">
                  <c:v>43.006088282937597</c:v>
                </c:pt>
                <c:pt idx="30">
                  <c:v>45.272191875679304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DF8-4B2F-9221-B20A43002293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Elec_Access_base!$AL$142:$BP$142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DF8-4B2F-9221-B20A43002293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Elec_Access_base!$AL$143:$BP$143</c:f>
              <c:numCache>
                <c:formatCode>General</c:formatCode>
                <c:ptCount val="31"/>
                <c:pt idx="7">
                  <c:v>70.3</c:v>
                </c:pt>
                <c:pt idx="8">
                  <c:v>63.6</c:v>
                </c:pt>
                <c:pt idx="9">
                  <c:v>80.7</c:v>
                </c:pt>
                <c:pt idx="10">
                  <c:v>75</c:v>
                </c:pt>
                <c:pt idx="11">
                  <c:v>76.5</c:v>
                </c:pt>
                <c:pt idx="12">
                  <c:v>78.099999999999994</c:v>
                </c:pt>
                <c:pt idx="13">
                  <c:v>82.1</c:v>
                </c:pt>
                <c:pt idx="14">
                  <c:v>80</c:v>
                </c:pt>
                <c:pt idx="15">
                  <c:v>82.9</c:v>
                </c:pt>
                <c:pt idx="16">
                  <c:v>87.1</c:v>
                </c:pt>
                <c:pt idx="17">
                  <c:v>85.3</c:v>
                </c:pt>
                <c:pt idx="18">
                  <c:v>87.8</c:v>
                </c:pt>
                <c:pt idx="19">
                  <c:v>87</c:v>
                </c:pt>
                <c:pt idx="20">
                  <c:v>90.2</c:v>
                </c:pt>
                <c:pt idx="21">
                  <c:v>92.7</c:v>
                </c:pt>
                <c:pt idx="22">
                  <c:v>94.3</c:v>
                </c:pt>
                <c:pt idx="23">
                  <c:v>97.5</c:v>
                </c:pt>
                <c:pt idx="24">
                  <c:v>97.5</c:v>
                </c:pt>
                <c:pt idx="25">
                  <c:v>99.6</c:v>
                </c:pt>
                <c:pt idx="26">
                  <c:v>99.8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3DF8-4B2F-9221-B20A43002293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Elec_Access_base!$AL$144:$BP$144</c:f>
              <c:numCache>
                <c:formatCode>General</c:formatCode>
                <c:ptCount val="31"/>
                <c:pt idx="0">
                  <c:v>47.148193977199746</c:v>
                </c:pt>
                <c:pt idx="1">
                  <c:v>47.108638948328178</c:v>
                </c:pt>
                <c:pt idx="2">
                  <c:v>48.343849762822153</c:v>
                </c:pt>
                <c:pt idx="3">
                  <c:v>50.054312887308392</c:v>
                </c:pt>
                <c:pt idx="4">
                  <c:v>52.638270492466035</c:v>
                </c:pt>
                <c:pt idx="5">
                  <c:v>55.553758641807086</c:v>
                </c:pt>
                <c:pt idx="6">
                  <c:v>58.069941790176394</c:v>
                </c:pt>
                <c:pt idx="7">
                  <c:v>58.18111579595633</c:v>
                </c:pt>
                <c:pt idx="8">
                  <c:v>59.353030292769468</c:v>
                </c:pt>
                <c:pt idx="9">
                  <c:v>60.326107176097779</c:v>
                </c:pt>
                <c:pt idx="10">
                  <c:v>62.721457299698457</c:v>
                </c:pt>
                <c:pt idx="11">
                  <c:v>62.540041590231482</c:v>
                </c:pt>
                <c:pt idx="12">
                  <c:v>65.248435602704006</c:v>
                </c:pt>
                <c:pt idx="13">
                  <c:v>65.97722073619083</c:v>
                </c:pt>
                <c:pt idx="14">
                  <c:v>67.943772109010666</c:v>
                </c:pt>
                <c:pt idx="15">
                  <c:v>69.833208905217219</c:v>
                </c:pt>
                <c:pt idx="16">
                  <c:v>70.583966620019353</c:v>
                </c:pt>
                <c:pt idx="17">
                  <c:v>71.68773918210178</c:v>
                </c:pt>
                <c:pt idx="18">
                  <c:v>74.603675894420988</c:v>
                </c:pt>
                <c:pt idx="19">
                  <c:v>75.154084873368078</c:v>
                </c:pt>
                <c:pt idx="20">
                  <c:v>77.118880444307393</c:v>
                </c:pt>
                <c:pt idx="21">
                  <c:v>78.28970969170291</c:v>
                </c:pt>
                <c:pt idx="22">
                  <c:v>80.658695354603026</c:v>
                </c:pt>
                <c:pt idx="23">
                  <c:v>82.716714523231573</c:v>
                </c:pt>
                <c:pt idx="24">
                  <c:v>84.659238704956977</c:v>
                </c:pt>
                <c:pt idx="25">
                  <c:v>86.912180569853405</c:v>
                </c:pt>
                <c:pt idx="26">
                  <c:v>87.613522186223577</c:v>
                </c:pt>
                <c:pt idx="27">
                  <c:v>88.380414392263205</c:v>
                </c:pt>
                <c:pt idx="28">
                  <c:v>90.555734236784986</c:v>
                </c:pt>
                <c:pt idx="29">
                  <c:v>90.576840598158725</c:v>
                </c:pt>
                <c:pt idx="30">
                  <c:v>91.268074975722243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DF8-4B2F-9221-B20A43002293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Elec_Access_base!$AL$145:$BP$145</c:f>
              <c:numCache>
                <c:formatCode>General</c:formatCode>
                <c:ptCount val="31"/>
                <c:pt idx="7">
                  <c:v>73.562125845164971</c:v>
                </c:pt>
                <c:pt idx="8">
                  <c:v>74.285738001549632</c:v>
                </c:pt>
                <c:pt idx="9">
                  <c:v>74.814999996679163</c:v>
                </c:pt>
                <c:pt idx="10">
                  <c:v>75.96296743140239</c:v>
                </c:pt>
                <c:pt idx="11">
                  <c:v>75.96387822071722</c:v>
                </c:pt>
                <c:pt idx="12">
                  <c:v>76.987568609595542</c:v>
                </c:pt>
                <c:pt idx="13">
                  <c:v>77.778703231449825</c:v>
                </c:pt>
                <c:pt idx="14">
                  <c:v>78.58602332544767</c:v>
                </c:pt>
                <c:pt idx="15">
                  <c:v>79.474620114645262</c:v>
                </c:pt>
                <c:pt idx="16">
                  <c:v>79.743942477285543</c:v>
                </c:pt>
                <c:pt idx="17">
                  <c:v>80.469738579114534</c:v>
                </c:pt>
                <c:pt idx="18">
                  <c:v>81.890497604890257</c:v>
                </c:pt>
                <c:pt idx="19">
                  <c:v>82.343562140873729</c:v>
                </c:pt>
                <c:pt idx="20">
                  <c:v>83.320801709632846</c:v>
                </c:pt>
                <c:pt idx="21">
                  <c:v>84.020090649977078</c:v>
                </c:pt>
                <c:pt idx="22">
                  <c:v>85.040729872881272</c:v>
                </c:pt>
                <c:pt idx="23">
                  <c:v>86.206087276797732</c:v>
                </c:pt>
                <c:pt idx="24">
                  <c:v>87.228235438438503</c:v>
                </c:pt>
                <c:pt idx="25">
                  <c:v>88.327136631984004</c:v>
                </c:pt>
                <c:pt idx="26">
                  <c:v>88.690834081120371</c:v>
                </c:pt>
                <c:pt idx="27">
                  <c:v>89.016288064378756</c:v>
                </c:pt>
                <c:pt idx="28">
                  <c:v>90.152493438900734</c:v>
                </c:pt>
                <c:pt idx="29">
                  <c:v>90.093269591365726</c:v>
                </c:pt>
                <c:pt idx="30">
                  <c:v>90.492071175052644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3DF8-4B2F-9221-B20A43002293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Elec_Access_base!$AL$146:$BP$146</c:f>
              <c:numCache>
                <c:formatCode>General</c:formatCode>
                <c:ptCount val="31"/>
                <c:pt idx="7">
                  <c:v>4.3</c:v>
                </c:pt>
                <c:pt idx="8">
                  <c:v>1.3</c:v>
                </c:pt>
                <c:pt idx="9">
                  <c:v>3.4</c:v>
                </c:pt>
                <c:pt idx="10">
                  <c:v>5.4</c:v>
                </c:pt>
                <c:pt idx="11">
                  <c:v>6.8</c:v>
                </c:pt>
                <c:pt idx="12">
                  <c:v>9.6</c:v>
                </c:pt>
                <c:pt idx="13">
                  <c:v>9.6999999999999993</c:v>
                </c:pt>
                <c:pt idx="14">
                  <c:v>13.9</c:v>
                </c:pt>
                <c:pt idx="15">
                  <c:v>16</c:v>
                </c:pt>
                <c:pt idx="16">
                  <c:v>17</c:v>
                </c:pt>
                <c:pt idx="17">
                  <c:v>17</c:v>
                </c:pt>
                <c:pt idx="18">
                  <c:v>22.5</c:v>
                </c:pt>
                <c:pt idx="19">
                  <c:v>20.6</c:v>
                </c:pt>
                <c:pt idx="20">
                  <c:v>26.9</c:v>
                </c:pt>
                <c:pt idx="21">
                  <c:v>27.8</c:v>
                </c:pt>
                <c:pt idx="22">
                  <c:v>31.8</c:v>
                </c:pt>
                <c:pt idx="23">
                  <c:v>35.1</c:v>
                </c:pt>
                <c:pt idx="24">
                  <c:v>33.700000000000003</c:v>
                </c:pt>
                <c:pt idx="25">
                  <c:v>47</c:v>
                </c:pt>
                <c:pt idx="26">
                  <c:v>44.6</c:v>
                </c:pt>
                <c:pt idx="27">
                  <c:v>47.5</c:v>
                </c:pt>
                <c:pt idx="28">
                  <c:v>50.4</c:v>
                </c:pt>
                <c:pt idx="29">
                  <c:v>50</c:v>
                </c:pt>
                <c:pt idx="30">
                  <c:v>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DF8-4B2F-9221-B20A43002293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Elec_Access_base!$AL$147:$BP$147</c:f>
              <c:numCache>
                <c:formatCode>General</c:formatCode>
                <c:ptCount val="31"/>
                <c:pt idx="7">
                  <c:v>95.251303888709558</c:v>
                </c:pt>
                <c:pt idx="8">
                  <c:v>95.913498524695314</c:v>
                </c:pt>
                <c:pt idx="9">
                  <c:v>96.253707452568776</c:v>
                </c:pt>
                <c:pt idx="10">
                  <c:v>96.455722748191477</c:v>
                </c:pt>
                <c:pt idx="11">
                  <c:v>96.735983500810704</c:v>
                </c:pt>
                <c:pt idx="12">
                  <c:v>97.166459720587909</c:v>
                </c:pt>
                <c:pt idx="13">
                  <c:v>97.889470069955394</c:v>
                </c:pt>
                <c:pt idx="14">
                  <c:v>97.62867501028127</c:v>
                </c:pt>
                <c:pt idx="15">
                  <c:v>97.994926347230447</c:v>
                </c:pt>
                <c:pt idx="16">
                  <c:v>97.688782947467516</c:v>
                </c:pt>
                <c:pt idx="17">
                  <c:v>98.352511439472352</c:v>
                </c:pt>
                <c:pt idx="18">
                  <c:v>98.626021837538744</c:v>
                </c:pt>
                <c:pt idx="19">
                  <c:v>98.712210261276638</c:v>
                </c:pt>
                <c:pt idx="20">
                  <c:v>98.898002657093244</c:v>
                </c:pt>
                <c:pt idx="21">
                  <c:v>99.004390661832275</c:v>
                </c:pt>
                <c:pt idx="22">
                  <c:v>98.780302503994676</c:v>
                </c:pt>
                <c:pt idx="23">
                  <c:v>99.116414092257159</c:v>
                </c:pt>
                <c:pt idx="24">
                  <c:v>99.272174152130475</c:v>
                </c:pt>
                <c:pt idx="25">
                  <c:v>99.28075729718168</c:v>
                </c:pt>
                <c:pt idx="26">
                  <c:v>99.329060345649182</c:v>
                </c:pt>
                <c:pt idx="27">
                  <c:v>99.386940885518229</c:v>
                </c:pt>
                <c:pt idx="28">
                  <c:v>99.411699782050235</c:v>
                </c:pt>
                <c:pt idx="29">
                  <c:v>99.477188186216665</c:v>
                </c:pt>
                <c:pt idx="30">
                  <c:v>99.457175757678399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3DF8-4B2F-9221-B20A43002293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Elec_Access_base!$AL$148:$BP$148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99.5</c:v>
                </c:pt>
                <c:pt idx="8">
                  <c:v>99.5</c:v>
                </c:pt>
                <c:pt idx="9">
                  <c:v>99.4</c:v>
                </c:pt>
                <c:pt idx="10">
                  <c:v>99.4</c:v>
                </c:pt>
                <c:pt idx="11">
                  <c:v>99.4</c:v>
                </c:pt>
                <c:pt idx="12">
                  <c:v>99.4</c:v>
                </c:pt>
                <c:pt idx="13">
                  <c:v>99.4</c:v>
                </c:pt>
                <c:pt idx="14">
                  <c:v>99.4</c:v>
                </c:pt>
                <c:pt idx="15">
                  <c:v>99.4</c:v>
                </c:pt>
                <c:pt idx="16">
                  <c:v>99.5</c:v>
                </c:pt>
                <c:pt idx="17">
                  <c:v>99.7</c:v>
                </c:pt>
                <c:pt idx="18">
                  <c:v>99.7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DF8-4B2F-9221-B20A43002293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Elec_Access_base!$AL$149:$BP$149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3DF8-4B2F-9221-B20A43002293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Elec_Access_base!$AL$150:$BP$150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99.9</c:v>
                </c:pt>
                <c:pt idx="8">
                  <c:v>99.9</c:v>
                </c:pt>
                <c:pt idx="9">
                  <c:v>99.8</c:v>
                </c:pt>
                <c:pt idx="10">
                  <c:v>99.8</c:v>
                </c:pt>
                <c:pt idx="11">
                  <c:v>99.7</c:v>
                </c:pt>
                <c:pt idx="12">
                  <c:v>99.7</c:v>
                </c:pt>
                <c:pt idx="13">
                  <c:v>99.6</c:v>
                </c:pt>
                <c:pt idx="14">
                  <c:v>99.7</c:v>
                </c:pt>
                <c:pt idx="15">
                  <c:v>99.7</c:v>
                </c:pt>
                <c:pt idx="16">
                  <c:v>100</c:v>
                </c:pt>
                <c:pt idx="17">
                  <c:v>99.8</c:v>
                </c:pt>
                <c:pt idx="18">
                  <c:v>99.8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DF8-4B2F-9221-B20A43002293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Elec_Access_base!$AL$151:$BP$151</c:f>
              <c:numCache>
                <c:formatCode>General</c:formatCode>
                <c:ptCount val="31"/>
                <c:pt idx="0">
                  <c:v>99.941619873046903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3DF8-4B2F-9221-B20A43002293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Elec_Access_base!$AL$152:$BP$152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99.9</c:v>
                </c:pt>
                <c:pt idx="9">
                  <c:v>99.9</c:v>
                </c:pt>
                <c:pt idx="10">
                  <c:v>99.8</c:v>
                </c:pt>
                <c:pt idx="11">
                  <c:v>99.8</c:v>
                </c:pt>
                <c:pt idx="12">
                  <c:v>99.7</c:v>
                </c:pt>
                <c:pt idx="13">
                  <c:v>99.7</c:v>
                </c:pt>
                <c:pt idx="14">
                  <c:v>99.7</c:v>
                </c:pt>
                <c:pt idx="15">
                  <c:v>99.7</c:v>
                </c:pt>
                <c:pt idx="16">
                  <c:v>99.7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DF8-4B2F-9221-B20A43002293}"/>
            </c:ext>
          </c:extLst>
        </c:ser>
        <c:ser>
          <c:idx val="51"/>
          <c:order val="51"/>
          <c:tx>
            <c:strRef>
              <c:f>Elec_Access_base!$A$153</c:f>
              <c:strCache>
                <c:ptCount val="1"/>
                <c:pt idx="0">
                  <c:v>Morocco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Elec_Access_base!$AL$153:$BP$153</c:f>
              <c:numCache>
                <c:formatCode>General</c:formatCode>
                <c:ptCount val="31"/>
                <c:pt idx="0">
                  <c:v>56.772651672363303</c:v>
                </c:pt>
                <c:pt idx="1">
                  <c:v>58.608898162841797</c:v>
                </c:pt>
                <c:pt idx="2">
                  <c:v>56.5</c:v>
                </c:pt>
                <c:pt idx="3">
                  <c:v>62.274593353271499</c:v>
                </c:pt>
                <c:pt idx="4">
                  <c:v>64.102684020996094</c:v>
                </c:pt>
                <c:pt idx="5">
                  <c:v>65.926689147949205</c:v>
                </c:pt>
                <c:pt idx="6">
                  <c:v>67.745857238769503</c:v>
                </c:pt>
                <c:pt idx="7">
                  <c:v>69.8</c:v>
                </c:pt>
                <c:pt idx="8">
                  <c:v>71.599999999999994</c:v>
                </c:pt>
                <c:pt idx="9">
                  <c:v>73.3</c:v>
                </c:pt>
                <c:pt idx="10">
                  <c:v>75.099999999999994</c:v>
                </c:pt>
                <c:pt idx="11">
                  <c:v>78.2</c:v>
                </c:pt>
                <c:pt idx="12">
                  <c:v>78.599999999999994</c:v>
                </c:pt>
                <c:pt idx="13">
                  <c:v>96.5</c:v>
                </c:pt>
                <c:pt idx="14">
                  <c:v>82.2</c:v>
                </c:pt>
                <c:pt idx="15">
                  <c:v>84.1</c:v>
                </c:pt>
                <c:pt idx="16">
                  <c:v>85.9</c:v>
                </c:pt>
                <c:pt idx="17">
                  <c:v>95.7</c:v>
                </c:pt>
                <c:pt idx="18">
                  <c:v>96.1</c:v>
                </c:pt>
                <c:pt idx="19">
                  <c:v>96.4</c:v>
                </c:pt>
                <c:pt idx="20">
                  <c:v>97.2</c:v>
                </c:pt>
                <c:pt idx="21">
                  <c:v>97.3</c:v>
                </c:pt>
                <c:pt idx="22">
                  <c:v>97.3</c:v>
                </c:pt>
                <c:pt idx="23">
                  <c:v>97.8</c:v>
                </c:pt>
                <c:pt idx="24">
                  <c:v>100</c:v>
                </c:pt>
                <c:pt idx="25">
                  <c:v>98.1</c:v>
                </c:pt>
                <c:pt idx="26">
                  <c:v>99.6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3DF8-4B2F-9221-B20A43002293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Elec_Access_base!$AL$154:$BP$154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DF8-4B2F-9221-B20A43002293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Elec_Access_base!$AL$155:$BP$155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98.7</c:v>
                </c:pt>
                <c:pt idx="8">
                  <c:v>98.8</c:v>
                </c:pt>
                <c:pt idx="9">
                  <c:v>99</c:v>
                </c:pt>
                <c:pt idx="10">
                  <c:v>98.8</c:v>
                </c:pt>
                <c:pt idx="11">
                  <c:v>99.1</c:v>
                </c:pt>
                <c:pt idx="12">
                  <c:v>98.6</c:v>
                </c:pt>
                <c:pt idx="13">
                  <c:v>98.9</c:v>
                </c:pt>
                <c:pt idx="14">
                  <c:v>99</c:v>
                </c:pt>
                <c:pt idx="15">
                  <c:v>99.1</c:v>
                </c:pt>
                <c:pt idx="16">
                  <c:v>99.2</c:v>
                </c:pt>
                <c:pt idx="17">
                  <c:v>99.3</c:v>
                </c:pt>
                <c:pt idx="18">
                  <c:v>99.4</c:v>
                </c:pt>
                <c:pt idx="19">
                  <c:v>99.5</c:v>
                </c:pt>
                <c:pt idx="20">
                  <c:v>99.6</c:v>
                </c:pt>
                <c:pt idx="21">
                  <c:v>99.8</c:v>
                </c:pt>
                <c:pt idx="22">
                  <c:v>99.9</c:v>
                </c:pt>
                <c:pt idx="23">
                  <c:v>99.9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3DF8-4B2F-9221-B20A43002293}"/>
            </c:ext>
          </c:extLst>
        </c:ser>
        <c:ser>
          <c:idx val="54"/>
          <c:order val="5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Elec_Access_base!$AL$156:$BP$156</c:f>
              <c:numCache>
                <c:formatCode>General</c:formatCode>
                <c:ptCount val="31"/>
                <c:pt idx="0">
                  <c:v>10.1056232452393</c:v>
                </c:pt>
                <c:pt idx="1">
                  <c:v>10.561648368835399</c:v>
                </c:pt>
                <c:pt idx="2">
                  <c:v>11.0156345367432</c:v>
                </c:pt>
                <c:pt idx="3">
                  <c:v>11.466900825500501</c:v>
                </c:pt>
                <c:pt idx="4">
                  <c:v>10.9</c:v>
                </c:pt>
                <c:pt idx="5">
                  <c:v>12.3585548400879</c:v>
                </c:pt>
                <c:pt idx="6">
                  <c:v>12.7975006103516</c:v>
                </c:pt>
                <c:pt idx="7">
                  <c:v>12.6</c:v>
                </c:pt>
                <c:pt idx="8">
                  <c:v>14.8</c:v>
                </c:pt>
                <c:pt idx="9">
                  <c:v>14</c:v>
                </c:pt>
                <c:pt idx="10">
                  <c:v>20.3</c:v>
                </c:pt>
                <c:pt idx="11">
                  <c:v>15.3</c:v>
                </c:pt>
                <c:pt idx="12">
                  <c:v>16</c:v>
                </c:pt>
                <c:pt idx="13">
                  <c:v>16.8</c:v>
                </c:pt>
                <c:pt idx="14">
                  <c:v>17.5</c:v>
                </c:pt>
                <c:pt idx="15">
                  <c:v>18.3</c:v>
                </c:pt>
                <c:pt idx="16">
                  <c:v>17.399999999999999</c:v>
                </c:pt>
                <c:pt idx="17">
                  <c:v>12.3</c:v>
                </c:pt>
                <c:pt idx="18">
                  <c:v>14.3</c:v>
                </c:pt>
                <c:pt idx="19">
                  <c:v>18.7</c:v>
                </c:pt>
                <c:pt idx="20">
                  <c:v>12.9</c:v>
                </c:pt>
                <c:pt idx="21">
                  <c:v>23</c:v>
                </c:pt>
                <c:pt idx="22">
                  <c:v>23.8</c:v>
                </c:pt>
                <c:pt idx="23">
                  <c:v>22.9</c:v>
                </c:pt>
                <c:pt idx="24">
                  <c:v>24.1</c:v>
                </c:pt>
                <c:pt idx="25">
                  <c:v>36.5</c:v>
                </c:pt>
                <c:pt idx="26">
                  <c:v>31</c:v>
                </c:pt>
                <c:pt idx="27">
                  <c:v>32</c:v>
                </c:pt>
                <c:pt idx="28">
                  <c:v>35.1</c:v>
                </c:pt>
                <c:pt idx="29">
                  <c:v>36.1</c:v>
                </c:pt>
                <c:pt idx="30">
                  <c:v>39.4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DF8-4B2F-9221-B20A43002293}"/>
            </c:ext>
          </c:extLst>
        </c:ser>
        <c:ser>
          <c:idx val="55"/>
          <c:order val="5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Elec_Access_base!$AL$157:$BP$157</c:f>
              <c:numCache>
                <c:formatCode>General</c:formatCode>
                <c:ptCount val="31"/>
                <c:pt idx="7">
                  <c:v>83.8</c:v>
                </c:pt>
                <c:pt idx="8">
                  <c:v>87.5</c:v>
                </c:pt>
                <c:pt idx="9">
                  <c:v>88.3</c:v>
                </c:pt>
                <c:pt idx="10">
                  <c:v>89.1</c:v>
                </c:pt>
                <c:pt idx="11">
                  <c:v>90</c:v>
                </c:pt>
                <c:pt idx="12">
                  <c:v>90.9</c:v>
                </c:pt>
                <c:pt idx="13">
                  <c:v>91.7</c:v>
                </c:pt>
                <c:pt idx="14">
                  <c:v>92.6</c:v>
                </c:pt>
                <c:pt idx="15">
                  <c:v>93.6</c:v>
                </c:pt>
                <c:pt idx="16">
                  <c:v>99.9</c:v>
                </c:pt>
                <c:pt idx="17">
                  <c:v>99</c:v>
                </c:pt>
                <c:pt idx="18">
                  <c:v>99.1</c:v>
                </c:pt>
                <c:pt idx="19">
                  <c:v>99.2</c:v>
                </c:pt>
                <c:pt idx="20">
                  <c:v>99.4</c:v>
                </c:pt>
                <c:pt idx="21">
                  <c:v>100</c:v>
                </c:pt>
                <c:pt idx="22">
                  <c:v>99.8</c:v>
                </c:pt>
                <c:pt idx="23">
                  <c:v>100</c:v>
                </c:pt>
                <c:pt idx="24">
                  <c:v>99.8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3DF8-4B2F-9221-B20A43002293}"/>
            </c:ext>
          </c:extLst>
        </c:ser>
        <c:ser>
          <c:idx val="56"/>
          <c:order val="56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Elec_Access_base!$AL$158:$BP$158</c:f>
              <c:numCache>
                <c:formatCode>General</c:formatCode>
                <c:ptCount val="31"/>
                <c:pt idx="7">
                  <c:v>82.569913904288754</c:v>
                </c:pt>
                <c:pt idx="8">
                  <c:v>83.279176170200671</c:v>
                </c:pt>
                <c:pt idx="9">
                  <c:v>83.608597936869828</c:v>
                </c:pt>
                <c:pt idx="10">
                  <c:v>84.584616655413612</c:v>
                </c:pt>
                <c:pt idx="11">
                  <c:v>84.980410117053324</c:v>
                </c:pt>
                <c:pt idx="12">
                  <c:v>85.957903666209404</c:v>
                </c:pt>
                <c:pt idx="13">
                  <c:v>87.656582300456279</c:v>
                </c:pt>
                <c:pt idx="14">
                  <c:v>87.151911405220048</c:v>
                </c:pt>
                <c:pt idx="15">
                  <c:v>88.094660981396558</c:v>
                </c:pt>
                <c:pt idx="16">
                  <c:v>88.740342855560002</c:v>
                </c:pt>
                <c:pt idx="17">
                  <c:v>90.56081986149087</c:v>
                </c:pt>
                <c:pt idx="18">
                  <c:v>90.776155934710161</c:v>
                </c:pt>
                <c:pt idx="19">
                  <c:v>91.854121366531842</c:v>
                </c:pt>
                <c:pt idx="20">
                  <c:v>93.147969041644473</c:v>
                </c:pt>
                <c:pt idx="21">
                  <c:v>94.032095667721492</c:v>
                </c:pt>
                <c:pt idx="22">
                  <c:v>93.436065546111706</c:v>
                </c:pt>
                <c:pt idx="23">
                  <c:v>95.158764819742018</c:v>
                </c:pt>
                <c:pt idx="24">
                  <c:v>96.001243169197778</c:v>
                </c:pt>
                <c:pt idx="25">
                  <c:v>94.97068617122855</c:v>
                </c:pt>
                <c:pt idx="26">
                  <c:v>96.008707298460138</c:v>
                </c:pt>
                <c:pt idx="27">
                  <c:v>96.262120442281798</c:v>
                </c:pt>
                <c:pt idx="28">
                  <c:v>96.416669055369312</c:v>
                </c:pt>
                <c:pt idx="29">
                  <c:v>95.863794501496415</c:v>
                </c:pt>
                <c:pt idx="30">
                  <c:v>96.42263674352742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DF8-4B2F-9221-B20A43002293}"/>
            </c:ext>
          </c:extLst>
        </c:ser>
        <c:ser>
          <c:idx val="57"/>
          <c:order val="5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Elec_Access_base!$AL$159:$BP$159</c:f>
              <c:numCache>
                <c:formatCode>General</c:formatCode>
                <c:ptCount val="31"/>
                <c:pt idx="0">
                  <c:v>95.448463439941406</c:v>
                </c:pt>
                <c:pt idx="1">
                  <c:v>95.238293999999996</c:v>
                </c:pt>
                <c:pt idx="2">
                  <c:v>95.894462585449205</c:v>
                </c:pt>
                <c:pt idx="3">
                  <c:v>96.093624000000005</c:v>
                </c:pt>
                <c:pt idx="4">
                  <c:v>96.329582214355497</c:v>
                </c:pt>
                <c:pt idx="5">
                  <c:v>96.092754999999997</c:v>
                </c:pt>
                <c:pt idx="6">
                  <c:v>96.748298645019503</c:v>
                </c:pt>
                <c:pt idx="7">
                  <c:v>98</c:v>
                </c:pt>
                <c:pt idx="8">
                  <c:v>97.1</c:v>
                </c:pt>
                <c:pt idx="9">
                  <c:v>97.9</c:v>
                </c:pt>
                <c:pt idx="10">
                  <c:v>97.4</c:v>
                </c:pt>
                <c:pt idx="11">
                  <c:v>98.6</c:v>
                </c:pt>
                <c:pt idx="12">
                  <c:v>98.9</c:v>
                </c:pt>
                <c:pt idx="13">
                  <c:v>99.1</c:v>
                </c:pt>
                <c:pt idx="14">
                  <c:v>97.9</c:v>
                </c:pt>
                <c:pt idx="15">
                  <c:v>98.9</c:v>
                </c:pt>
                <c:pt idx="16">
                  <c:v>98.3</c:v>
                </c:pt>
                <c:pt idx="17">
                  <c:v>99.2</c:v>
                </c:pt>
                <c:pt idx="18">
                  <c:v>99</c:v>
                </c:pt>
                <c:pt idx="19">
                  <c:v>99.1</c:v>
                </c:pt>
                <c:pt idx="20">
                  <c:v>99.1</c:v>
                </c:pt>
                <c:pt idx="21">
                  <c:v>99.2</c:v>
                </c:pt>
                <c:pt idx="22">
                  <c:v>99</c:v>
                </c:pt>
                <c:pt idx="23">
                  <c:v>99.5</c:v>
                </c:pt>
                <c:pt idx="24">
                  <c:v>100</c:v>
                </c:pt>
                <c:pt idx="25">
                  <c:v>99.5</c:v>
                </c:pt>
                <c:pt idx="26">
                  <c:v>99.6</c:v>
                </c:pt>
                <c:pt idx="27">
                  <c:v>99.4</c:v>
                </c:pt>
                <c:pt idx="28">
                  <c:v>100</c:v>
                </c:pt>
                <c:pt idx="29">
                  <c:v>100</c:v>
                </c:pt>
                <c:pt idx="30">
                  <c:v>99.7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3DF8-4B2F-9221-B20A43002293}"/>
            </c:ext>
          </c:extLst>
        </c:ser>
        <c:ser>
          <c:idx val="58"/>
          <c:order val="58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Elec_Access_base!$AL$160:$BP$160</c:f>
              <c:numCache>
                <c:formatCode>General</c:formatCode>
                <c:ptCount val="31"/>
                <c:pt idx="6">
                  <c:v>68.524235875270193</c:v>
                </c:pt>
                <c:pt idx="7">
                  <c:v>68.599999999999994</c:v>
                </c:pt>
                <c:pt idx="8">
                  <c:v>70.099999999999994</c:v>
                </c:pt>
                <c:pt idx="9">
                  <c:v>71.5</c:v>
                </c:pt>
                <c:pt idx="10">
                  <c:v>72.900000000000006</c:v>
                </c:pt>
                <c:pt idx="11">
                  <c:v>74.3</c:v>
                </c:pt>
                <c:pt idx="12">
                  <c:v>75.7</c:v>
                </c:pt>
                <c:pt idx="13">
                  <c:v>77.2</c:v>
                </c:pt>
                <c:pt idx="14">
                  <c:v>72.3</c:v>
                </c:pt>
                <c:pt idx="15">
                  <c:v>80.2</c:v>
                </c:pt>
                <c:pt idx="16">
                  <c:v>81.7</c:v>
                </c:pt>
                <c:pt idx="17">
                  <c:v>89.4</c:v>
                </c:pt>
                <c:pt idx="18">
                  <c:v>89.9</c:v>
                </c:pt>
                <c:pt idx="19">
                  <c:v>90.4</c:v>
                </c:pt>
                <c:pt idx="20">
                  <c:v>90.9</c:v>
                </c:pt>
                <c:pt idx="21">
                  <c:v>91.5</c:v>
                </c:pt>
                <c:pt idx="22">
                  <c:v>92.1</c:v>
                </c:pt>
                <c:pt idx="23">
                  <c:v>92.7</c:v>
                </c:pt>
                <c:pt idx="24">
                  <c:v>93.8</c:v>
                </c:pt>
                <c:pt idx="25">
                  <c:v>95.3</c:v>
                </c:pt>
                <c:pt idx="26">
                  <c:v>96.8</c:v>
                </c:pt>
                <c:pt idx="27">
                  <c:v>98.3</c:v>
                </c:pt>
                <c:pt idx="28">
                  <c:v>99.8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DF8-4B2F-9221-B20A43002293}"/>
            </c:ext>
          </c:extLst>
        </c:ser>
        <c:ser>
          <c:idx val="59"/>
          <c:order val="59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Elec_Access_base!$AL$161:$BP$161</c:f>
              <c:numCache>
                <c:formatCode>General</c:formatCode>
                <c:ptCount val="31"/>
                <c:pt idx="7">
                  <c:v>77.224191446420633</c:v>
                </c:pt>
                <c:pt idx="8">
                  <c:v>77.943223765400177</c:v>
                </c:pt>
                <c:pt idx="9">
                  <c:v>78.554915833810639</c:v>
                </c:pt>
                <c:pt idx="10">
                  <c:v>79.728971784154226</c:v>
                </c:pt>
                <c:pt idx="11">
                  <c:v>79.750601386918589</c:v>
                </c:pt>
                <c:pt idx="12">
                  <c:v>80.911461878294503</c:v>
                </c:pt>
                <c:pt idx="13">
                  <c:v>81.685538137334987</c:v>
                </c:pt>
                <c:pt idx="14">
                  <c:v>82.647603890068851</c:v>
                </c:pt>
                <c:pt idx="15">
                  <c:v>83.74982982489351</c:v>
                </c:pt>
                <c:pt idx="16">
                  <c:v>84.266897474185157</c:v>
                </c:pt>
                <c:pt idx="17">
                  <c:v>84.999953727105222</c:v>
                </c:pt>
                <c:pt idx="18">
                  <c:v>86.507728223494539</c:v>
                </c:pt>
                <c:pt idx="19">
                  <c:v>86.856659154970018</c:v>
                </c:pt>
                <c:pt idx="20">
                  <c:v>87.887993253969668</c:v>
                </c:pt>
                <c:pt idx="21">
                  <c:v>88.490984936541693</c:v>
                </c:pt>
                <c:pt idx="22">
                  <c:v>89.696086196751992</c:v>
                </c:pt>
                <c:pt idx="23">
                  <c:v>90.729439015602253</c:v>
                </c:pt>
                <c:pt idx="24">
                  <c:v>91.756211195548289</c:v>
                </c:pt>
                <c:pt idx="25">
                  <c:v>92.895243185660647</c:v>
                </c:pt>
                <c:pt idx="26">
                  <c:v>93.281418412575377</c:v>
                </c:pt>
                <c:pt idx="27">
                  <c:v>93.624747712874836</c:v>
                </c:pt>
                <c:pt idx="28">
                  <c:v>94.833678510811879</c:v>
                </c:pt>
                <c:pt idx="29">
                  <c:v>94.85821200899062</c:v>
                </c:pt>
                <c:pt idx="30">
                  <c:v>95.158388463296333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3DF8-4B2F-9221-B20A43002293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Elec_Access_base!$AL$162:$BP$162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99.4</c:v>
                </c:pt>
                <c:pt idx="12">
                  <c:v>99.1</c:v>
                </c:pt>
                <c:pt idx="13">
                  <c:v>99</c:v>
                </c:pt>
                <c:pt idx="14">
                  <c:v>99.1</c:v>
                </c:pt>
                <c:pt idx="15">
                  <c:v>99.2</c:v>
                </c:pt>
                <c:pt idx="16">
                  <c:v>99.2</c:v>
                </c:pt>
                <c:pt idx="17">
                  <c:v>99.5</c:v>
                </c:pt>
                <c:pt idx="18">
                  <c:v>99.7</c:v>
                </c:pt>
                <c:pt idx="19">
                  <c:v>99.6</c:v>
                </c:pt>
                <c:pt idx="20">
                  <c:v>99.7</c:v>
                </c:pt>
                <c:pt idx="21">
                  <c:v>99.8</c:v>
                </c:pt>
                <c:pt idx="22">
                  <c:v>99.9</c:v>
                </c:pt>
                <c:pt idx="23">
                  <c:v>100</c:v>
                </c:pt>
                <c:pt idx="24">
                  <c:v>100</c:v>
                </c:pt>
                <c:pt idx="25">
                  <c:v>99.8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DF8-4B2F-9221-B20A43002293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Elec_Access_base!$AL$163:$BP$163</c:f>
              <c:numCache>
                <c:formatCode>General</c:formatCode>
                <c:ptCount val="31"/>
                <c:pt idx="3">
                  <c:v>6.2</c:v>
                </c:pt>
                <c:pt idx="4">
                  <c:v>4.2885408401489302</c:v>
                </c:pt>
                <c:pt idx="5">
                  <c:v>6.0668635368347203</c:v>
                </c:pt>
                <c:pt idx="6">
                  <c:v>7.8403439521789604</c:v>
                </c:pt>
                <c:pt idx="7">
                  <c:v>9.6</c:v>
                </c:pt>
                <c:pt idx="8">
                  <c:v>10.8</c:v>
                </c:pt>
                <c:pt idx="9">
                  <c:v>13</c:v>
                </c:pt>
                <c:pt idx="10">
                  <c:v>14.7</c:v>
                </c:pt>
                <c:pt idx="11">
                  <c:v>16.399999999999999</c:v>
                </c:pt>
                <c:pt idx="12">
                  <c:v>18.2</c:v>
                </c:pt>
                <c:pt idx="13">
                  <c:v>16.600000000000001</c:v>
                </c:pt>
                <c:pt idx="14">
                  <c:v>21.7</c:v>
                </c:pt>
                <c:pt idx="15">
                  <c:v>23.4</c:v>
                </c:pt>
                <c:pt idx="16">
                  <c:v>24</c:v>
                </c:pt>
                <c:pt idx="17">
                  <c:v>27</c:v>
                </c:pt>
                <c:pt idx="18">
                  <c:v>28.8</c:v>
                </c:pt>
                <c:pt idx="19">
                  <c:v>25.6</c:v>
                </c:pt>
                <c:pt idx="20">
                  <c:v>32.4</c:v>
                </c:pt>
                <c:pt idx="21">
                  <c:v>34.200000000000003</c:v>
                </c:pt>
                <c:pt idx="22">
                  <c:v>37.6</c:v>
                </c:pt>
                <c:pt idx="23">
                  <c:v>38.799999999999997</c:v>
                </c:pt>
                <c:pt idx="24">
                  <c:v>34.799999999999997</c:v>
                </c:pt>
                <c:pt idx="25">
                  <c:v>50.9</c:v>
                </c:pt>
                <c:pt idx="26">
                  <c:v>47.9</c:v>
                </c:pt>
                <c:pt idx="27">
                  <c:v>50.6</c:v>
                </c:pt>
                <c:pt idx="28">
                  <c:v>53.4</c:v>
                </c:pt>
                <c:pt idx="29">
                  <c:v>53</c:v>
                </c:pt>
                <c:pt idx="30">
                  <c:v>54.5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3DF8-4B2F-9221-B20A43002293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Elec_Access_base!$AL$164:$BP$164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DF8-4B2F-9221-B20A43002293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Elec_Access_base!$AL$165:$BP$165</c:f>
              <c:numCache>
                <c:formatCode>General</c:formatCode>
                <c:ptCount val="31"/>
                <c:pt idx="7">
                  <c:v>41.9</c:v>
                </c:pt>
                <c:pt idx="8">
                  <c:v>43</c:v>
                </c:pt>
                <c:pt idx="9">
                  <c:v>47</c:v>
                </c:pt>
                <c:pt idx="10">
                  <c:v>45.1</c:v>
                </c:pt>
                <c:pt idx="11">
                  <c:v>46.2</c:v>
                </c:pt>
                <c:pt idx="12">
                  <c:v>47.3</c:v>
                </c:pt>
                <c:pt idx="13">
                  <c:v>48.4</c:v>
                </c:pt>
                <c:pt idx="14">
                  <c:v>49.5</c:v>
                </c:pt>
                <c:pt idx="15">
                  <c:v>50.6</c:v>
                </c:pt>
                <c:pt idx="16">
                  <c:v>51.8</c:v>
                </c:pt>
                <c:pt idx="17">
                  <c:v>48.8</c:v>
                </c:pt>
                <c:pt idx="18">
                  <c:v>54.1</c:v>
                </c:pt>
                <c:pt idx="19">
                  <c:v>55.3</c:v>
                </c:pt>
                <c:pt idx="20">
                  <c:v>56.5</c:v>
                </c:pt>
                <c:pt idx="21">
                  <c:v>52</c:v>
                </c:pt>
                <c:pt idx="22">
                  <c:v>60.5</c:v>
                </c:pt>
                <c:pt idx="23">
                  <c:v>55.6</c:v>
                </c:pt>
                <c:pt idx="24">
                  <c:v>69.8</c:v>
                </c:pt>
                <c:pt idx="25">
                  <c:v>66.099999999999994</c:v>
                </c:pt>
                <c:pt idx="26">
                  <c:v>68.3</c:v>
                </c:pt>
                <c:pt idx="27">
                  <c:v>70.400000000000006</c:v>
                </c:pt>
                <c:pt idx="28">
                  <c:v>72.5</c:v>
                </c:pt>
                <c:pt idx="29">
                  <c:v>73.599999999999994</c:v>
                </c:pt>
                <c:pt idx="30">
                  <c:v>76.8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3DF8-4B2F-9221-B20A43002293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Elec_Access_base!$AL$166:$BP$166</c:f>
              <c:numCache>
                <c:formatCode>General</c:formatCode>
                <c:ptCount val="31"/>
                <c:pt idx="7">
                  <c:v>81.37009394576647</c:v>
                </c:pt>
                <c:pt idx="8">
                  <c:v>82.104162635468555</c:v>
                </c:pt>
                <c:pt idx="9">
                  <c:v>82.433920110843403</c:v>
                </c:pt>
                <c:pt idx="10">
                  <c:v>83.460313057266802</c:v>
                </c:pt>
                <c:pt idx="11">
                  <c:v>83.867411215778048</c:v>
                </c:pt>
                <c:pt idx="12">
                  <c:v>84.900433740358409</c:v>
                </c:pt>
                <c:pt idx="13">
                  <c:v>86.706734903516534</c:v>
                </c:pt>
                <c:pt idx="14">
                  <c:v>86.132647922801212</c:v>
                </c:pt>
                <c:pt idx="15">
                  <c:v>87.122792121074212</c:v>
                </c:pt>
                <c:pt idx="16">
                  <c:v>87.801963783156339</c:v>
                </c:pt>
                <c:pt idx="17">
                  <c:v>89.785398708953394</c:v>
                </c:pt>
                <c:pt idx="18">
                  <c:v>90.003268306191401</c:v>
                </c:pt>
                <c:pt idx="19">
                  <c:v>91.153959111532899</c:v>
                </c:pt>
                <c:pt idx="20">
                  <c:v>92.541018620254505</c:v>
                </c:pt>
                <c:pt idx="21">
                  <c:v>93.495540870713739</c:v>
                </c:pt>
                <c:pt idx="22">
                  <c:v>92.827763491189515</c:v>
                </c:pt>
                <c:pt idx="23">
                  <c:v>94.704907124104039</c:v>
                </c:pt>
                <c:pt idx="24">
                  <c:v>95.623022183764391</c:v>
                </c:pt>
                <c:pt idx="25">
                  <c:v>94.509363664815467</c:v>
                </c:pt>
                <c:pt idx="26">
                  <c:v>95.64374719346948</c:v>
                </c:pt>
                <c:pt idx="27">
                  <c:v>95.917370277519311</c:v>
                </c:pt>
                <c:pt idx="28">
                  <c:v>96.095601888866753</c:v>
                </c:pt>
                <c:pt idx="29">
                  <c:v>95.483714372762975</c:v>
                </c:pt>
                <c:pt idx="30">
                  <c:v>96.08542874687339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DF8-4B2F-9221-B20A43002293}"/>
            </c:ext>
          </c:extLst>
        </c:ser>
        <c:ser>
          <c:idx val="65"/>
          <c:order val="65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Elec_Access_base!$AL$167:$BP$167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99.1</c:v>
                </c:pt>
                <c:pt idx="8">
                  <c:v>99.1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99.8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99.1</c:v>
                </c:pt>
                <c:pt idx="17">
                  <c:v>99.2</c:v>
                </c:pt>
                <c:pt idx="18">
                  <c:v>99</c:v>
                </c:pt>
                <c:pt idx="19">
                  <c:v>99.3</c:v>
                </c:pt>
                <c:pt idx="20">
                  <c:v>99.7</c:v>
                </c:pt>
                <c:pt idx="21">
                  <c:v>97.7</c:v>
                </c:pt>
                <c:pt idx="22">
                  <c:v>99.5</c:v>
                </c:pt>
                <c:pt idx="23">
                  <c:v>99.6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99.9</c:v>
                </c:pt>
                <c:pt idx="28">
                  <c:v>99.8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3DF8-4B2F-9221-B20A43002293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Elec_Access_base!$AL$168:$BP$168</c:f>
              <c:numCache>
                <c:formatCode>General</c:formatCode>
                <c:ptCount val="31"/>
                <c:pt idx="7">
                  <c:v>67.3</c:v>
                </c:pt>
                <c:pt idx="8">
                  <c:v>71.7</c:v>
                </c:pt>
                <c:pt idx="9">
                  <c:v>72.8</c:v>
                </c:pt>
                <c:pt idx="10">
                  <c:v>76.3</c:v>
                </c:pt>
                <c:pt idx="11">
                  <c:v>74.8</c:v>
                </c:pt>
                <c:pt idx="12">
                  <c:v>86.2</c:v>
                </c:pt>
                <c:pt idx="13">
                  <c:v>77</c:v>
                </c:pt>
                <c:pt idx="14">
                  <c:v>78.099999999999994</c:v>
                </c:pt>
                <c:pt idx="15">
                  <c:v>79.2</c:v>
                </c:pt>
                <c:pt idx="16">
                  <c:v>80.3</c:v>
                </c:pt>
                <c:pt idx="17">
                  <c:v>78.5</c:v>
                </c:pt>
                <c:pt idx="18">
                  <c:v>72.099999999999994</c:v>
                </c:pt>
                <c:pt idx="19">
                  <c:v>83.7</c:v>
                </c:pt>
                <c:pt idx="20">
                  <c:v>81.2</c:v>
                </c:pt>
                <c:pt idx="21">
                  <c:v>86</c:v>
                </c:pt>
                <c:pt idx="22">
                  <c:v>88</c:v>
                </c:pt>
                <c:pt idx="23">
                  <c:v>90.8</c:v>
                </c:pt>
                <c:pt idx="24">
                  <c:v>93.6</c:v>
                </c:pt>
                <c:pt idx="25">
                  <c:v>98.1</c:v>
                </c:pt>
                <c:pt idx="26">
                  <c:v>98.9</c:v>
                </c:pt>
                <c:pt idx="27">
                  <c:v>99.5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DF8-4B2F-9221-B20A43002293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Elec_Access_base!$AL$169:$BP$169</c:f>
              <c:numCache>
                <c:formatCode>General</c:formatCode>
                <c:ptCount val="31"/>
                <c:pt idx="0">
                  <c:v>99.944923400878906</c:v>
                </c:pt>
                <c:pt idx="1">
                  <c:v>99.971641540527301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99.9</c:v>
                </c:pt>
                <c:pt idx="10">
                  <c:v>99.9</c:v>
                </c:pt>
                <c:pt idx="11">
                  <c:v>99.8</c:v>
                </c:pt>
                <c:pt idx="12">
                  <c:v>99.8</c:v>
                </c:pt>
                <c:pt idx="13">
                  <c:v>99.7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3DF8-4B2F-9221-B20A43002293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Elec_Access_base!$AL$170:$BP$170</c:f>
              <c:numCache>
                <c:formatCode>General</c:formatCode>
                <c:ptCount val="31"/>
                <c:pt idx="4">
                  <c:v>6.6</c:v>
                </c:pt>
                <c:pt idx="5">
                  <c:v>3.66317558288574</c:v>
                </c:pt>
                <c:pt idx="6">
                  <c:v>4.8791236877441397</c:v>
                </c:pt>
                <c:pt idx="7">
                  <c:v>6.1</c:v>
                </c:pt>
                <c:pt idx="8">
                  <c:v>5.7</c:v>
                </c:pt>
                <c:pt idx="9">
                  <c:v>8.4</c:v>
                </c:pt>
                <c:pt idx="10">
                  <c:v>8.1</c:v>
                </c:pt>
                <c:pt idx="11">
                  <c:v>10.7</c:v>
                </c:pt>
                <c:pt idx="12">
                  <c:v>11.8</c:v>
                </c:pt>
                <c:pt idx="13">
                  <c:v>13</c:v>
                </c:pt>
                <c:pt idx="14">
                  <c:v>12.4</c:v>
                </c:pt>
                <c:pt idx="15">
                  <c:v>13.6</c:v>
                </c:pt>
                <c:pt idx="16">
                  <c:v>15</c:v>
                </c:pt>
                <c:pt idx="17">
                  <c:v>18.899999999999999</c:v>
                </c:pt>
                <c:pt idx="18">
                  <c:v>20.2</c:v>
                </c:pt>
                <c:pt idx="19">
                  <c:v>21.2</c:v>
                </c:pt>
                <c:pt idx="20">
                  <c:v>22.4</c:v>
                </c:pt>
                <c:pt idx="21">
                  <c:v>24.8</c:v>
                </c:pt>
                <c:pt idx="22">
                  <c:v>24</c:v>
                </c:pt>
                <c:pt idx="23">
                  <c:v>26.2</c:v>
                </c:pt>
                <c:pt idx="24">
                  <c:v>24.3</c:v>
                </c:pt>
                <c:pt idx="25">
                  <c:v>31.1</c:v>
                </c:pt>
                <c:pt idx="26">
                  <c:v>29.7</c:v>
                </c:pt>
                <c:pt idx="27">
                  <c:v>30.6</c:v>
                </c:pt>
                <c:pt idx="28">
                  <c:v>31.5</c:v>
                </c:pt>
                <c:pt idx="29">
                  <c:v>33.200000000000003</c:v>
                </c:pt>
                <c:pt idx="3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DF8-4B2F-9221-B20A43002293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Elec_Access_base!$AL$171:$BP$171</c:f>
              <c:numCache>
                <c:formatCode>General</c:formatCode>
                <c:ptCount val="31"/>
                <c:pt idx="7">
                  <c:v>19.100000000000001</c:v>
                </c:pt>
                <c:pt idx="8">
                  <c:v>22.2</c:v>
                </c:pt>
                <c:pt idx="9">
                  <c:v>21.7</c:v>
                </c:pt>
                <c:pt idx="10">
                  <c:v>23</c:v>
                </c:pt>
                <c:pt idx="11">
                  <c:v>24.3</c:v>
                </c:pt>
                <c:pt idx="12">
                  <c:v>18.2</c:v>
                </c:pt>
                <c:pt idx="13">
                  <c:v>27</c:v>
                </c:pt>
                <c:pt idx="14">
                  <c:v>33</c:v>
                </c:pt>
                <c:pt idx="15">
                  <c:v>30</c:v>
                </c:pt>
                <c:pt idx="16">
                  <c:v>31.1</c:v>
                </c:pt>
                <c:pt idx="17">
                  <c:v>34.200000000000003</c:v>
                </c:pt>
                <c:pt idx="18">
                  <c:v>35.299999999999997</c:v>
                </c:pt>
                <c:pt idx="19">
                  <c:v>36.4</c:v>
                </c:pt>
                <c:pt idx="20">
                  <c:v>37.6</c:v>
                </c:pt>
                <c:pt idx="21">
                  <c:v>38.799999999999997</c:v>
                </c:pt>
                <c:pt idx="22">
                  <c:v>39.5</c:v>
                </c:pt>
                <c:pt idx="23">
                  <c:v>41.2</c:v>
                </c:pt>
                <c:pt idx="24">
                  <c:v>42.9</c:v>
                </c:pt>
                <c:pt idx="25">
                  <c:v>43.6</c:v>
                </c:pt>
                <c:pt idx="26">
                  <c:v>44.9</c:v>
                </c:pt>
                <c:pt idx="27">
                  <c:v>45.4</c:v>
                </c:pt>
                <c:pt idx="28">
                  <c:v>47.7</c:v>
                </c:pt>
                <c:pt idx="29">
                  <c:v>49</c:v>
                </c:pt>
                <c:pt idx="30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3DF8-4B2F-9221-B20A43002293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Elec_Access_base!$AL$172:$BP$172</c:f>
              <c:numCache>
                <c:formatCode>General</c:formatCode>
                <c:ptCount val="31"/>
                <c:pt idx="0">
                  <c:v>99.128005981445298</c:v>
                </c:pt>
                <c:pt idx="1">
                  <c:v>99.154968261718807</c:v>
                </c:pt>
                <c:pt idx="2">
                  <c:v>99.179885864257798</c:v>
                </c:pt>
                <c:pt idx="3">
                  <c:v>99.202095031738295</c:v>
                </c:pt>
                <c:pt idx="4">
                  <c:v>99.220893859863295</c:v>
                </c:pt>
                <c:pt idx="5">
                  <c:v>99.235618591308594</c:v>
                </c:pt>
                <c:pt idx="6">
                  <c:v>99.245506286621094</c:v>
                </c:pt>
                <c:pt idx="7">
                  <c:v>99</c:v>
                </c:pt>
                <c:pt idx="8">
                  <c:v>99.2</c:v>
                </c:pt>
                <c:pt idx="9">
                  <c:v>99.4</c:v>
                </c:pt>
                <c:pt idx="10">
                  <c:v>99.1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99.4</c:v>
                </c:pt>
                <c:pt idx="18">
                  <c:v>99.6</c:v>
                </c:pt>
                <c:pt idx="19">
                  <c:v>99.4</c:v>
                </c:pt>
                <c:pt idx="20">
                  <c:v>99.4</c:v>
                </c:pt>
                <c:pt idx="21">
                  <c:v>99.5</c:v>
                </c:pt>
                <c:pt idx="22">
                  <c:v>99.6</c:v>
                </c:pt>
                <c:pt idx="23">
                  <c:v>99.7</c:v>
                </c:pt>
                <c:pt idx="24">
                  <c:v>99.6</c:v>
                </c:pt>
                <c:pt idx="25">
                  <c:v>99.8</c:v>
                </c:pt>
                <c:pt idx="26">
                  <c:v>100</c:v>
                </c:pt>
                <c:pt idx="27">
                  <c:v>99.5</c:v>
                </c:pt>
                <c:pt idx="28">
                  <c:v>99.6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DF8-4B2F-9221-B20A43002293}"/>
            </c:ext>
          </c:extLst>
        </c:ser>
        <c:ser>
          <c:idx val="71"/>
          <c:order val="71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Elec_Access_base!$AL$173:$BP$173</c:f>
              <c:numCache>
                <c:formatCode>General</c:formatCode>
                <c:ptCount val="31"/>
                <c:pt idx="0">
                  <c:v>1.55355584621429</c:v>
                </c:pt>
                <c:pt idx="1">
                  <c:v>2.01366138458252</c:v>
                </c:pt>
                <c:pt idx="2">
                  <c:v>2.4717271327972399</c:v>
                </c:pt>
                <c:pt idx="3">
                  <c:v>2.92707347869873</c:v>
                </c:pt>
                <c:pt idx="4">
                  <c:v>3.3790202140808101</c:v>
                </c:pt>
                <c:pt idx="5">
                  <c:v>3.8268876075744598</c:v>
                </c:pt>
                <c:pt idx="6">
                  <c:v>4.2699127197265598</c:v>
                </c:pt>
                <c:pt idx="7">
                  <c:v>4.8</c:v>
                </c:pt>
                <c:pt idx="8">
                  <c:v>5.2</c:v>
                </c:pt>
                <c:pt idx="9">
                  <c:v>5.6</c:v>
                </c:pt>
                <c:pt idx="10">
                  <c:v>6.2</c:v>
                </c:pt>
                <c:pt idx="11">
                  <c:v>6.9</c:v>
                </c:pt>
                <c:pt idx="12">
                  <c:v>6.6</c:v>
                </c:pt>
                <c:pt idx="13">
                  <c:v>3.7</c:v>
                </c:pt>
                <c:pt idx="14">
                  <c:v>7.4</c:v>
                </c:pt>
                <c:pt idx="15">
                  <c:v>7.8</c:v>
                </c:pt>
                <c:pt idx="16">
                  <c:v>8.3000000000000007</c:v>
                </c:pt>
                <c:pt idx="17">
                  <c:v>8.6999999999999993</c:v>
                </c:pt>
                <c:pt idx="18">
                  <c:v>7.6</c:v>
                </c:pt>
                <c:pt idx="19">
                  <c:v>7.4</c:v>
                </c:pt>
                <c:pt idx="20">
                  <c:v>9</c:v>
                </c:pt>
                <c:pt idx="21">
                  <c:v>11.9</c:v>
                </c:pt>
                <c:pt idx="22">
                  <c:v>10.8</c:v>
                </c:pt>
                <c:pt idx="23">
                  <c:v>11</c:v>
                </c:pt>
                <c:pt idx="24">
                  <c:v>12.7</c:v>
                </c:pt>
                <c:pt idx="25">
                  <c:v>18</c:v>
                </c:pt>
                <c:pt idx="26">
                  <c:v>11.2</c:v>
                </c:pt>
                <c:pt idx="27">
                  <c:v>11.5</c:v>
                </c:pt>
                <c:pt idx="28">
                  <c:v>14.2</c:v>
                </c:pt>
                <c:pt idx="29">
                  <c:v>14</c:v>
                </c:pt>
                <c:pt idx="30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3DF8-4B2F-9221-B20A43002293}"/>
            </c:ext>
          </c:extLst>
        </c:ser>
        <c:ser>
          <c:idx val="72"/>
          <c:order val="72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Elec_Access_base!$AL$174:$BP$174</c:f>
              <c:numCache>
                <c:formatCode>General</c:formatCode>
                <c:ptCount val="31"/>
                <c:pt idx="7">
                  <c:v>98.6</c:v>
                </c:pt>
                <c:pt idx="8">
                  <c:v>98.6</c:v>
                </c:pt>
                <c:pt idx="9">
                  <c:v>98.6</c:v>
                </c:pt>
                <c:pt idx="10">
                  <c:v>98.7</c:v>
                </c:pt>
                <c:pt idx="11">
                  <c:v>98.7</c:v>
                </c:pt>
                <c:pt idx="12">
                  <c:v>98.7</c:v>
                </c:pt>
                <c:pt idx="13">
                  <c:v>98.8</c:v>
                </c:pt>
                <c:pt idx="14">
                  <c:v>98.9</c:v>
                </c:pt>
                <c:pt idx="15">
                  <c:v>99</c:v>
                </c:pt>
                <c:pt idx="16">
                  <c:v>99.3</c:v>
                </c:pt>
                <c:pt idx="17">
                  <c:v>99.5</c:v>
                </c:pt>
                <c:pt idx="18">
                  <c:v>99.5</c:v>
                </c:pt>
                <c:pt idx="19">
                  <c:v>99.8</c:v>
                </c:pt>
                <c:pt idx="20">
                  <c:v>99.6</c:v>
                </c:pt>
                <c:pt idx="21">
                  <c:v>99.7</c:v>
                </c:pt>
                <c:pt idx="22">
                  <c:v>99.9</c:v>
                </c:pt>
                <c:pt idx="23">
                  <c:v>99.9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DF8-4B2F-9221-B20A43002293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Elec_Access_base!$AL$175:$BP$175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3DF8-4B2F-9221-B20A43002293}"/>
            </c:ext>
          </c:extLst>
        </c:ser>
        <c:ser>
          <c:idx val="74"/>
          <c:order val="74"/>
          <c:tx>
            <c:strRef>
              <c:f>Elec_Access_base!$A$176</c:f>
              <c:strCache>
                <c:ptCount val="1"/>
                <c:pt idx="0">
                  <c:v>Namibia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Elec_Access_base!$AL$4:$BP$4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Elec_Access_base!$AL$176:$BP$176</c:f>
              <c:numCache>
                <c:formatCode>General</c:formatCode>
                <c:ptCount val="31"/>
                <c:pt idx="0">
                  <c:v>27</c:v>
                </c:pt>
                <c:pt idx="1">
                  <c:v>28.932588577270501</c:v>
                </c:pt>
                <c:pt idx="2">
                  <c:v>29.9521484375</c:v>
                </c:pt>
                <c:pt idx="3">
                  <c:v>30.968988418579102</c:v>
                </c:pt>
                <c:pt idx="4">
                  <c:v>31.982429504394499</c:v>
                </c:pt>
                <c:pt idx="5">
                  <c:v>32.991790771484403</c:v>
                </c:pt>
                <c:pt idx="6">
                  <c:v>33.996311187744098</c:v>
                </c:pt>
                <c:pt idx="7">
                  <c:v>36.5</c:v>
                </c:pt>
                <c:pt idx="8">
                  <c:v>36</c:v>
                </c:pt>
                <c:pt idx="9">
                  <c:v>36.9</c:v>
                </c:pt>
                <c:pt idx="10">
                  <c:v>37.799999999999997</c:v>
                </c:pt>
                <c:pt idx="11">
                  <c:v>38.700000000000003</c:v>
                </c:pt>
                <c:pt idx="12">
                  <c:v>39.6</c:v>
                </c:pt>
                <c:pt idx="13">
                  <c:v>40.5</c:v>
                </c:pt>
                <c:pt idx="14">
                  <c:v>43.7</c:v>
                </c:pt>
                <c:pt idx="15">
                  <c:v>42.4</c:v>
                </c:pt>
                <c:pt idx="16">
                  <c:v>44.1</c:v>
                </c:pt>
                <c:pt idx="17">
                  <c:v>44.4</c:v>
                </c:pt>
                <c:pt idx="18">
                  <c:v>42.3</c:v>
                </c:pt>
                <c:pt idx="19">
                  <c:v>46.4</c:v>
                </c:pt>
                <c:pt idx="20">
                  <c:v>47.4</c:v>
                </c:pt>
                <c:pt idx="21">
                  <c:v>48.4</c:v>
                </c:pt>
                <c:pt idx="22">
                  <c:v>51.6</c:v>
                </c:pt>
                <c:pt idx="23">
                  <c:v>49.7</c:v>
                </c:pt>
                <c:pt idx="24">
                  <c:v>52.5</c:v>
                </c:pt>
                <c:pt idx="25">
                  <c:v>52.3</c:v>
                </c:pt>
                <c:pt idx="26">
                  <c:v>53.3</c:v>
                </c:pt>
                <c:pt idx="27">
                  <c:v>52.3</c:v>
                </c:pt>
                <c:pt idx="28">
                  <c:v>55.2</c:v>
                </c:pt>
                <c:pt idx="29">
                  <c:v>56.2</c:v>
                </c:pt>
                <c:pt idx="30">
                  <c:v>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DF8-4B2F-9221-B20A43002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32696"/>
        <c:axId val="997075120"/>
      </c:lineChart>
      <c:catAx>
        <c:axId val="116863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075120"/>
        <c:crosses val="autoZero"/>
        <c:auto val="1"/>
        <c:lblAlgn val="ctr"/>
        <c:lblOffset val="100"/>
        <c:noMultiLvlLbl val="0"/>
      </c:catAx>
      <c:valAx>
        <c:axId val="99707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63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784225</xdr:colOff>
      <xdr:row>271</xdr:row>
      <xdr:rowOff>76200</xdr:rowOff>
    </xdr:from>
    <xdr:to>
      <xdr:col>67</xdr:col>
      <xdr:colOff>555625</xdr:colOff>
      <xdr:row>292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266E9-8E5B-BD52-8D06-EFB367863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183E-B667-4B5A-A51A-B15B419D4F73}">
  <dimension ref="A1:U126"/>
  <sheetViews>
    <sheetView tabSelected="1" zoomScaleNormal="100" workbookViewId="0">
      <pane xSplit="2" ySplit="1" topLeftCell="C56" activePane="bottomRight" state="frozen"/>
      <selection pane="topRight" activeCell="C1" sqref="C1"/>
      <selection pane="bottomLeft" activeCell="A2" sqref="A2"/>
      <selection pane="bottomRight" activeCell="M62" sqref="M62"/>
    </sheetView>
  </sheetViews>
  <sheetFormatPr defaultRowHeight="14.4" x14ac:dyDescent="0.3"/>
  <cols>
    <col min="1" max="1" width="20.109375" bestFit="1" customWidth="1"/>
    <col min="2" max="2" width="5.21875" bestFit="1" customWidth="1"/>
    <col min="3" max="3" width="12.5546875" bestFit="1" customWidth="1"/>
    <col min="4" max="4" width="17.21875" bestFit="1" customWidth="1"/>
    <col min="5" max="5" width="12.33203125" bestFit="1" customWidth="1"/>
    <col min="6" max="6" width="13.44140625" bestFit="1" customWidth="1"/>
    <col min="7" max="7" width="13.44140625" customWidth="1"/>
    <col min="8" max="8" width="11" customWidth="1"/>
    <col min="9" max="9" width="16.33203125" bestFit="1" customWidth="1"/>
    <col min="10" max="10" width="18" bestFit="1" customWidth="1"/>
    <col min="15" max="15" width="15.44140625" bestFit="1" customWidth="1"/>
    <col min="18" max="18" width="12.5546875" bestFit="1" customWidth="1"/>
    <col min="19" max="19" width="18.33203125" bestFit="1" customWidth="1"/>
  </cols>
  <sheetData>
    <row r="1" spans="1:21" x14ac:dyDescent="0.3">
      <c r="A1" t="s">
        <v>0</v>
      </c>
      <c r="B1" t="s">
        <v>1</v>
      </c>
      <c r="C1" t="s">
        <v>241</v>
      </c>
      <c r="D1" t="s">
        <v>242</v>
      </c>
      <c r="E1" t="s">
        <v>766</v>
      </c>
      <c r="F1" t="s">
        <v>767</v>
      </c>
      <c r="G1" t="s">
        <v>768</v>
      </c>
      <c r="H1" t="s">
        <v>244</v>
      </c>
      <c r="I1" t="s">
        <v>243</v>
      </c>
      <c r="J1" t="s">
        <v>717</v>
      </c>
    </row>
    <row r="2" spans="1:21" x14ac:dyDescent="0.3">
      <c r="A2" t="s">
        <v>4</v>
      </c>
      <c r="B2" t="s">
        <v>5</v>
      </c>
      <c r="C2" s="2">
        <f>VLOOKUP(A2,POP_base!$C$2:$T$201,17,0)*10^6</f>
        <v>2883156</v>
      </c>
      <c r="D2" s="2">
        <f>VLOOKUP(A2,GDP_PPP_base!$C$2:$N$193,11,0)*10^9</f>
        <v>35068900000</v>
      </c>
      <c r="E2" s="2">
        <f>VLOOKUP(A2,INC_PPP_base!$C$2:$N$193,11,0)</f>
        <v>12166.2</v>
      </c>
      <c r="F2" s="2">
        <f t="shared" ref="F2:F33" si="0">D2/C2</f>
        <v>12163.372360011044</v>
      </c>
      <c r="G2" s="4">
        <f t="shared" ref="G2:G33" si="1">(F2-E2)/E2</f>
        <v>-2.3241768086637029E-4</v>
      </c>
      <c r="H2" s="3">
        <f>VLOOKUP(A2,Elec_Access_base!$A$5:$BH$270,60,0)/100</f>
        <v>1</v>
      </c>
      <c r="I2" s="2">
        <f>11487</f>
        <v>11487</v>
      </c>
      <c r="J2" s="2">
        <f t="shared" ref="J2:J33" si="2">I2*10^9/3600/C2</f>
        <v>1106.7154650436305</v>
      </c>
      <c r="K2" s="5"/>
      <c r="L2" s="6"/>
      <c r="M2" s="4"/>
      <c r="N2" s="4"/>
      <c r="P2" s="3"/>
      <c r="Q2" s="3"/>
      <c r="R2" s="2"/>
      <c r="S2" s="2"/>
      <c r="T2" s="2"/>
      <c r="U2" s="2"/>
    </row>
    <row r="3" spans="1:21" x14ac:dyDescent="0.3">
      <c r="A3" t="s">
        <v>67</v>
      </c>
      <c r="B3" t="s">
        <v>68</v>
      </c>
      <c r="C3" s="2">
        <f>VLOOKUP(A3,POP_base!$C$2:$T$201,17,0)*10^6</f>
        <v>39146480.000000007</v>
      </c>
      <c r="D3" s="2">
        <f>VLOOKUP(A3,GDP_PPP_base!$C$2:$N$193,11,0)*10^9</f>
        <v>456849000000</v>
      </c>
      <c r="E3" s="2">
        <f>VLOOKUP(A3,INC_PPP_base!$C$2:$N$193,11,0)</f>
        <v>11553.2</v>
      </c>
      <c r="F3" s="2">
        <f t="shared" si="0"/>
        <v>11670.244681003245</v>
      </c>
      <c r="G3" s="4">
        <f t="shared" si="1"/>
        <v>1.0130931776758341E-2</v>
      </c>
      <c r="H3" s="3">
        <f>VLOOKUP(A3,Elec_Access_base!$A$5:$BH$270,60,0)/100</f>
        <v>0.99400000000000011</v>
      </c>
      <c r="I3" s="2">
        <f>70819</f>
        <v>70819</v>
      </c>
      <c r="J3" s="2">
        <f t="shared" si="2"/>
        <v>502.52141302217819</v>
      </c>
      <c r="K3" s="5"/>
      <c r="L3" s="6"/>
      <c r="M3" s="7"/>
      <c r="N3" s="7"/>
      <c r="P3" s="3"/>
      <c r="Q3" s="3"/>
    </row>
    <row r="4" spans="1:21" x14ac:dyDescent="0.3">
      <c r="A4" t="s">
        <v>2</v>
      </c>
      <c r="B4" t="s">
        <v>3</v>
      </c>
      <c r="C4" s="2">
        <f>VLOOKUP(A4,POP_base!$C$2:$T$201,17,0)*10^6</f>
        <v>27624320</v>
      </c>
      <c r="D4" s="2">
        <f>VLOOKUP(A4,GDP_PPP_base!$C$2:$N$193,11,0)*10^9</f>
        <v>223908000000</v>
      </c>
      <c r="E4" s="2">
        <f>VLOOKUP(A4,INC_PPP_base!$C$2:$N$193,11,0)</f>
        <v>7960.42</v>
      </c>
      <c r="F4" s="2">
        <f t="shared" si="0"/>
        <v>8105.4664875008684</v>
      </c>
      <c r="G4" s="4">
        <f t="shared" si="1"/>
        <v>1.8220959132918661E-2</v>
      </c>
      <c r="H4" s="3">
        <f>VLOOKUP(A4,Elec_Access_base!$A$5:$BH$270,60,0)/100</f>
        <v>0.42</v>
      </c>
      <c r="I4" s="2">
        <f>19987</f>
        <v>19987</v>
      </c>
      <c r="J4" s="2">
        <f t="shared" si="2"/>
        <v>200.98031171244921</v>
      </c>
      <c r="K4" s="5"/>
      <c r="L4" s="6"/>
      <c r="M4" s="4"/>
      <c r="N4" s="4"/>
      <c r="P4" s="3"/>
      <c r="Q4" s="3"/>
    </row>
    <row r="5" spans="1:21" x14ac:dyDescent="0.3">
      <c r="A5" t="s">
        <v>8</v>
      </c>
      <c r="B5" t="s">
        <v>9</v>
      </c>
      <c r="C5" s="2">
        <f>VLOOKUP(A5,POP_base!$C$2:$T$201,17,0)*10^6</f>
        <v>43042286.999999993</v>
      </c>
      <c r="D5" s="2">
        <f>VLOOKUP(A5,GDP_PPP_base!$C$2:$N$193,11,0)*10^9</f>
        <v>867021000000</v>
      </c>
      <c r="E5" s="2">
        <f>VLOOKUP(A5,INC_PPP_base!$C$2:$N$193,11,0)</f>
        <v>20043.5</v>
      </c>
      <c r="F5" s="2">
        <f t="shared" si="0"/>
        <v>20143.469606993702</v>
      </c>
      <c r="G5" s="4">
        <f t="shared" si="1"/>
        <v>4.9876322495423326E-3</v>
      </c>
      <c r="H5" s="3">
        <f>VLOOKUP(A5,Elec_Access_base!$A$5:$BH$270,60,0)/100</f>
        <v>0.997</v>
      </c>
      <c r="I5" s="2">
        <f>156099</f>
        <v>156099</v>
      </c>
      <c r="J5" s="2">
        <f t="shared" si="2"/>
        <v>1007.4007762025597</v>
      </c>
      <c r="K5" s="5"/>
      <c r="L5" s="6"/>
      <c r="M5" s="4"/>
      <c r="N5" s="4"/>
      <c r="P5" s="3"/>
      <c r="Q5" s="3"/>
    </row>
    <row r="6" spans="1:21" x14ac:dyDescent="0.3">
      <c r="A6" t="s">
        <v>10</v>
      </c>
      <c r="B6" t="s">
        <v>11</v>
      </c>
      <c r="C6" s="2">
        <f>VLOOKUP(A6,POP_base!$C$2:$T$201,17,0)*10^6</f>
        <v>2884958</v>
      </c>
      <c r="D6" s="2">
        <f>VLOOKUP(A6,GDP_PPP_base!$C$2:$N$193,11,0)*10^9</f>
        <v>33117800000.000004</v>
      </c>
      <c r="E6" s="2">
        <f>VLOOKUP(A6,INC_PPP_base!$C$2:$N$193,11,0)</f>
        <v>11504.8</v>
      </c>
      <c r="F6" s="2">
        <f t="shared" si="0"/>
        <v>11479.473877955937</v>
      </c>
      <c r="G6" s="4">
        <f t="shared" si="1"/>
        <v>-2.2013526566356458E-3</v>
      </c>
      <c r="H6" s="3">
        <f>VLOOKUP(A6,Elec_Access_base!$A$5:$BH$270,60,0)/100</f>
        <v>1</v>
      </c>
      <c r="I6" s="2">
        <f>6757</f>
        <v>6757</v>
      </c>
      <c r="J6" s="2">
        <f t="shared" si="2"/>
        <v>650.59680052341992</v>
      </c>
      <c r="K6" s="5"/>
      <c r="L6" s="6"/>
      <c r="M6" s="4"/>
      <c r="N6" s="4"/>
      <c r="P6" s="3"/>
    </row>
    <row r="7" spans="1:21" x14ac:dyDescent="0.3">
      <c r="A7" t="s">
        <v>12</v>
      </c>
      <c r="B7" t="s">
        <v>13</v>
      </c>
      <c r="C7" s="2">
        <f>VLOOKUP(A7,POP_base!$C$2:$T$201,17,0)*10^6</f>
        <v>23641437.999999996</v>
      </c>
      <c r="D7" s="2">
        <f>VLOOKUP(A7,GDP_PPP_base!$C$2:$N$193,11,0)*10^9</f>
        <v>1111680000000</v>
      </c>
      <c r="E7" s="2">
        <f>VLOOKUP(A7,INC_PPP_base!$C$2:$N$193,11,0)</f>
        <v>46669.7</v>
      </c>
      <c r="F7" s="2">
        <f t="shared" si="0"/>
        <v>47022.520372914718</v>
      </c>
      <c r="G7" s="4">
        <f t="shared" si="1"/>
        <v>7.5599451660225119E-3</v>
      </c>
      <c r="H7" s="3">
        <f>VLOOKUP(A7,Elec_Access_base!$A$5:$BH$270,60,0)/100</f>
        <v>1</v>
      </c>
      <c r="I7" s="2">
        <f>202797</f>
        <v>202797</v>
      </c>
      <c r="J7" s="2">
        <f t="shared" si="2"/>
        <v>2382.7865293134878</v>
      </c>
      <c r="K7" s="5"/>
      <c r="L7" s="6"/>
      <c r="M7" s="4"/>
      <c r="N7" s="4"/>
      <c r="P7" s="3"/>
    </row>
    <row r="8" spans="1:21" x14ac:dyDescent="0.3">
      <c r="A8" t="s">
        <v>14</v>
      </c>
      <c r="B8" t="s">
        <v>15</v>
      </c>
      <c r="C8" s="2">
        <f>VLOOKUP(A8,POP_base!$C$2:$T$201,17,0)*10^6</f>
        <v>8584609</v>
      </c>
      <c r="D8" s="2">
        <f>VLOOKUP(A8,GDP_PPP_base!$C$2:$N$193,11,0)*10^9</f>
        <v>431002000000</v>
      </c>
      <c r="E8" s="2">
        <f>VLOOKUP(A8,INC_PPP_base!$C$2:$N$193,11,0)</f>
        <v>49870.5</v>
      </c>
      <c r="F8" s="2">
        <f t="shared" si="0"/>
        <v>50206.363504732712</v>
      </c>
      <c r="G8" s="4">
        <f t="shared" si="1"/>
        <v>6.7347130013276704E-3</v>
      </c>
      <c r="H8" s="3">
        <f>VLOOKUP(A8,Elec_Access_base!$A$5:$BH$270,60,0)/100</f>
        <v>1</v>
      </c>
      <c r="I8" s="2">
        <f>61975</f>
        <v>61975</v>
      </c>
      <c r="J8" s="2">
        <f t="shared" si="2"/>
        <v>2005.3653902906676</v>
      </c>
      <c r="K8" s="5"/>
      <c r="L8" s="6"/>
      <c r="M8" s="4"/>
      <c r="N8" s="4"/>
    </row>
    <row r="9" spans="1:21" x14ac:dyDescent="0.3">
      <c r="A9" t="s">
        <v>25</v>
      </c>
      <c r="B9" t="s">
        <v>26</v>
      </c>
      <c r="C9" s="2">
        <f>VLOOKUP(A9,POP_base!$C$2:$T$201,17,0)*10^6</f>
        <v>1338295</v>
      </c>
      <c r="D9" s="2">
        <f>VLOOKUP(A9,GDP_PPP_base!$C$2:$N$193,11,0)*10^9</f>
        <v>65998700000</v>
      </c>
      <c r="E9" s="2">
        <f>VLOOKUP(A9,INC_PPP_base!$C$2:$N$193,11,0)</f>
        <v>48452.1</v>
      </c>
      <c r="F9" s="2">
        <f t="shared" si="0"/>
        <v>49315.509659678923</v>
      </c>
      <c r="G9" s="4">
        <f t="shared" si="1"/>
        <v>1.7819860432858929E-2</v>
      </c>
      <c r="H9" s="3">
        <f>VLOOKUP(A9,Elec_Access_base!$A$5:$BH$270,60,0)/100</f>
        <v>1</v>
      </c>
      <c r="I9" s="2">
        <f>27453</f>
        <v>27453</v>
      </c>
      <c r="J9" s="2">
        <f t="shared" si="2"/>
        <v>5698.1706823483109</v>
      </c>
      <c r="K9" s="5"/>
      <c r="L9" s="6"/>
      <c r="M9" s="4"/>
      <c r="N9" s="4"/>
    </row>
    <row r="10" spans="1:21" x14ac:dyDescent="0.3">
      <c r="A10" t="s">
        <v>21</v>
      </c>
      <c r="B10" t="s">
        <v>22</v>
      </c>
      <c r="C10" s="2">
        <f>VLOOKUP(A10,POP_base!$C$2:$T$201,17,0)*10^6</f>
        <v>156916324</v>
      </c>
      <c r="D10" s="2">
        <f>VLOOKUP(A10,GDP_PPP_base!$C$2:$N$193,11,0)*10^9</f>
        <v>730948000000</v>
      </c>
      <c r="E10" s="2">
        <f>VLOOKUP(A10,INC_PPP_base!$C$2:$N$193,11,0)</f>
        <v>4631.24</v>
      </c>
      <c r="F10" s="2">
        <f t="shared" si="0"/>
        <v>4658.2024187617344</v>
      </c>
      <c r="G10" s="4">
        <f t="shared" si="1"/>
        <v>5.8218573776644324E-3</v>
      </c>
      <c r="H10" s="3">
        <f>VLOOKUP(A10,Elec_Access_base!$A$5:$BH$270,60,0)/100</f>
        <v>0.74</v>
      </c>
      <c r="I10" s="2">
        <f>60505</f>
        <v>60505</v>
      </c>
      <c r="J10" s="2">
        <f t="shared" si="2"/>
        <v>107.10768654282549</v>
      </c>
      <c r="K10" s="5"/>
      <c r="L10" s="6"/>
      <c r="M10" s="4"/>
      <c r="N10" s="4"/>
    </row>
    <row r="11" spans="1:21" x14ac:dyDescent="0.3">
      <c r="A11" t="s">
        <v>29</v>
      </c>
      <c r="B11" t="s">
        <v>30</v>
      </c>
      <c r="C11" s="2">
        <f>VLOOKUP(A11,POP_base!$C$2:$T$201,17,0)*10^6</f>
        <v>9696501</v>
      </c>
      <c r="D11" s="2">
        <f>VLOOKUP(A11,GDP_PPP_base!$C$2:$N$193,11,0)*10^9</f>
        <v>173734000000</v>
      </c>
      <c r="E11" s="2">
        <f>VLOOKUP(A11,INC_PPP_base!$C$2:$N$193,11,0)</f>
        <v>17909.599999999999</v>
      </c>
      <c r="F11" s="2">
        <f t="shared" si="0"/>
        <v>17917.184765927421</v>
      </c>
      <c r="G11" s="4">
        <f t="shared" si="1"/>
        <v>4.235028100807538E-4</v>
      </c>
      <c r="H11" s="3">
        <f>VLOOKUP(A11,Elec_Access_base!$A$5:$BH$270,60,0)/100</f>
        <v>0.97400000000000009</v>
      </c>
      <c r="I11" s="2">
        <f>23763</f>
        <v>23763</v>
      </c>
      <c r="J11" s="2">
        <f t="shared" si="2"/>
        <v>680.74384082808149</v>
      </c>
      <c r="K11" s="5"/>
      <c r="L11" s="6"/>
      <c r="M11" s="4"/>
      <c r="N11" s="4"/>
    </row>
    <row r="12" spans="1:21" x14ac:dyDescent="0.3">
      <c r="A12" t="s">
        <v>17</v>
      </c>
      <c r="B12" t="s">
        <v>18</v>
      </c>
      <c r="C12" s="2">
        <f>VLOOKUP(A12,POP_base!$C$2:$T$201,17,0)*10^6</f>
        <v>11214585.999999998</v>
      </c>
      <c r="D12" s="2">
        <f>VLOOKUP(A12,GDP_PPP_base!$C$2:$N$193,11,0)*10^9</f>
        <v>520866000000</v>
      </c>
      <c r="E12" s="2">
        <f>VLOOKUP(A12,INC_PPP_base!$C$2:$N$193,11,0)</f>
        <v>46306.2</v>
      </c>
      <c r="F12" s="2">
        <f t="shared" si="0"/>
        <v>46445.406009637816</v>
      </c>
      <c r="G12" s="4">
        <f t="shared" si="1"/>
        <v>3.006206720435257E-3</v>
      </c>
      <c r="H12" s="3">
        <f>VLOOKUP(A12,Elec_Access_base!$A$5:$BH$270,60,0)/100</f>
        <v>1</v>
      </c>
      <c r="I12" s="2">
        <f>65367</f>
        <v>65367</v>
      </c>
      <c r="J12" s="2">
        <f t="shared" si="2"/>
        <v>1619.0967727208122</v>
      </c>
      <c r="K12" s="5"/>
      <c r="L12" s="6"/>
      <c r="M12" s="4"/>
      <c r="N12" s="4"/>
      <c r="T12" s="4"/>
    </row>
    <row r="13" spans="1:21" x14ac:dyDescent="0.3">
      <c r="A13" t="s">
        <v>19</v>
      </c>
      <c r="B13" t="s">
        <v>20</v>
      </c>
      <c r="C13" s="2">
        <f>VLOOKUP(A13,POP_base!$C$2:$T$201,17,0)*10^6</f>
        <v>10771657</v>
      </c>
      <c r="D13" s="2">
        <f>VLOOKUP(A13,GDP_PPP_base!$C$2:$N$193,11,0)*10^9</f>
        <v>31156400000</v>
      </c>
      <c r="E13" s="2">
        <f>VLOOKUP(A13,INC_PPP_base!$C$2:$N$193,11,0)</f>
        <v>2849.81</v>
      </c>
      <c r="F13" s="2">
        <f t="shared" si="0"/>
        <v>2892.4426390480126</v>
      </c>
      <c r="G13" s="4">
        <f t="shared" si="1"/>
        <v>1.4959818039803568E-2</v>
      </c>
      <c r="H13" s="3">
        <f>VLOOKUP(A13,Elec_Access_base!$A$5:$BH$270,60,0)/100</f>
        <v>0.29600000000000004</v>
      </c>
      <c r="I13" s="2">
        <f>1407</f>
        <v>1407</v>
      </c>
      <c r="J13" s="2">
        <f t="shared" si="2"/>
        <v>36.283492255029408</v>
      </c>
      <c r="K13" s="5"/>
      <c r="L13" s="6"/>
      <c r="M13" s="4"/>
      <c r="N13" s="4"/>
    </row>
    <row r="14" spans="1:21" x14ac:dyDescent="0.3">
      <c r="A14" t="s">
        <v>31</v>
      </c>
      <c r="B14" t="s">
        <v>32</v>
      </c>
      <c r="C14" s="2">
        <f>VLOOKUP(A14,POP_base!$C$2:$T$201,17,0)*10^6</f>
        <v>11003680.000000002</v>
      </c>
      <c r="D14" s="2">
        <f>VLOOKUP(A14,GDP_PPP_base!$C$2:$N$193,11,0)*10^9</f>
        <v>86788900000</v>
      </c>
      <c r="E14" s="2">
        <f>VLOOKUP(A14,INC_PPP_base!$C$2:$N$193,11,0)</f>
        <v>7825.8</v>
      </c>
      <c r="F14" s="2">
        <f t="shared" si="0"/>
        <v>7887.2613525656861</v>
      </c>
      <c r="G14" s="4">
        <f t="shared" si="1"/>
        <v>7.8536830184372155E-3</v>
      </c>
      <c r="H14" s="3">
        <f>VLOOKUP(A14,Elec_Access_base!$A$5:$BH$270,60,0)/100</f>
        <v>0.91500000000000004</v>
      </c>
      <c r="I14" s="2">
        <f>10771</f>
        <v>10771</v>
      </c>
      <c r="J14" s="2">
        <f t="shared" si="2"/>
        <v>271.90398525261043</v>
      </c>
      <c r="K14" s="5"/>
      <c r="L14" s="6"/>
      <c r="M14" s="4"/>
      <c r="N14" s="4"/>
    </row>
    <row r="15" spans="1:21" x14ac:dyDescent="0.3">
      <c r="A15" t="s">
        <v>27</v>
      </c>
      <c r="B15" t="s">
        <v>28</v>
      </c>
      <c r="C15" s="2">
        <f>VLOOKUP(A15,POP_base!$C$2:$T$201,17,0)*10^6</f>
        <v>3546921</v>
      </c>
      <c r="D15" s="2">
        <f>VLOOKUP(A15,GDP_PPP_base!$C$2:$N$193,11,0)*10^9</f>
        <v>44116800000</v>
      </c>
      <c r="E15" s="2">
        <f>VLOOKUP(A15,INC_PPP_base!$C$2:$N$193,11,0)</f>
        <v>12517.8</v>
      </c>
      <c r="F15" s="2">
        <f t="shared" si="0"/>
        <v>12438.055428919899</v>
      </c>
      <c r="G15" s="4">
        <f t="shared" si="1"/>
        <v>-6.3704941028056277E-3</v>
      </c>
      <c r="H15" s="3">
        <f>VLOOKUP(A15,Elec_Access_base!$A$5:$BH$270,60,0)/100</f>
        <v>0.997</v>
      </c>
      <c r="I15" s="2">
        <f>17013</f>
        <v>17013</v>
      </c>
      <c r="J15" s="2">
        <f t="shared" si="2"/>
        <v>1332.3762591084867</v>
      </c>
      <c r="K15" s="5"/>
      <c r="L15" s="6"/>
      <c r="M15" s="4"/>
      <c r="N15" s="4"/>
    </row>
    <row r="16" spans="1:21" x14ac:dyDescent="0.3">
      <c r="A16" t="s">
        <v>37</v>
      </c>
      <c r="B16" t="s">
        <v>38</v>
      </c>
      <c r="C16" s="2">
        <f>VLOOKUP(A16,POP_base!$C$2:$T$201,17,0)*10^6</f>
        <v>2282237.0000000005</v>
      </c>
      <c r="D16" s="2">
        <f>VLOOKUP(A16,GDP_PPP_base!$C$2:$N$193,11,0)*10^9</f>
        <v>31540800000</v>
      </c>
      <c r="E16" s="2">
        <f>VLOOKUP(A16,INC_PPP_base!$C$2:$N$193,11,0)</f>
        <v>13682.6</v>
      </c>
      <c r="F16" s="2">
        <f t="shared" si="0"/>
        <v>13820.124728501025</v>
      </c>
      <c r="G16" s="4">
        <f t="shared" si="1"/>
        <v>1.0051066939106937E-2</v>
      </c>
      <c r="H16" s="3">
        <f>VLOOKUP(A16,Elec_Access_base!$A$5:$BH$270,60,0)/100</f>
        <v>0.621</v>
      </c>
      <c r="I16" s="2">
        <f>3387</f>
        <v>3387</v>
      </c>
      <c r="J16" s="2">
        <f t="shared" si="2"/>
        <v>412.24173183299246</v>
      </c>
      <c r="K16" s="5"/>
      <c r="L16" s="6"/>
      <c r="M16" s="4"/>
      <c r="N16" s="4"/>
    </row>
    <row r="17" spans="1:14" x14ac:dyDescent="0.3">
      <c r="A17" t="s">
        <v>33</v>
      </c>
      <c r="B17" t="s">
        <v>34</v>
      </c>
      <c r="C17" s="2">
        <f>VLOOKUP(A17,POP_base!$C$2:$T$201,17,0)*10^6</f>
        <v>204334810</v>
      </c>
      <c r="D17" s="2">
        <f>VLOOKUP(A17,GDP_PPP_base!$C$2:$N$193,11,0)*10^9</f>
        <v>3016140000000</v>
      </c>
      <c r="E17" s="2">
        <f>VLOOKUP(A17,INC_PPP_base!$C$2:$N$193,11,0)</f>
        <v>14699.4</v>
      </c>
      <c r="F17" s="2">
        <f t="shared" si="0"/>
        <v>14760.774241060542</v>
      </c>
      <c r="G17" s="4">
        <f t="shared" si="1"/>
        <v>4.1752888594461524E-3</v>
      </c>
      <c r="H17" s="3">
        <f>VLOOKUP(A17,Elec_Access_base!$A$5:$BH$270,60,0)/100</f>
        <v>0.997</v>
      </c>
      <c r="I17" s="2">
        <f>472312</f>
        <v>472312</v>
      </c>
      <c r="J17" s="2">
        <f t="shared" si="2"/>
        <v>642.07257577785094</v>
      </c>
      <c r="K17" s="5"/>
      <c r="L17" s="6"/>
      <c r="M17" s="4"/>
      <c r="N17" s="4"/>
    </row>
    <row r="18" spans="1:14" x14ac:dyDescent="0.3">
      <c r="A18" t="s">
        <v>35</v>
      </c>
      <c r="B18" t="s">
        <v>36</v>
      </c>
      <c r="C18" s="2">
        <f>VLOOKUP(A18,POP_base!$C$2:$T$201,17,0)*10^6</f>
        <v>419093.00000000006</v>
      </c>
      <c r="D18" s="2">
        <f>VLOOKUP(A18,GDP_PPP_base!$C$2:$N$193,11,0)*10^9</f>
        <v>26196700000</v>
      </c>
      <c r="E18" s="2">
        <f>VLOOKUP(A18,INC_PPP_base!$C$2:$N$193,11,0)</f>
        <v>62160.1</v>
      </c>
      <c r="F18" s="2">
        <f t="shared" si="0"/>
        <v>62508.082931473436</v>
      </c>
      <c r="G18" s="4">
        <f t="shared" si="1"/>
        <v>5.5981720021917262E-3</v>
      </c>
      <c r="H18" s="3">
        <f>VLOOKUP(A18,Elec_Access_base!$A$5:$BH$270,60,0)/100</f>
        <v>1</v>
      </c>
      <c r="I18" s="2">
        <f>4820</f>
        <v>4820</v>
      </c>
      <c r="J18" s="2">
        <f t="shared" si="2"/>
        <v>3194.729782861772</v>
      </c>
      <c r="K18" s="5"/>
      <c r="L18" s="6"/>
      <c r="M18" s="4"/>
      <c r="N18" s="4"/>
    </row>
    <row r="19" spans="1:14" x14ac:dyDescent="0.3">
      <c r="A19" t="s">
        <v>23</v>
      </c>
      <c r="B19" t="s">
        <v>24</v>
      </c>
      <c r="C19" s="2">
        <f>VLOOKUP(A19,POP_base!$C$2:$T$201,17,0)*10^6</f>
        <v>7341383</v>
      </c>
      <c r="D19" s="2">
        <f>VLOOKUP(A19,GDP_PPP_base!$C$2:$N$193,11,0)*10^9</f>
        <v>143928000000</v>
      </c>
      <c r="E19" s="2">
        <f>VLOOKUP(A19,INC_PPP_base!$C$2:$N$193,11,0)</f>
        <v>19691.2</v>
      </c>
      <c r="F19" s="2">
        <f t="shared" si="0"/>
        <v>19605.025374646713</v>
      </c>
      <c r="G19" s="4">
        <f t="shared" si="1"/>
        <v>-4.3763013606731641E-3</v>
      </c>
      <c r="H19" s="3">
        <f>VLOOKUP(A19,Elec_Access_base!$A$5:$BH$270,60,0)/100</f>
        <v>0.96599999999999997</v>
      </c>
      <c r="I19" s="2">
        <f>38318</f>
        <v>38318</v>
      </c>
      <c r="J19" s="2">
        <f t="shared" si="2"/>
        <v>1449.8479222360268</v>
      </c>
      <c r="K19" s="5"/>
      <c r="L19" s="6"/>
      <c r="M19" s="4"/>
      <c r="N19" s="4"/>
    </row>
    <row r="20" spans="1:14" x14ac:dyDescent="0.3">
      <c r="A20" t="s">
        <v>126</v>
      </c>
      <c r="B20" t="s">
        <v>127</v>
      </c>
      <c r="C20" s="2">
        <f>VLOOKUP(A20,POP_base!$C$2:$T$201,17,0)*10^6</f>
        <v>15315991</v>
      </c>
      <c r="D20" s="2">
        <f>VLOOKUP(A20,GDP_PPP_base!$C$2:$N$193,11,0)*10^9</f>
        <v>55003400000</v>
      </c>
      <c r="E20" s="2">
        <f>VLOOKUP(A20,INC_PPP_base!$C$2:$N$193,11,0)</f>
        <v>3567.59</v>
      </c>
      <c r="F20" s="2">
        <f t="shared" si="0"/>
        <v>3591.2400314155316</v>
      </c>
      <c r="G20" s="4">
        <f t="shared" si="1"/>
        <v>6.6291337893455886E-3</v>
      </c>
      <c r="H20" s="3">
        <f>VLOOKUP(A20,Elec_Access_base!$A$5:$BH$270,60,0)/100</f>
        <v>0.627</v>
      </c>
      <c r="I20" s="2">
        <f>5486</f>
        <v>5486</v>
      </c>
      <c r="J20" s="2">
        <f t="shared" si="2"/>
        <v>99.496590778153944</v>
      </c>
      <c r="K20" s="5"/>
      <c r="L20" s="6"/>
      <c r="M20" s="4"/>
      <c r="N20" s="4"/>
    </row>
    <row r="21" spans="1:14" x14ac:dyDescent="0.3">
      <c r="A21" t="s">
        <v>48</v>
      </c>
      <c r="B21" t="s">
        <v>49</v>
      </c>
      <c r="C21" s="2">
        <f>VLOOKUP(A21,POP_base!$C$2:$T$201,17,0)*10^6</f>
        <v>22662456</v>
      </c>
      <c r="D21" s="2">
        <f>VLOOKUP(A21,GDP_PPP_base!$C$2:$N$193,11,0)*10^9</f>
        <v>83230700000</v>
      </c>
      <c r="E21" s="2">
        <f>VLOOKUP(A21,INC_PPP_base!$C$2:$N$193,11,0)</f>
        <v>3616.74</v>
      </c>
      <c r="F21" s="2">
        <f t="shared" si="0"/>
        <v>3672.6248911415428</v>
      </c>
      <c r="G21" s="4">
        <f t="shared" si="1"/>
        <v>1.5451730326631994E-2</v>
      </c>
      <c r="H21" s="3">
        <f>VLOOKUP(A21,Elec_Access_base!$A$5:$BH$270,60,0)/100</f>
        <v>0.58599999999999997</v>
      </c>
      <c r="I21" s="2">
        <f>4690</f>
        <v>4690</v>
      </c>
      <c r="J21" s="2">
        <f t="shared" si="2"/>
        <v>57.4861690973731</v>
      </c>
      <c r="K21" s="5"/>
      <c r="L21" s="6"/>
      <c r="M21" s="4"/>
      <c r="N21" s="4"/>
    </row>
    <row r="22" spans="1:14" x14ac:dyDescent="0.3">
      <c r="A22" t="s">
        <v>39</v>
      </c>
      <c r="B22" t="s">
        <v>40</v>
      </c>
      <c r="C22" s="2">
        <f>VLOOKUP(A22,POP_base!$C$2:$T$201,17,0)*10^6</f>
        <v>35562312</v>
      </c>
      <c r="D22" s="2">
        <f>VLOOKUP(A22,GDP_PPP_base!$C$2:$N$193,11,0)*10^9</f>
        <v>1594850000000</v>
      </c>
      <c r="E22" s="2">
        <f>VLOOKUP(A22,INC_PPP_base!$C$2:$N$193,11,0)</f>
        <v>44633.5</v>
      </c>
      <c r="F22" s="2">
        <f t="shared" si="0"/>
        <v>44846.634268323163</v>
      </c>
      <c r="G22" s="4">
        <f t="shared" si="1"/>
        <v>4.7752084941392291E-3</v>
      </c>
      <c r="H22" s="3">
        <f>VLOOKUP(A22,Elec_Access_base!$A$5:$BH$270,60,0)/100</f>
        <v>1</v>
      </c>
      <c r="I22" s="2">
        <f>613400</f>
        <v>613400</v>
      </c>
      <c r="J22" s="2">
        <f t="shared" si="2"/>
        <v>4791.2770375809332</v>
      </c>
      <c r="K22" s="5"/>
      <c r="L22" s="6"/>
      <c r="M22" s="4"/>
      <c r="N22" s="4"/>
    </row>
    <row r="23" spans="1:14" x14ac:dyDescent="0.3">
      <c r="A23" t="s">
        <v>43</v>
      </c>
      <c r="B23" t="s">
        <v>44</v>
      </c>
      <c r="C23" s="2">
        <f>VLOOKUP(A23,POP_base!$C$2:$T$201,17,0)*10^6</f>
        <v>17779025</v>
      </c>
      <c r="D23" s="2">
        <f>VLOOKUP(A23,GDP_PPP_base!$C$2:$N$193,11,0)*10^9</f>
        <v>405421000000</v>
      </c>
      <c r="E23" s="2">
        <f>VLOOKUP(A23,INC_PPP_base!$C$2:$N$193,11,0)</f>
        <v>22687.1</v>
      </c>
      <c r="F23" s="2">
        <f t="shared" si="0"/>
        <v>22803.331453777697</v>
      </c>
      <c r="G23" s="4">
        <f t="shared" si="1"/>
        <v>5.1232398048978644E-3</v>
      </c>
      <c r="H23" s="3">
        <f>VLOOKUP(A23,Elec_Access_base!$A$5:$BH$270,60,0)/100</f>
        <v>0.997</v>
      </c>
      <c r="I23" s="2">
        <f>42318</f>
        <v>42318</v>
      </c>
      <c r="J23" s="2">
        <f t="shared" si="2"/>
        <v>661.17236462629421</v>
      </c>
      <c r="K23" s="5"/>
      <c r="L23" s="6"/>
      <c r="M23" s="4"/>
      <c r="N23" s="4"/>
    </row>
    <row r="24" spans="1:14" x14ac:dyDescent="0.3">
      <c r="A24" t="s">
        <v>52</v>
      </c>
      <c r="B24" t="s">
        <v>53</v>
      </c>
      <c r="C24" s="2">
        <f>VLOOKUP(A24,POP_base!$C$2:$T$201,17,0)*10^6</f>
        <v>46894748</v>
      </c>
      <c r="D24" s="2">
        <f>VLOOKUP(A24,GDP_PPP_base!$C$2:$N$193,11,0)*10^9</f>
        <v>624056000000</v>
      </c>
      <c r="E24" s="2">
        <f>VLOOKUP(A24,INC_PPP_base!$C$2:$N$193,11,0)</f>
        <v>13244</v>
      </c>
      <c r="F24" s="2">
        <f t="shared" si="0"/>
        <v>13307.588303918383</v>
      </c>
      <c r="G24" s="4">
        <f t="shared" si="1"/>
        <v>4.8012914465707292E-3</v>
      </c>
      <c r="H24" s="3">
        <f>VLOOKUP(A24,Elec_Access_base!$A$5:$BH$270,60,0)/100</f>
        <v>0.98199999999999998</v>
      </c>
      <c r="I24" s="2">
        <f>80557</f>
        <v>80557</v>
      </c>
      <c r="J24" s="2">
        <f t="shared" si="2"/>
        <v>477.17378595241502</v>
      </c>
      <c r="K24" s="5"/>
      <c r="L24" s="6"/>
      <c r="M24" s="4"/>
      <c r="N24" s="4"/>
    </row>
    <row r="25" spans="1:14" x14ac:dyDescent="0.3">
      <c r="A25" t="s">
        <v>720</v>
      </c>
      <c r="B25" t="s">
        <v>50</v>
      </c>
      <c r="C25" s="2">
        <f>VLOOKUP(A25,POP_base!$C$2:$T$201,17,0)*10^6</f>
        <v>77325521</v>
      </c>
      <c r="D25" s="2">
        <f>VLOOKUP(A25,GDP_PPP_base!$C$2:$N$193,11,0)*10^9</f>
        <v>86126600000</v>
      </c>
      <c r="E25" s="2">
        <f>VLOOKUP(A25,INC_PPP_base!$C$2:$N$193,11,0)</f>
        <v>1094.97</v>
      </c>
      <c r="F25" s="2">
        <f t="shared" si="0"/>
        <v>1113.8185541614391</v>
      </c>
      <c r="G25" s="4">
        <f t="shared" si="1"/>
        <v>1.7213763081581318E-2</v>
      </c>
      <c r="H25" s="3">
        <f>VLOOKUP(A25,Elec_Access_base!$A$5:$BH$270,60,0)/100</f>
        <v>0.16600000000000001</v>
      </c>
      <c r="I25" s="2">
        <f>9115</f>
        <v>9115</v>
      </c>
      <c r="J25" s="2">
        <f t="shared" si="2"/>
        <v>32.743968766074588</v>
      </c>
      <c r="K25" s="5"/>
      <c r="L25" s="6"/>
      <c r="M25" s="4"/>
      <c r="N25" s="4"/>
    </row>
    <row r="26" spans="1:14" x14ac:dyDescent="0.3">
      <c r="A26" t="s">
        <v>744</v>
      </c>
      <c r="B26" t="s">
        <v>51</v>
      </c>
      <c r="C26" s="2">
        <f>VLOOKUP(A26,POP_base!$C$2:$T$201,17,0)*10^6</f>
        <v>5003857</v>
      </c>
      <c r="D26" s="2">
        <f>VLOOKUP(A26,GDP_PPP_base!$C$2:$N$193,11,0)*10^9</f>
        <v>25738300000</v>
      </c>
      <c r="E26" s="2">
        <f>VLOOKUP(A26,INC_PPP_base!$C$2:$N$193,11,0)</f>
        <v>5082.22</v>
      </c>
      <c r="F26" s="2">
        <f t="shared" si="0"/>
        <v>5143.692155870961</v>
      </c>
      <c r="G26" s="4">
        <f t="shared" si="1"/>
        <v>1.2095532242004617E-2</v>
      </c>
      <c r="H26" s="3">
        <f>VLOOKUP(A26,Elec_Access_base!$A$5:$BH$270,60,0)/100</f>
        <v>0.44299999999999995</v>
      </c>
      <c r="I26" s="2">
        <f>2318</f>
        <v>2318</v>
      </c>
      <c r="J26" s="2">
        <f t="shared" si="2"/>
        <v>128.67851517117472</v>
      </c>
      <c r="K26" s="5"/>
      <c r="L26" s="6"/>
      <c r="M26" s="4"/>
      <c r="N26" s="4"/>
    </row>
    <row r="27" spans="1:14" x14ac:dyDescent="0.3">
      <c r="A27" t="s">
        <v>54</v>
      </c>
      <c r="B27" t="s">
        <v>55</v>
      </c>
      <c r="C27" s="2">
        <f>VLOOKUP(A27,POP_base!$C$2:$T$201,17,0)*10^6</f>
        <v>4869993.0000000009</v>
      </c>
      <c r="D27" s="2">
        <f>VLOOKUP(A27,GDP_PPP_base!$C$2:$N$193,11,0)*10^9</f>
        <v>85241800000</v>
      </c>
      <c r="E27" s="2">
        <f>VLOOKUP(A27,INC_PPP_base!$C$2:$N$193,11,0)</f>
        <v>17413.2</v>
      </c>
      <c r="F27" s="2">
        <f t="shared" si="0"/>
        <v>17503.474850990544</v>
      </c>
      <c r="G27" s="4">
        <f t="shared" si="1"/>
        <v>5.1842769273047571E-3</v>
      </c>
      <c r="H27" s="3">
        <f>VLOOKUP(A27,Elec_Access_base!$A$5:$BH$270,60,0)/100</f>
        <v>0.99400000000000011</v>
      </c>
      <c r="I27" s="2">
        <f>12992</f>
        <v>12992</v>
      </c>
      <c r="J27" s="2">
        <f t="shared" si="2"/>
        <v>741.0460115422934</v>
      </c>
      <c r="K27" s="5"/>
      <c r="L27" s="6"/>
      <c r="M27" s="4"/>
      <c r="N27" s="4"/>
    </row>
    <row r="28" spans="1:14" x14ac:dyDescent="0.3">
      <c r="A28" t="s">
        <v>46</v>
      </c>
      <c r="B28" t="s">
        <v>47</v>
      </c>
      <c r="C28" s="2">
        <f>VLOOKUP(A28,POP_base!$C$2:$T$201,17,0)*10^6</f>
        <v>23291821</v>
      </c>
      <c r="D28" s="2">
        <f>VLOOKUP(A28,GDP_PPP_base!$C$2:$N$193,11,0)*10^9</f>
        <v>104388000000</v>
      </c>
      <c r="E28" s="2">
        <f>VLOOKUP(A28,INC_PPP_base!$C$2:$N$193,11,0)</f>
        <v>4423.82</v>
      </c>
      <c r="F28" s="2">
        <f t="shared" si="0"/>
        <v>4481.7449009246639</v>
      </c>
      <c r="G28" s="4">
        <f t="shared" si="1"/>
        <v>1.3093864787596273E-2</v>
      </c>
      <c r="H28" s="3">
        <f>VLOOKUP(A28,Elec_Access_base!$A$5:$BH$270,60,0)/100</f>
        <v>0.626</v>
      </c>
      <c r="I28" s="2">
        <f>6854</f>
        <v>6854</v>
      </c>
      <c r="J28" s="2">
        <f t="shared" si="2"/>
        <v>81.740662908618816</v>
      </c>
      <c r="K28" s="5"/>
      <c r="L28" s="6"/>
      <c r="M28" s="4"/>
      <c r="N28" s="4"/>
    </row>
    <row r="29" spans="1:14" x14ac:dyDescent="0.3">
      <c r="A29" t="s">
        <v>97</v>
      </c>
      <c r="B29" t="s">
        <v>98</v>
      </c>
      <c r="C29" s="2">
        <f>VLOOKUP(A29,POP_base!$C$2:$T$201,17,0)*10^6</f>
        <v>4270955</v>
      </c>
      <c r="D29" s="2">
        <f>VLOOKUP(A29,GDP_PPP_base!$C$2:$N$193,11,0)*10^9</f>
        <v>104702000000</v>
      </c>
      <c r="E29" s="2">
        <f>VLOOKUP(A29,INC_PPP_base!$C$2:$N$193,11,0)</f>
        <v>24607.9</v>
      </c>
      <c r="F29" s="2">
        <f t="shared" si="0"/>
        <v>24514.891868446284</v>
      </c>
      <c r="G29" s="4">
        <f t="shared" si="1"/>
        <v>-3.779604580387487E-3</v>
      </c>
      <c r="H29" s="3">
        <f>VLOOKUP(A29,Elec_Access_base!$A$5:$BH$270,60,0)/100</f>
        <v>1</v>
      </c>
      <c r="I29" s="2">
        <f>22327</f>
        <v>22327</v>
      </c>
      <c r="J29" s="2">
        <f t="shared" si="2"/>
        <v>1452.1212338796463</v>
      </c>
      <c r="K29" s="5"/>
      <c r="L29" s="6"/>
      <c r="M29" s="4"/>
      <c r="N29" s="4"/>
    </row>
    <row r="30" spans="1:14" x14ac:dyDescent="0.3">
      <c r="A30" t="s">
        <v>57</v>
      </c>
      <c r="B30" t="s">
        <v>58</v>
      </c>
      <c r="C30" s="2">
        <f>VLOOKUP(A30,POP_base!$C$2:$T$201,17,0)*10^6</f>
        <v>1182076.0000000002</v>
      </c>
      <c r="D30" s="2">
        <f>VLOOKUP(A30,GDP_PPP_base!$C$2:$N$193,11,0)*10^9</f>
        <v>29313800000</v>
      </c>
      <c r="E30" s="2">
        <f>VLOOKUP(A30,INC_PPP_base!$C$2:$N$193,11,0)</f>
        <v>24689.8</v>
      </c>
      <c r="F30" s="2">
        <f t="shared" si="0"/>
        <v>24798.574710932287</v>
      </c>
      <c r="G30" s="4">
        <f t="shared" si="1"/>
        <v>4.4056537895117882E-3</v>
      </c>
      <c r="H30" s="3">
        <f>VLOOKUP(A30,Elec_Access_base!$A$5:$BH$270,60,0)/100</f>
        <v>1</v>
      </c>
      <c r="I30" s="2">
        <f>5454</f>
        <v>5454</v>
      </c>
      <c r="J30" s="2">
        <f t="shared" si="2"/>
        <v>1281.6434814681963</v>
      </c>
      <c r="K30" s="5"/>
      <c r="L30" s="6"/>
      <c r="M30" s="4"/>
      <c r="N30" s="4"/>
    </row>
    <row r="31" spans="1:14" x14ac:dyDescent="0.3">
      <c r="A31" t="s">
        <v>59</v>
      </c>
      <c r="B31" t="s">
        <v>60</v>
      </c>
      <c r="C31" s="2">
        <f>VLOOKUP(A31,POP_base!$C$2:$T$201,17,0)*10^6</f>
        <v>10521669</v>
      </c>
      <c r="D31" s="2">
        <f>VLOOKUP(A31,GDP_PPP_base!$C$2:$N$193,11,0)*10^9</f>
        <v>357651000000</v>
      </c>
      <c r="E31" s="2">
        <f>VLOOKUP(A31,INC_PPP_base!$C$2:$N$193,11,0)</f>
        <v>33985</v>
      </c>
      <c r="F31" s="2">
        <f t="shared" si="0"/>
        <v>33991.850532458302</v>
      </c>
      <c r="G31" s="4">
        <f t="shared" si="1"/>
        <v>2.0157517899961868E-4</v>
      </c>
      <c r="H31" s="3">
        <f>VLOOKUP(A31,Elec_Access_base!$A$5:$BH$270,60,0)/100</f>
        <v>1</v>
      </c>
      <c r="I31" s="2">
        <f>51775</f>
        <v>51775</v>
      </c>
      <c r="J31" s="2">
        <f t="shared" si="2"/>
        <v>1366.8881281519543</v>
      </c>
      <c r="K31" s="5"/>
      <c r="L31" s="6"/>
      <c r="M31" s="4"/>
      <c r="N31" s="4"/>
    </row>
    <row r="32" spans="1:14" x14ac:dyDescent="0.3">
      <c r="A32" t="s">
        <v>63</v>
      </c>
      <c r="B32" t="s">
        <v>64</v>
      </c>
      <c r="C32" s="2">
        <f>VLOOKUP(A32,POP_base!$C$2:$T$201,17,0)*10^6</f>
        <v>5664053</v>
      </c>
      <c r="D32" s="2">
        <f>VLOOKUP(A32,GDP_PPP_base!$C$2:$N$193,11,0)*10^9</f>
        <v>278749000000</v>
      </c>
      <c r="E32" s="2">
        <f>VLOOKUP(A32,INC_PPP_base!$C$2:$N$193,11,0)</f>
        <v>49094.5</v>
      </c>
      <c r="F32" s="2">
        <f t="shared" si="0"/>
        <v>49213.699094976691</v>
      </c>
      <c r="G32" s="4">
        <f t="shared" si="1"/>
        <v>2.4279521122873523E-3</v>
      </c>
      <c r="H32" s="3">
        <f>VLOOKUP(A32,Elec_Access_base!$A$5:$BH$270,60,0)/100</f>
        <v>1</v>
      </c>
      <c r="I32" s="2">
        <f>36635</f>
        <v>36635</v>
      </c>
      <c r="J32" s="2">
        <f t="shared" si="2"/>
        <v>1796.6620172672976</v>
      </c>
      <c r="K32" s="5"/>
      <c r="L32" s="6"/>
      <c r="M32" s="4"/>
      <c r="N32" s="4"/>
    </row>
    <row r="33" spans="1:14" x14ac:dyDescent="0.3">
      <c r="A33" t="s">
        <v>65</v>
      </c>
      <c r="B33" t="s">
        <v>66</v>
      </c>
      <c r="C33" s="2">
        <f>VLOOKUP(A33,POP_base!$C$2:$T$201,17,0)*10^6</f>
        <v>10344325.999999998</v>
      </c>
      <c r="D33" s="2">
        <f>VLOOKUP(A33,GDP_PPP_base!$C$2:$N$193,11,0)*10^9</f>
        <v>157602000000</v>
      </c>
      <c r="E33" s="2">
        <f>VLOOKUP(A33,INC_PPP_base!$C$2:$N$193,11,0)</f>
        <v>15145.5</v>
      </c>
      <c r="F33" s="2">
        <f t="shared" si="0"/>
        <v>15235.598723396772</v>
      </c>
      <c r="G33" s="4">
        <f t="shared" si="1"/>
        <v>5.9488774485339981E-3</v>
      </c>
      <c r="H33" s="3">
        <f>VLOOKUP(A33,Elec_Access_base!$A$5:$BH$270,60,0)/100</f>
        <v>0.98599999999999999</v>
      </c>
      <c r="I33" s="2">
        <f>19378</f>
        <v>19378</v>
      </c>
      <c r="J33" s="2">
        <f t="shared" si="2"/>
        <v>520.36041572720922</v>
      </c>
      <c r="K33" s="5"/>
      <c r="L33" s="6"/>
      <c r="M33" s="4"/>
      <c r="N33" s="4"/>
    </row>
    <row r="34" spans="1:14" x14ac:dyDescent="0.3">
      <c r="A34" t="s">
        <v>69</v>
      </c>
      <c r="B34" t="s">
        <v>70</v>
      </c>
      <c r="C34" s="2">
        <f>VLOOKUP(A34,POP_base!$C$2:$T$201,17,0)*10^6</f>
        <v>16075496.999999998</v>
      </c>
      <c r="D34" s="2">
        <f>VLOOKUP(A34,GDP_PPP_base!$C$2:$N$193,11,0)*10^9</f>
        <v>192865000000</v>
      </c>
      <c r="E34" s="2">
        <f>VLOOKUP(A34,INC_PPP_base!$C$2:$N$193,11,0)</f>
        <v>11908.2</v>
      </c>
      <c r="F34" s="2">
        <f t="shared" ref="F34:F65" si="3">D34/C34</f>
        <v>11997.451773963818</v>
      </c>
      <c r="G34" s="4">
        <f t="shared" ref="G34:G65" si="4">(F34-E34)/E34</f>
        <v>7.494984461448158E-3</v>
      </c>
      <c r="H34" s="3">
        <f>VLOOKUP(A34,Elec_Access_base!$A$5:$BH$270,60,0)/100</f>
        <v>0.98799999999999999</v>
      </c>
      <c r="I34" s="2">
        <f>24940</f>
        <v>24940</v>
      </c>
      <c r="J34" s="2">
        <f t="shared" ref="J34:J65" si="5">I34*10^9/3600/C34</f>
        <v>430.95263417222986</v>
      </c>
      <c r="K34" s="5"/>
      <c r="L34" s="6"/>
      <c r="M34" s="4"/>
      <c r="N34" s="4"/>
    </row>
    <row r="35" spans="1:14" x14ac:dyDescent="0.3">
      <c r="A35" t="s">
        <v>721</v>
      </c>
      <c r="B35" t="s">
        <v>71</v>
      </c>
      <c r="C35" s="2">
        <f>VLOOKUP(A35,POP_base!$C$2:$T$201,17,0)*10^6</f>
        <v>96675401</v>
      </c>
      <c r="D35" s="2">
        <f>VLOOKUP(A35,GDP_PPP_base!$C$2:$N$193,11,0)*10^9</f>
        <v>1029480000000</v>
      </c>
      <c r="E35" s="2">
        <f>VLOOKUP(A35,INC_PPP_base!$C$2:$N$193,11,0)</f>
        <v>10534.6</v>
      </c>
      <c r="F35" s="2">
        <f t="shared" si="3"/>
        <v>10648.830926493907</v>
      </c>
      <c r="G35" s="4">
        <f t="shared" si="4"/>
        <v>1.0843404257770275E-2</v>
      </c>
      <c r="H35" s="3">
        <f>VLOOKUP(A35,Elec_Access_base!$A$5:$BH$270,60,0)/100</f>
        <v>0.99299999999999999</v>
      </c>
      <c r="I35" s="2">
        <f>264099</f>
        <v>264099</v>
      </c>
      <c r="J35" s="2">
        <f t="shared" si="5"/>
        <v>758.8366076012793</v>
      </c>
      <c r="K35" s="5"/>
      <c r="L35" s="6"/>
      <c r="M35" s="4"/>
      <c r="N35" s="4"/>
    </row>
    <row r="36" spans="1:14" x14ac:dyDescent="0.3">
      <c r="A36" t="s">
        <v>205</v>
      </c>
      <c r="B36" t="s">
        <v>206</v>
      </c>
      <c r="C36" s="2">
        <f>VLOOKUP(A36,POP_base!$C$2:$T$201,17,0)*10^6</f>
        <v>6221248</v>
      </c>
      <c r="D36" s="2">
        <f>VLOOKUP(A36,GDP_PPP_base!$C$2:$N$193,11,0)*10^9</f>
        <v>51516600000</v>
      </c>
      <c r="E36" s="2">
        <f>VLOOKUP(A36,INC_PPP_base!$C$2:$N$193,11,0)</f>
        <v>8267.69</v>
      </c>
      <c r="F36" s="2">
        <f t="shared" si="3"/>
        <v>8280.7501003014186</v>
      </c>
      <c r="G36" s="4">
        <f t="shared" si="4"/>
        <v>1.5796552968747085E-3</v>
      </c>
      <c r="H36" s="3">
        <f>VLOOKUP(A36,Elec_Access_base!$A$5:$BH$270,60,0)/100</f>
        <v>0.95400000000000007</v>
      </c>
      <c r="I36" s="2">
        <f>6573</f>
        <v>6573</v>
      </c>
      <c r="J36" s="2">
        <f t="shared" si="5"/>
        <v>293.48345112320442</v>
      </c>
      <c r="K36" s="5"/>
      <c r="L36" s="6"/>
      <c r="M36" s="4"/>
      <c r="N36" s="4"/>
    </row>
    <row r="37" spans="1:14" x14ac:dyDescent="0.3">
      <c r="A37" t="s">
        <v>74</v>
      </c>
      <c r="B37" t="s">
        <v>75</v>
      </c>
      <c r="C37" s="2">
        <f>VLOOKUP(A37,POP_base!$C$2:$T$201,17,0)*10^6</f>
        <v>1313255</v>
      </c>
      <c r="D37" s="2">
        <f>VLOOKUP(A37,GDP_PPP_base!$C$2:$N$193,11,0)*10^9</f>
        <v>38356000000</v>
      </c>
      <c r="E37" s="2">
        <f>VLOOKUP(A37,INC_PPP_base!$C$2:$N$193,11,0)</f>
        <v>29175.7</v>
      </c>
      <c r="F37" s="2">
        <f t="shared" si="3"/>
        <v>29206.818173165149</v>
      </c>
      <c r="G37" s="4">
        <f t="shared" si="4"/>
        <v>1.0665784596478789E-3</v>
      </c>
      <c r="H37" s="3">
        <f>VLOOKUP(A37,Elec_Access_base!$A$5:$BH$270,60,0)/100</f>
        <v>1</v>
      </c>
      <c r="I37" s="2">
        <f>6220</f>
        <v>6220</v>
      </c>
      <c r="J37" s="2">
        <f t="shared" si="5"/>
        <v>1315.6453071016501</v>
      </c>
      <c r="K37" s="5"/>
      <c r="L37" s="6"/>
      <c r="M37" s="4"/>
      <c r="N37" s="4"/>
    </row>
    <row r="38" spans="1:14" x14ac:dyDescent="0.3">
      <c r="A38" t="s">
        <v>76</v>
      </c>
      <c r="B38" t="s">
        <v>77</v>
      </c>
      <c r="C38" s="2">
        <f>VLOOKUP(A38,POP_base!$C$2:$T$201,17,0)*10^6</f>
        <v>101097184</v>
      </c>
      <c r="D38" s="2">
        <f>VLOOKUP(A38,GDP_PPP_base!$C$2:$N$193,11,0)*10^9</f>
        <v>180711000000</v>
      </c>
      <c r="E38" s="2">
        <f>VLOOKUP(A38,INC_PPP_base!$C$2:$N$193,11,0)</f>
        <v>1763.52</v>
      </c>
      <c r="F38" s="2">
        <f t="shared" si="3"/>
        <v>1787.497859485384</v>
      </c>
      <c r="G38" s="4">
        <f t="shared" si="4"/>
        <v>1.3596590617279072E-2</v>
      </c>
      <c r="H38" s="3">
        <f>VLOOKUP(A38,Elec_Access_base!$A$5:$BH$270,60,0)/100</f>
        <v>0.28999999999999998</v>
      </c>
      <c r="I38" s="2">
        <f>12240</f>
        <v>12240</v>
      </c>
      <c r="J38" s="2">
        <f t="shared" si="5"/>
        <v>33.631005983312058</v>
      </c>
      <c r="K38" s="5"/>
      <c r="L38" s="6"/>
      <c r="M38" s="4"/>
      <c r="N38" s="4"/>
    </row>
    <row r="39" spans="1:14" x14ac:dyDescent="0.3">
      <c r="A39" t="s">
        <v>78</v>
      </c>
      <c r="B39" t="s">
        <v>79</v>
      </c>
      <c r="C39" s="2">
        <f>VLOOKUP(A39,POP_base!$C$2:$T$201,17,0)*10^6</f>
        <v>5471699</v>
      </c>
      <c r="D39" s="2">
        <f>VLOOKUP(A39,GDP_PPP_base!$C$2:$N$193,11,0)*10^9</f>
        <v>232865000000</v>
      </c>
      <c r="E39" s="2">
        <f>VLOOKUP(A39,INC_PPP_base!$C$2:$N$193,11,0)</f>
        <v>42497.7</v>
      </c>
      <c r="F39" s="2">
        <f t="shared" si="3"/>
        <v>42558.079309552661</v>
      </c>
      <c r="G39" s="4">
        <f t="shared" si="4"/>
        <v>1.4207665250746153E-3</v>
      </c>
      <c r="H39" s="3">
        <f>VLOOKUP(A39,Elec_Access_base!$A$5:$BH$270,60,0)/100</f>
        <v>1</v>
      </c>
      <c r="I39" s="2">
        <f>75304</f>
        <v>75304</v>
      </c>
      <c r="J39" s="2">
        <f t="shared" si="5"/>
        <v>3822.903594985356</v>
      </c>
      <c r="K39" s="5"/>
      <c r="L39" s="6"/>
      <c r="M39" s="14"/>
      <c r="N39" s="4"/>
    </row>
    <row r="40" spans="1:14" x14ac:dyDescent="0.3">
      <c r="A40" t="s">
        <v>80</v>
      </c>
      <c r="B40" t="s">
        <v>81</v>
      </c>
      <c r="C40" s="2">
        <f>VLOOKUP(A40,POP_base!$C$2:$T$201,17,0)*10^6</f>
        <v>63715216.000000007</v>
      </c>
      <c r="D40" s="2">
        <f>VLOOKUP(A40,GDP_PPP_base!$C$2:$N$193,11,0)*10^9</f>
        <v>2719940000000</v>
      </c>
      <c r="E40" s="2">
        <f>VLOOKUP(A40,INC_PPP_base!$C$2:$N$193,11,0)</f>
        <v>42625.7</v>
      </c>
      <c r="F40" s="2">
        <f t="shared" si="3"/>
        <v>42689.017957657081</v>
      </c>
      <c r="G40" s="4">
        <f t="shared" si="4"/>
        <v>1.4854408879404622E-3</v>
      </c>
      <c r="H40" s="3">
        <f>VLOOKUP(A40,Elec_Access_base!$A$5:$BH$270,60,0)/100</f>
        <v>1</v>
      </c>
      <c r="I40" s="2">
        <f>566286</f>
        <v>566286</v>
      </c>
      <c r="J40" s="2">
        <f t="shared" si="5"/>
        <v>2468.8241921155322</v>
      </c>
      <c r="K40" s="5"/>
      <c r="L40" s="6"/>
      <c r="M40" s="14"/>
      <c r="N40" s="4"/>
    </row>
    <row r="41" spans="1:14" x14ac:dyDescent="0.3">
      <c r="A41" t="s">
        <v>82</v>
      </c>
      <c r="B41" t="s">
        <v>83</v>
      </c>
      <c r="C41" s="2">
        <f>VLOOKUP(A41,POP_base!$C$2:$T$201,17,0)*10^6</f>
        <v>1998607</v>
      </c>
      <c r="D41" s="2">
        <f>VLOOKUP(A41,GDP_PPP_base!$C$2:$N$193,11,0)*10^9</f>
        <v>30209400000</v>
      </c>
      <c r="E41" s="2">
        <f>VLOOKUP(A41,INC_PPP_base!$C$2:$N$193,11,0)</f>
        <v>14892.3</v>
      </c>
      <c r="F41" s="2">
        <f t="shared" si="3"/>
        <v>15115.227756132146</v>
      </c>
      <c r="G41" s="4">
        <f t="shared" si="4"/>
        <v>1.4969330199643232E-2</v>
      </c>
      <c r="H41" s="3">
        <f>VLOOKUP(A41,Elec_Access_base!$A$5:$BH$270,60,0)/100</f>
        <v>0.873</v>
      </c>
      <c r="I41" s="2">
        <f>3398</f>
        <v>3398</v>
      </c>
      <c r="J41" s="2">
        <f t="shared" si="5"/>
        <v>472.27338285560336</v>
      </c>
      <c r="K41" s="5"/>
      <c r="L41" s="6"/>
      <c r="M41" s="14"/>
      <c r="N41" s="4"/>
    </row>
    <row r="42" spans="1:14" x14ac:dyDescent="0.3">
      <c r="A42" t="s">
        <v>86</v>
      </c>
      <c r="B42" t="s">
        <v>87</v>
      </c>
      <c r="C42" s="2">
        <f>VLOOKUP(A42,POP_base!$C$2:$T$201,17,0)*10^6</f>
        <v>3771632.0000000005</v>
      </c>
      <c r="D42" s="2">
        <f>VLOOKUP(A42,GDP_PPP_base!$C$2:$N$193,11,0)*10^9</f>
        <v>46957300000</v>
      </c>
      <c r="E42" s="2">
        <f>VLOOKUP(A42,INC_PPP_base!$C$2:$N$193,11,0)</f>
        <v>12451.8</v>
      </c>
      <c r="F42" s="2">
        <f t="shared" si="3"/>
        <v>12450.12769008217</v>
      </c>
      <c r="G42" s="4">
        <f t="shared" si="4"/>
        <v>-1.3430266450062623E-4</v>
      </c>
      <c r="H42" s="3">
        <f>VLOOKUP(A42,Elec_Access_base!$A$5:$BH$270,60,0)/100</f>
        <v>1</v>
      </c>
      <c r="I42" s="2">
        <f>8863</f>
        <v>8863</v>
      </c>
      <c r="J42" s="2">
        <f t="shared" si="5"/>
        <v>652.75309055720288</v>
      </c>
      <c r="K42" s="5"/>
      <c r="L42" s="6"/>
      <c r="M42" s="4"/>
      <c r="N42" s="4"/>
    </row>
    <row r="43" spans="1:14" x14ac:dyDescent="0.3">
      <c r="A43" t="s">
        <v>61</v>
      </c>
      <c r="B43" t="s">
        <v>62</v>
      </c>
      <c r="C43" s="2">
        <f>VLOOKUP(A43,POP_base!$C$2:$T$201,17,0)*10^6</f>
        <v>81967591</v>
      </c>
      <c r="D43" s="2">
        <f>VLOOKUP(A43,GDP_PPP_base!$C$2:$N$193,11,0)*10^9</f>
        <v>3885630000000</v>
      </c>
      <c r="E43" s="2">
        <f>VLOOKUP(A43,INC_PPP_base!$C$2:$N$193,11,0)</f>
        <v>47343.5</v>
      </c>
      <c r="F43" s="2">
        <f t="shared" si="3"/>
        <v>47404.467455924132</v>
      </c>
      <c r="G43" s="4">
        <f t="shared" si="4"/>
        <v>1.2877682453585409E-3</v>
      </c>
      <c r="H43" s="3">
        <f>VLOOKUP(A43,Elec_Access_base!$A$5:$BH$270,60,0)/100</f>
        <v>1</v>
      </c>
      <c r="I43" s="2">
        <f>463320</f>
        <v>463320</v>
      </c>
      <c r="J43" s="2">
        <f t="shared" si="5"/>
        <v>1570.1327613739436</v>
      </c>
      <c r="K43" s="5"/>
      <c r="L43" s="6"/>
      <c r="M43" s="4"/>
      <c r="N43" s="4"/>
    </row>
    <row r="44" spans="1:14" x14ac:dyDescent="0.3">
      <c r="A44" t="s">
        <v>88</v>
      </c>
      <c r="B44" t="s">
        <v>89</v>
      </c>
      <c r="C44" s="2">
        <f>VLOOKUP(A44,POP_base!$C$2:$T$201,17,0)*10^6</f>
        <v>28531848.999999996</v>
      </c>
      <c r="D44" s="2">
        <f>VLOOKUP(A44,GDP_PPP_base!$C$2:$N$193,11,0)*10^9</f>
        <v>133286000000</v>
      </c>
      <c r="E44" s="2">
        <f>VLOOKUP(A44,INC_PPP_base!$C$2:$N$193,11,0)</f>
        <v>4616.62</v>
      </c>
      <c r="F44" s="2">
        <f t="shared" si="3"/>
        <v>4671.4813330184106</v>
      </c>
      <c r="G44" s="4">
        <f t="shared" si="4"/>
        <v>1.1883441352853545E-2</v>
      </c>
      <c r="H44" s="3">
        <f>VLOOKUP(A44,Elec_Access_base!$A$5:$BH$270,60,0)/100</f>
        <v>0.74</v>
      </c>
      <c r="I44" s="2">
        <f>8769</f>
        <v>8769</v>
      </c>
      <c r="J44" s="2">
        <f t="shared" si="5"/>
        <v>85.372431815874734</v>
      </c>
      <c r="K44" s="5"/>
      <c r="L44" s="6"/>
      <c r="M44" s="4"/>
      <c r="N44" s="4"/>
    </row>
    <row r="45" spans="1:14" x14ac:dyDescent="0.3">
      <c r="A45" t="s">
        <v>90</v>
      </c>
      <c r="B45" t="s">
        <v>91</v>
      </c>
      <c r="C45" s="2">
        <f>VLOOKUP(A45,POP_base!$C$2:$T$201,17,0)*10^6</f>
        <v>10836416</v>
      </c>
      <c r="D45" s="2">
        <f>VLOOKUP(A45,GDP_PPP_base!$C$2:$N$193,11,0)*10^9</f>
        <v>289575000000</v>
      </c>
      <c r="E45" s="2">
        <f>VLOOKUP(A45,INC_PPP_base!$C$2:$N$193,11,0)</f>
        <v>26796</v>
      </c>
      <c r="F45" s="2">
        <f t="shared" si="3"/>
        <v>26722.396039428535</v>
      </c>
      <c r="G45" s="4">
        <f t="shared" si="4"/>
        <v>-2.7468264133253097E-3</v>
      </c>
      <c r="H45" s="3">
        <f>VLOOKUP(A45,Elec_Access_base!$A$5:$BH$270,60,0)/100</f>
        <v>1</v>
      </c>
      <c r="I45" s="2">
        <f>63136</f>
        <v>63136</v>
      </c>
      <c r="J45" s="2">
        <f t="shared" si="5"/>
        <v>1618.4112697203373</v>
      </c>
      <c r="K45" s="5"/>
      <c r="L45" s="6"/>
      <c r="M45" s="4"/>
      <c r="N45" s="4"/>
    </row>
    <row r="46" spans="1:14" x14ac:dyDescent="0.3">
      <c r="A46" t="s">
        <v>92</v>
      </c>
      <c r="B46" t="s">
        <v>93</v>
      </c>
      <c r="C46" s="2">
        <f>VLOOKUP(A46,POP_base!$C$2:$T$201,17,0)*10^6</f>
        <v>15858805</v>
      </c>
      <c r="D46" s="2">
        <f>VLOOKUP(A46,GDP_PPP_base!$C$2:$N$193,11,0)*10^9</f>
        <v>126496000000</v>
      </c>
      <c r="E46" s="2">
        <f>VLOOKUP(A46,INC_PPP_base!$C$2:$N$193,11,0)</f>
        <v>7905.43</v>
      </c>
      <c r="F46" s="2">
        <f t="shared" si="3"/>
        <v>7976.389141552595</v>
      </c>
      <c r="G46" s="4">
        <f t="shared" si="4"/>
        <v>8.9760002368744901E-3</v>
      </c>
      <c r="H46" s="3">
        <f>VLOOKUP(A46,Elec_Access_base!$A$5:$BH$270,60,0)/100</f>
        <v>0.90500000000000003</v>
      </c>
      <c r="I46" s="2">
        <f>12247</f>
        <v>12247</v>
      </c>
      <c r="J46" s="2">
        <f t="shared" si="5"/>
        <v>214.51455166038329</v>
      </c>
      <c r="K46" s="5"/>
      <c r="L46" s="6"/>
      <c r="M46" s="4"/>
      <c r="N46" s="4"/>
    </row>
    <row r="47" spans="1:14" x14ac:dyDescent="0.3">
      <c r="A47" t="s">
        <v>99</v>
      </c>
      <c r="B47" t="s">
        <v>100</v>
      </c>
      <c r="C47" s="2">
        <f>VLOOKUP(A47,POP_base!$C$2:$T$201,17,0)*10^6</f>
        <v>10488430.000000002</v>
      </c>
      <c r="D47" s="2">
        <f>VLOOKUP(A47,GDP_PPP_base!$C$2:$N$193,11,0)*10^9</f>
        <v>33181500000</v>
      </c>
      <c r="E47" s="2">
        <f>VLOOKUP(A47,INC_PPP_base!$C$2:$N$193,11,0)</f>
        <v>3141.07</v>
      </c>
      <c r="F47" s="2">
        <f t="shared" si="3"/>
        <v>3163.6288748649695</v>
      </c>
      <c r="G47" s="4">
        <f t="shared" si="4"/>
        <v>7.1819077145588318E-3</v>
      </c>
      <c r="H47" s="3">
        <f>VLOOKUP(A47,Elec_Access_base!$A$5:$BH$270,60,0)/100</f>
        <v>0.40799999999999997</v>
      </c>
      <c r="I47" s="2">
        <f>2311</f>
        <v>2311</v>
      </c>
      <c r="J47" s="2">
        <f t="shared" si="5"/>
        <v>61.205008227584521</v>
      </c>
      <c r="K47" s="5"/>
      <c r="L47" s="6"/>
      <c r="M47" s="4"/>
      <c r="N47" s="4"/>
    </row>
    <row r="48" spans="1:14" x14ac:dyDescent="0.3">
      <c r="A48" t="s">
        <v>95</v>
      </c>
      <c r="B48" t="s">
        <v>96</v>
      </c>
      <c r="C48" s="2">
        <f>VLOOKUP(A48,POP_base!$C$2:$T$201,17,0)*10^6</f>
        <v>9211268</v>
      </c>
      <c r="D48" s="2">
        <f>VLOOKUP(A48,GDP_PPP_base!$C$2:$N$193,11,0)*10^9</f>
        <v>48147100000</v>
      </c>
      <c r="E48" s="2">
        <f>VLOOKUP(A48,INC_PPP_base!$C$2:$N$193,11,0)</f>
        <v>5180.17</v>
      </c>
      <c r="F48" s="2">
        <f t="shared" si="3"/>
        <v>5226.9785223923573</v>
      </c>
      <c r="G48" s="4">
        <f t="shared" si="4"/>
        <v>9.0360977327688455E-3</v>
      </c>
      <c r="H48" s="3">
        <f>VLOOKUP(A48,Elec_Access_base!$A$5:$BH$270,60,0)/100</f>
        <v>0.9</v>
      </c>
      <c r="I48" s="2">
        <f>8308</f>
        <v>8308</v>
      </c>
      <c r="J48" s="2">
        <f t="shared" si="5"/>
        <v>250.53855536260346</v>
      </c>
      <c r="K48" s="5"/>
      <c r="L48" s="6"/>
      <c r="M48" s="4"/>
      <c r="N48" s="4"/>
    </row>
    <row r="49" spans="1:14" x14ac:dyDescent="0.3">
      <c r="A49" t="s">
        <v>101</v>
      </c>
      <c r="B49" t="s">
        <v>102</v>
      </c>
      <c r="C49" s="2">
        <f>VLOOKUP(A49,POP_base!$C$2:$T$201,17,0)*10^6</f>
        <v>9856921</v>
      </c>
      <c r="D49" s="2">
        <f>VLOOKUP(A49,GDP_PPP_base!$C$2:$N$193,11,0)*10^9</f>
        <v>263752000000</v>
      </c>
      <c r="E49" s="2">
        <f>VLOOKUP(A49,INC_PPP_base!$C$2:$N$193,11,0)</f>
        <v>26792.5</v>
      </c>
      <c r="F49" s="2">
        <f t="shared" si="3"/>
        <v>26758.051525420564</v>
      </c>
      <c r="G49" s="4">
        <f t="shared" si="4"/>
        <v>-1.2857506607982141E-3</v>
      </c>
      <c r="H49" s="3">
        <f>VLOOKUP(A49,Elec_Access_base!$A$5:$BH$270,60,0)/100</f>
        <v>1</v>
      </c>
      <c r="I49" s="2">
        <f>39020</f>
        <v>39020</v>
      </c>
      <c r="J49" s="2">
        <f t="shared" si="5"/>
        <v>1099.6221729776357</v>
      </c>
      <c r="K49" s="5"/>
      <c r="L49" s="6"/>
      <c r="M49" s="4"/>
      <c r="N49" s="4"/>
    </row>
    <row r="50" spans="1:14" x14ac:dyDescent="0.3">
      <c r="A50" t="s">
        <v>105</v>
      </c>
      <c r="B50" t="s">
        <v>106</v>
      </c>
      <c r="C50" s="2">
        <f>VLOOKUP(A50,POP_base!$C$2:$T$201,17,0)*10^6</f>
        <v>1315102790.0000002</v>
      </c>
      <c r="D50" s="2">
        <f>VLOOKUP(A50,GDP_PPP_base!$C$2:$N$193,11,0)*10^9</f>
        <v>6962100000000</v>
      </c>
      <c r="E50" s="2">
        <f>VLOOKUP(A50,INC_PPP_base!$C$2:$N$193,11,0)</f>
        <v>5262.89</v>
      </c>
      <c r="F50" s="2">
        <f t="shared" si="3"/>
        <v>5293.9588091057112</v>
      </c>
      <c r="G50" s="4">
        <f t="shared" si="4"/>
        <v>5.903374211832452E-3</v>
      </c>
      <c r="H50" s="3">
        <f>VLOOKUP(A50,Elec_Access_base!$A$5:$BH$270,60,0)/100</f>
        <v>0.88</v>
      </c>
      <c r="I50" s="2">
        <f>884966</f>
        <v>884966</v>
      </c>
      <c r="J50" s="2">
        <f t="shared" si="5"/>
        <v>186.92370722511268</v>
      </c>
      <c r="K50" s="5"/>
      <c r="L50" s="6"/>
      <c r="M50" s="4"/>
      <c r="N50" s="4"/>
    </row>
    <row r="51" spans="1:14" x14ac:dyDescent="0.3">
      <c r="A51" t="s">
        <v>103</v>
      </c>
      <c r="B51" t="s">
        <v>104</v>
      </c>
      <c r="C51" s="2">
        <f>VLOOKUP(A51,POP_base!$C$2:$T$201,17,0)*10^6</f>
        <v>257687503</v>
      </c>
      <c r="D51" s="2">
        <f>VLOOKUP(A51,GDP_PPP_base!$C$2:$N$193,11,0)*10^9</f>
        <v>2647400000000</v>
      </c>
      <c r="E51" s="2">
        <f>VLOOKUP(A51,INC_PPP_base!$C$2:$N$193,11,0)</f>
        <v>10218</v>
      </c>
      <c r="F51" s="2">
        <f t="shared" si="3"/>
        <v>10273.68409092</v>
      </c>
      <c r="G51" s="4">
        <f t="shared" si="4"/>
        <v>5.4496076453317693E-3</v>
      </c>
      <c r="H51" s="3">
        <f>VLOOKUP(A51,Elec_Access_base!$A$5:$BH$270,60,0)/100</f>
        <v>0.97499999999999998</v>
      </c>
      <c r="I51" s="2">
        <f>310669</f>
        <v>310669</v>
      </c>
      <c r="J51" s="2">
        <f t="shared" si="5"/>
        <v>334.88990905563799</v>
      </c>
      <c r="K51" s="5"/>
      <c r="L51" s="6"/>
      <c r="M51" s="4"/>
      <c r="N51" s="4"/>
    </row>
    <row r="52" spans="1:14" x14ac:dyDescent="0.3">
      <c r="A52" t="s">
        <v>747</v>
      </c>
      <c r="B52" t="s">
        <v>109</v>
      </c>
      <c r="C52" s="2">
        <f>VLOOKUP(A52,POP_base!$C$2:$T$201,17,0)*10^6</f>
        <v>80882491</v>
      </c>
      <c r="D52" s="2">
        <f>VLOOKUP(A52,GDP_PPP_base!$C$2:$N$193,11,0)*10^9</f>
        <v>1145960000000</v>
      </c>
      <c r="E52" s="2">
        <f>VLOOKUP(A52,INC_PPP_base!$C$2:$N$193,11,0)</f>
        <v>14010.9</v>
      </c>
      <c r="F52" s="2">
        <f t="shared" si="3"/>
        <v>14168.208543428762</v>
      </c>
      <c r="G52" s="4">
        <f t="shared" si="4"/>
        <v>1.122758305524715E-2</v>
      </c>
      <c r="H52" s="3">
        <f>VLOOKUP(A52,Elec_Access_base!$A$5:$BH$270,60,0)/100</f>
        <v>1</v>
      </c>
      <c r="I52" s="2">
        <f>273974</f>
        <v>273974</v>
      </c>
      <c r="J52" s="2">
        <f t="shared" si="5"/>
        <v>940.91920201726828</v>
      </c>
      <c r="K52" s="5"/>
      <c r="L52" s="6"/>
      <c r="M52" s="4"/>
      <c r="N52" s="4"/>
    </row>
    <row r="53" spans="1:14" x14ac:dyDescent="0.3">
      <c r="A53" t="s">
        <v>110</v>
      </c>
      <c r="B53" t="s">
        <v>111</v>
      </c>
      <c r="C53" s="2">
        <f>VLOOKUP(A53,POP_base!$C$2:$T$201,17,0)*10^6</f>
        <v>37264753</v>
      </c>
      <c r="D53" s="2">
        <f>VLOOKUP(A53,GDP_PPP_base!$C$2:$N$193,11,0)*10^9</f>
        <v>364322000000</v>
      </c>
      <c r="E53" s="2">
        <f>VLOOKUP(A53,INC_PPP_base!$C$2:$N$193,11,0)</f>
        <v>9648.91</v>
      </c>
      <c r="F53" s="2">
        <f t="shared" si="3"/>
        <v>9776.5843235295288</v>
      </c>
      <c r="G53" s="4">
        <f t="shared" si="4"/>
        <v>1.323199444595596E-2</v>
      </c>
      <c r="H53" s="3">
        <f>VLOOKUP(A53,Elec_Access_base!$A$5:$BH$270,60,0)/100</f>
        <v>0.99400000000000011</v>
      </c>
      <c r="I53" s="2">
        <f>73051</f>
        <v>73051</v>
      </c>
      <c r="J53" s="2">
        <f t="shared" si="5"/>
        <v>544.53452152076363</v>
      </c>
      <c r="K53" s="5"/>
      <c r="L53" s="6"/>
      <c r="M53" s="4"/>
      <c r="N53" s="4"/>
    </row>
    <row r="54" spans="1:14" x14ac:dyDescent="0.3">
      <c r="A54" t="s">
        <v>107</v>
      </c>
      <c r="B54" t="s">
        <v>108</v>
      </c>
      <c r="C54" s="2">
        <f>VLOOKUP(A54,POP_base!$C$2:$T$201,17,0)*10^6</f>
        <v>4641602</v>
      </c>
      <c r="D54" s="2">
        <f>VLOOKUP(A54,GDP_PPP_base!$C$2:$N$193,11,0)*10^9</f>
        <v>325448000000</v>
      </c>
      <c r="E54" s="2">
        <f>VLOOKUP(A54,INC_PPP_base!$C$2:$N$193,11,0)</f>
        <v>69752.3</v>
      </c>
      <c r="F54" s="2">
        <f t="shared" si="3"/>
        <v>70115.447209821097</v>
      </c>
      <c r="G54" s="4">
        <f t="shared" si="4"/>
        <v>5.2062399350429204E-3</v>
      </c>
      <c r="H54" s="3">
        <f>VLOOKUP(A54,Elec_Access_base!$A$5:$BH$270,60,0)/100</f>
        <v>1</v>
      </c>
      <c r="I54" s="2">
        <f>28370</f>
        <v>28370</v>
      </c>
      <c r="J54" s="2">
        <f t="shared" si="5"/>
        <v>1697.8094105344567</v>
      </c>
      <c r="K54" s="5"/>
      <c r="L54" s="6"/>
      <c r="M54" s="4"/>
      <c r="N54" s="4"/>
    </row>
    <row r="55" spans="1:14" x14ac:dyDescent="0.3">
      <c r="A55" t="s">
        <v>113</v>
      </c>
      <c r="B55" t="s">
        <v>114</v>
      </c>
      <c r="C55" s="2">
        <f>VLOOKUP(A55,POP_base!$C$2:$T$201,17,0)*10^6</f>
        <v>7933331</v>
      </c>
      <c r="D55" s="2">
        <f>VLOOKUP(A55,GDP_PPP_base!$C$2:$N$193,11,0)*10^9</f>
        <v>299856000000</v>
      </c>
      <c r="E55" s="2">
        <f>VLOOKUP(A55,INC_PPP_base!$C$2:$N$193,11,0)</f>
        <v>37445.599999999999</v>
      </c>
      <c r="F55" s="2">
        <f t="shared" si="3"/>
        <v>37796.985906676528</v>
      </c>
      <c r="G55" s="4">
        <f t="shared" si="4"/>
        <v>9.3839037610968703E-3</v>
      </c>
      <c r="H55" s="3">
        <f>VLOOKUP(A55,Elec_Access_base!$A$5:$BH$270,60,0)/100</f>
        <v>1</v>
      </c>
      <c r="I55" s="2">
        <f>63374</f>
        <v>63374</v>
      </c>
      <c r="J55" s="2">
        <f t="shared" si="5"/>
        <v>2218.9782436770747</v>
      </c>
      <c r="K55" s="5"/>
      <c r="L55" s="6"/>
      <c r="M55" s="4"/>
      <c r="N55" s="4"/>
    </row>
    <row r="56" spans="1:14" x14ac:dyDescent="0.3">
      <c r="A56" t="s">
        <v>115</v>
      </c>
      <c r="B56" t="s">
        <v>116</v>
      </c>
      <c r="C56" s="2">
        <f>VLOOKUP(A56,POP_base!$C$2:$T$201,17,0)*10^6</f>
        <v>60297737.999999993</v>
      </c>
      <c r="D56" s="2">
        <f>VLOOKUP(A56,GDP_PPP_base!$C$2:$N$193,11,0)*10^9</f>
        <v>2239310000000</v>
      </c>
      <c r="E56" s="2">
        <f>VLOOKUP(A56,INC_PPP_base!$C$2:$N$193,11,0)</f>
        <v>37177.4</v>
      </c>
      <c r="F56" s="2">
        <f t="shared" si="3"/>
        <v>37137.545690354091</v>
      </c>
      <c r="G56" s="4">
        <f t="shared" si="4"/>
        <v>-1.0720036808897525E-3</v>
      </c>
      <c r="H56" s="3">
        <f>VLOOKUP(A56,Elec_Access_base!$A$5:$BH$270,60,0)/100</f>
        <v>1</v>
      </c>
      <c r="I56" s="2">
        <f>238273</f>
        <v>238273</v>
      </c>
      <c r="J56" s="2">
        <f t="shared" si="5"/>
        <v>1097.668778958913</v>
      </c>
      <c r="K56" s="5"/>
      <c r="L56" s="6"/>
      <c r="M56" s="4"/>
      <c r="N56" s="4"/>
    </row>
    <row r="57" spans="1:14" x14ac:dyDescent="0.3">
      <c r="A57" t="s">
        <v>119</v>
      </c>
      <c r="B57" t="s">
        <v>120</v>
      </c>
      <c r="C57" s="2">
        <f>VLOOKUP(A57,POP_base!$C$2:$T$201,17,0)*10^6</f>
        <v>127367946</v>
      </c>
      <c r="D57" s="2">
        <f>VLOOKUP(A57,GDP_PPP_base!$C$2:$N$193,11,0)*10^9</f>
        <v>5199910000000</v>
      </c>
      <c r="E57" s="2">
        <f>VLOOKUP(A57,INC_PPP_base!$C$2:$N$193,11,0)</f>
        <v>40863.4</v>
      </c>
      <c r="F57" s="2">
        <f t="shared" si="3"/>
        <v>40825.891939876303</v>
      </c>
      <c r="G57" s="4">
        <f t="shared" si="4"/>
        <v>-9.178888717947764E-4</v>
      </c>
      <c r="H57" s="3">
        <f>VLOOKUP(A57,Elec_Access_base!$A$5:$BH$270,60,0)/100</f>
        <v>1</v>
      </c>
      <c r="I57" s="2">
        <f>963879</f>
        <v>963879</v>
      </c>
      <c r="J57" s="2">
        <f t="shared" si="5"/>
        <v>2102.1314630186989</v>
      </c>
      <c r="K57" s="5"/>
      <c r="L57" s="6"/>
      <c r="M57" s="14"/>
      <c r="N57" s="4"/>
    </row>
    <row r="58" spans="1:14" x14ac:dyDescent="0.3">
      <c r="A58" t="s">
        <v>121</v>
      </c>
      <c r="B58" t="s">
        <v>122</v>
      </c>
      <c r="C58" s="2">
        <f>VLOOKUP(A58,POP_base!$C$2:$T$201,17,0)*10^6</f>
        <v>17715601</v>
      </c>
      <c r="D58" s="2">
        <f>VLOOKUP(A58,GDP_PPP_base!$C$2:$N$193,11,0)*10^9</f>
        <v>427787000000</v>
      </c>
      <c r="E58" s="2">
        <f>VLOOKUP(A58,INC_PPP_base!$C$2:$N$193,11,0)</f>
        <v>23984.6</v>
      </c>
      <c r="F58" s="2">
        <f t="shared" si="3"/>
        <v>24147.473179148707</v>
      </c>
      <c r="G58" s="4">
        <f t="shared" si="4"/>
        <v>6.7907398559370604E-3</v>
      </c>
      <c r="H58" s="3">
        <f>VLOOKUP(A58,Elec_Access_base!$A$5:$BH$270,60,0)/100</f>
        <v>1</v>
      </c>
      <c r="I58" s="2">
        <f>43366</f>
        <v>43366</v>
      </c>
      <c r="J58" s="2">
        <f t="shared" si="5"/>
        <v>679.97191351911295</v>
      </c>
      <c r="K58" s="5"/>
      <c r="L58" s="6"/>
      <c r="M58" s="14"/>
      <c r="N58" s="4"/>
    </row>
    <row r="59" spans="1:14" x14ac:dyDescent="0.3">
      <c r="A59" t="s">
        <v>123</v>
      </c>
      <c r="B59" t="s">
        <v>124</v>
      </c>
      <c r="C59" s="2">
        <f>VLOOKUP(A59,POP_base!$C$2:$T$201,17,0)*10^6</f>
        <v>46345992</v>
      </c>
      <c r="D59" s="2">
        <f>VLOOKUP(A59,GDP_PPP_base!$C$2:$N$193,11,0)*10^9</f>
        <v>195128000000</v>
      </c>
      <c r="E59" s="2">
        <f>VLOOKUP(A59,INC_PPP_base!$C$2:$N$193,11,0)</f>
        <v>4164.82</v>
      </c>
      <c r="F59" s="2">
        <f t="shared" si="3"/>
        <v>4210.2454080603129</v>
      </c>
      <c r="G59" s="4">
        <f t="shared" si="4"/>
        <v>1.0906931886687348E-2</v>
      </c>
      <c r="H59" s="3">
        <f>VLOOKUP(A59,Elec_Access_base!$A$5:$BH$270,60,0)/100</f>
        <v>0.41600000000000004</v>
      </c>
      <c r="I59" s="2">
        <f>9601</f>
        <v>9601</v>
      </c>
      <c r="J59" s="2">
        <f t="shared" si="5"/>
        <v>57.54423045782351</v>
      </c>
      <c r="K59" s="5"/>
      <c r="L59" s="6"/>
      <c r="M59" s="14"/>
      <c r="N59" s="4"/>
    </row>
    <row r="60" spans="1:14" x14ac:dyDescent="0.3">
      <c r="A60" t="s">
        <v>748</v>
      </c>
      <c r="B60" t="s">
        <v>128</v>
      </c>
      <c r="C60" s="2">
        <f>VLOOKUP(A60,POP_base!$C$2:$T$201,17,0)*10^6</f>
        <v>50787842</v>
      </c>
      <c r="D60" s="2">
        <f>VLOOKUP(A60,GDP_PPP_base!$C$2:$N$193,11,0)*10^9</f>
        <v>1933580000000</v>
      </c>
      <c r="E60" s="2">
        <f>VLOOKUP(A60,INC_PPP_base!$C$2:$N$193,11,0)</f>
        <v>37917.5</v>
      </c>
      <c r="F60" s="2">
        <f t="shared" si="3"/>
        <v>38071.710154568093</v>
      </c>
      <c r="G60" s="4">
        <f t="shared" si="4"/>
        <v>4.0669916151669424E-3</v>
      </c>
      <c r="H60" s="3">
        <f>VLOOKUP(A60,Elec_Access_base!$A$5:$BH$270,60,0)/100</f>
        <v>1</v>
      </c>
      <c r="I60" s="2">
        <f>229687</f>
        <v>229687</v>
      </c>
      <c r="J60" s="2">
        <f t="shared" si="5"/>
        <v>1256.2444461500145</v>
      </c>
      <c r="K60" s="5"/>
      <c r="L60" s="6"/>
      <c r="M60" s="4"/>
      <c r="N60" s="4"/>
    </row>
    <row r="61" spans="1:14" x14ac:dyDescent="0.3">
      <c r="A61" t="s">
        <v>129</v>
      </c>
      <c r="B61" t="s">
        <v>130</v>
      </c>
      <c r="C61" s="2">
        <f>VLOOKUP(A61,POP_base!$C$2:$T$201,17,0)*10^6</f>
        <v>3750592</v>
      </c>
      <c r="D61" s="2">
        <f>VLOOKUP(A61,GDP_PPP_base!$C$2:$N$193,11,0)*10^9</f>
        <v>210319000000</v>
      </c>
      <c r="E61" s="2">
        <f>VLOOKUP(A61,INC_PPP_base!$C$2:$N$193,11,0)</f>
        <v>53807.3</v>
      </c>
      <c r="F61" s="2">
        <f t="shared" si="3"/>
        <v>56076.214101667152</v>
      </c>
      <c r="G61" s="4">
        <f t="shared" si="4"/>
        <v>4.2167402967016543E-2</v>
      </c>
      <c r="H61" s="3">
        <f>VLOOKUP(A61,Elec_Access_base!$A$5:$BH$270,60,0)/100</f>
        <v>1</v>
      </c>
      <c r="I61" s="2">
        <f>87667</f>
        <v>87667</v>
      </c>
      <c r="J61" s="2">
        <f t="shared" si="5"/>
        <v>6492.8268509196532</v>
      </c>
      <c r="K61" s="5"/>
      <c r="L61" s="6"/>
      <c r="M61" s="4"/>
      <c r="N61" s="4"/>
    </row>
    <row r="62" spans="1:14" x14ac:dyDescent="0.3">
      <c r="A62" s="9" t="s">
        <v>725</v>
      </c>
      <c r="B62" t="s">
        <v>125</v>
      </c>
      <c r="C62" s="2">
        <f>VLOOKUP(A62,POP_base!$C$2:$T$201,17,0)*10^6</f>
        <v>5863850.9999999991</v>
      </c>
      <c r="D62" s="2">
        <f>VLOOKUP(A62,GDP_PPP_base!$C$2:$N$193,11,0)*10^9</f>
        <v>28623300000</v>
      </c>
      <c r="E62" s="2">
        <f>VLOOKUP(A62,INC_PPP_base!$C$2:$N$193,11,0)</f>
        <v>4839.12</v>
      </c>
      <c r="F62" s="2">
        <f t="shared" si="3"/>
        <v>4881.3143444470206</v>
      </c>
      <c r="G62" s="4">
        <f t="shared" si="4"/>
        <v>8.719425111801472E-3</v>
      </c>
      <c r="H62" s="3">
        <f>VLOOKUP(A62,Elec_Access_base!$A$5:$BH$270,60,0)/100</f>
        <v>0.98699999999999999</v>
      </c>
      <c r="I62" s="2">
        <f>24894</f>
        <v>24894</v>
      </c>
      <c r="J62" s="2">
        <f t="shared" si="5"/>
        <v>1179.2591592112421</v>
      </c>
      <c r="K62" s="5"/>
      <c r="L62" s="6"/>
      <c r="M62" s="4"/>
      <c r="N62" s="4"/>
    </row>
    <row r="63" spans="1:14" x14ac:dyDescent="0.3">
      <c r="A63" t="s">
        <v>141</v>
      </c>
      <c r="B63" t="s">
        <v>142</v>
      </c>
      <c r="C63" s="2">
        <f>VLOOKUP(A63,POP_base!$C$2:$T$201,17,0)*10^6</f>
        <v>2001288.0000000002</v>
      </c>
      <c r="D63" s="2">
        <f>VLOOKUP(A63,GDP_PPP_base!$C$2:$N$193,11,0)*10^9</f>
        <v>49383700000</v>
      </c>
      <c r="E63" s="2">
        <f>VLOOKUP(A63,INC_PPP_base!$C$2:$N$193,11,0)</f>
        <v>24791.599999999999</v>
      </c>
      <c r="F63" s="2">
        <f t="shared" si="3"/>
        <v>24675.958682608398</v>
      </c>
      <c r="G63" s="4">
        <f t="shared" si="4"/>
        <v>-4.6645362700108405E-3</v>
      </c>
      <c r="H63" s="3">
        <f>VLOOKUP(A63,Elec_Access_base!$A$5:$BH$270,60,0)/100</f>
        <v>1</v>
      </c>
      <c r="I63" s="2">
        <f>6332</f>
        <v>6332</v>
      </c>
      <c r="J63" s="2">
        <f t="shared" si="5"/>
        <v>878.87844672475353</v>
      </c>
      <c r="K63" s="5"/>
      <c r="L63" s="6"/>
      <c r="M63" s="4"/>
      <c r="N63" s="4"/>
    </row>
    <row r="64" spans="1:14" x14ac:dyDescent="0.3">
      <c r="A64" t="s">
        <v>131</v>
      </c>
      <c r="B64" t="s">
        <v>132</v>
      </c>
      <c r="C64" s="2">
        <f>VLOOKUP(A64,POP_base!$C$2:$T$201,17,0)*10^6</f>
        <v>6466756</v>
      </c>
      <c r="D64" s="2">
        <f>VLOOKUP(A64,GDP_PPP_base!$C$2:$N$193,11,0)*10^9</f>
        <v>106168000000</v>
      </c>
      <c r="E64" s="2">
        <f>VLOOKUP(A64,INC_PPP_base!$C$2:$N$193,11,0)</f>
        <v>16591.599999999999</v>
      </c>
      <c r="F64" s="2">
        <f t="shared" si="3"/>
        <v>16417.505160237994</v>
      </c>
      <c r="G64" s="4">
        <f t="shared" si="4"/>
        <v>-1.0492950635382062E-2</v>
      </c>
      <c r="H64" s="3">
        <f>VLOOKUP(A64,Elec_Access_base!$A$5:$BH$270,60,0)/100</f>
        <v>0.997</v>
      </c>
      <c r="I64" s="2">
        <f>23382</f>
        <v>23382</v>
      </c>
      <c r="J64" s="2">
        <f t="shared" si="5"/>
        <v>1004.3675685304966</v>
      </c>
      <c r="K64" s="5"/>
      <c r="L64" s="6"/>
      <c r="M64" s="4"/>
      <c r="N64" s="4"/>
    </row>
    <row r="65" spans="1:19" x14ac:dyDescent="0.3">
      <c r="A65" t="s">
        <v>133</v>
      </c>
      <c r="B65" t="s">
        <v>134</v>
      </c>
      <c r="C65" s="2">
        <f>VLOOKUP(A65,POP_base!$C$2:$T$201,17,0)*10^6</f>
        <v>6147163</v>
      </c>
      <c r="D65" s="2">
        <f>VLOOKUP(A65,GDP_PPP_base!$C$2:$N$193,11,0)*10^9</f>
        <v>118327000000</v>
      </c>
      <c r="E65" s="2">
        <f>VLOOKUP(A65,INC_PPP_base!$C$2:$N$193,11,0)</f>
        <v>19108.900000000001</v>
      </c>
      <c r="F65" s="2">
        <f t="shared" si="3"/>
        <v>19249.042200442709</v>
      </c>
      <c r="G65" s="4">
        <f t="shared" si="4"/>
        <v>7.3338706279643352E-3</v>
      </c>
      <c r="H65" s="3">
        <f>VLOOKUP(A65,Elec_Access_base!$A$5:$BH$270,60,0)/100</f>
        <v>0.73799999999999999</v>
      </c>
      <c r="I65" s="2">
        <f>24894</f>
        <v>24894</v>
      </c>
      <c r="J65" s="2">
        <f t="shared" si="5"/>
        <v>1124.9091654150052</v>
      </c>
      <c r="K65" s="5"/>
      <c r="L65" s="6"/>
      <c r="M65" s="4"/>
      <c r="N65" s="4"/>
    </row>
    <row r="66" spans="1:19" x14ac:dyDescent="0.3">
      <c r="A66" t="s">
        <v>137</v>
      </c>
      <c r="B66" t="s">
        <v>138</v>
      </c>
      <c r="C66" s="2">
        <f>VLOOKUP(A66,POP_base!$C$2:$T$201,17,0)*10^6</f>
        <v>2979093</v>
      </c>
      <c r="D66" s="2">
        <f>VLOOKUP(A66,GDP_PPP_base!$C$2:$N$193,11,0)*10^9</f>
        <v>83760000000</v>
      </c>
      <c r="E66" s="2">
        <f>VLOOKUP(A66,INC_PPP_base!$C$2:$N$193,11,0)</f>
        <v>28261.4</v>
      </c>
      <c r="F66" s="2">
        <f t="shared" ref="F66:F97" si="6">D66/C66</f>
        <v>28115.939985760768</v>
      </c>
      <c r="G66" s="4">
        <f t="shared" ref="G66:G97" si="7">(F66-E66)/E66</f>
        <v>-5.1469500534026521E-3</v>
      </c>
      <c r="H66" s="3">
        <f>VLOOKUP(A66,Elec_Access_base!$A$5:$BH$270,60,0)/100</f>
        <v>1</v>
      </c>
      <c r="I66" s="2">
        <f>9575</f>
        <v>9575</v>
      </c>
      <c r="J66" s="2">
        <f t="shared" ref="J66:J97" si="8">I66*10^9/3600/C66</f>
        <v>892.79596918331265</v>
      </c>
      <c r="K66" s="5"/>
      <c r="L66" s="6"/>
      <c r="M66" s="4"/>
      <c r="N66" s="4"/>
    </row>
    <row r="67" spans="1:19" x14ac:dyDescent="0.3">
      <c r="A67" t="s">
        <v>139</v>
      </c>
      <c r="B67" t="s">
        <v>140</v>
      </c>
      <c r="C67" s="2">
        <f>VLOOKUP(A67,POP_base!$C$2:$T$201,17,0)*10^6</f>
        <v>562719.00000000012</v>
      </c>
      <c r="D67" s="2">
        <f>VLOOKUP(A67,GDP_PPP_base!$C$2:$N$193,11,0)*10^9</f>
        <v>61569800000</v>
      </c>
      <c r="E67" s="2">
        <f>VLOOKUP(A67,INC_PPP_base!$C$2:$N$193,11,0)</f>
        <v>108130</v>
      </c>
      <c r="F67" s="2">
        <f t="shared" si="6"/>
        <v>109414.8233843179</v>
      </c>
      <c r="G67" s="4">
        <f t="shared" si="7"/>
        <v>1.1882210157383742E-2</v>
      </c>
      <c r="H67" s="3">
        <f>VLOOKUP(A67,Elec_Access_base!$A$5:$BH$270,60,0)/100</f>
        <v>1</v>
      </c>
      <c r="I67" s="2">
        <f>3561</f>
        <v>3561</v>
      </c>
      <c r="J67" s="2">
        <f t="shared" si="8"/>
        <v>1757.8341350952544</v>
      </c>
      <c r="K67" s="5"/>
      <c r="L67" s="6"/>
      <c r="M67" s="4"/>
      <c r="N67" s="4"/>
    </row>
    <row r="68" spans="1:19" x14ac:dyDescent="0.3">
      <c r="A68" t="s">
        <v>160</v>
      </c>
      <c r="B68" t="s">
        <v>161</v>
      </c>
      <c r="C68" s="2">
        <f>VLOOKUP(A68,POP_base!$C$2:$T$201,17,0)*10^6</f>
        <v>30842299</v>
      </c>
      <c r="D68" s="2">
        <f>VLOOKUP(A68,GDP_PPP_base!$C$2:$N$193,11,0)*10^9</f>
        <v>750350000000</v>
      </c>
      <c r="E68" s="2">
        <f>VLOOKUP(A68,INC_PPP_base!$C$2:$N$193,11,0)</f>
        <v>24151.200000000001</v>
      </c>
      <c r="F68" s="2">
        <f t="shared" si="6"/>
        <v>24328.601444399461</v>
      </c>
      <c r="G68" s="4">
        <f t="shared" si="7"/>
        <v>7.3454505117534598E-3</v>
      </c>
      <c r="H68" s="3">
        <f>VLOOKUP(A68,Elec_Access_base!$A$5:$BH$270,60,0)/100</f>
        <v>0.99900000000000011</v>
      </c>
      <c r="I68" s="2">
        <f>103456</f>
        <v>103456</v>
      </c>
      <c r="J68" s="2">
        <f t="shared" si="8"/>
        <v>931.76509889155079</v>
      </c>
      <c r="K68" s="5"/>
      <c r="L68" s="6"/>
      <c r="M68" s="4"/>
      <c r="N68" s="4"/>
    </row>
    <row r="69" spans="1:19" x14ac:dyDescent="0.3">
      <c r="A69" t="s">
        <v>147</v>
      </c>
      <c r="B69" t="s">
        <v>148</v>
      </c>
      <c r="C69" s="2">
        <f>VLOOKUP(A69,POP_base!$C$2:$T$201,17,0)*10^6</f>
        <v>119472303</v>
      </c>
      <c r="D69" s="2">
        <f>VLOOKUP(A69,GDP_PPP_base!$C$2:$N$193,11,0)*10^9</f>
        <v>2308810000000</v>
      </c>
      <c r="E69" s="2">
        <f>VLOOKUP(A69,INC_PPP_base!$C$2:$N$193,11,0)</f>
        <v>19216.099999999999</v>
      </c>
      <c r="F69" s="2">
        <f t="shared" si="6"/>
        <v>19325.06482276482</v>
      </c>
      <c r="G69" s="4">
        <f t="shared" si="7"/>
        <v>5.6704962383012838E-3</v>
      </c>
      <c r="H69" s="3">
        <f>VLOOKUP(A69,Elec_Access_base!$A$5:$BH$270,60,0)/100</f>
        <v>0.99</v>
      </c>
      <c r="I69" s="2">
        <f>201549</f>
        <v>201549</v>
      </c>
      <c r="J69" s="2">
        <f t="shared" si="8"/>
        <v>468.60930883146477</v>
      </c>
      <c r="K69" s="5"/>
      <c r="L69" s="6"/>
      <c r="M69" s="4"/>
      <c r="N69" s="4"/>
    </row>
    <row r="70" spans="1:19" x14ac:dyDescent="0.3">
      <c r="A70" t="s">
        <v>145</v>
      </c>
      <c r="B70" t="s">
        <v>146</v>
      </c>
      <c r="C70" s="2">
        <f>VLOOKUP(A70,POP_base!$C$2:$T$201,17,0)*10^6</f>
        <v>3305826</v>
      </c>
      <c r="D70" s="2">
        <f>VLOOKUP(A70,GDP_PPP_base!$C$2:$N$193,11,0)*10^9</f>
        <v>29031500000</v>
      </c>
      <c r="E70" s="2">
        <f>VLOOKUP(A70,INC_PPP_base!$C$2:$N$193,11,0)</f>
        <v>8858.1200000000008</v>
      </c>
      <c r="F70" s="2">
        <f t="shared" si="6"/>
        <v>8781.9201615572019</v>
      </c>
      <c r="G70" s="4">
        <f t="shared" si="7"/>
        <v>-8.6022585427606366E-3</v>
      </c>
      <c r="H70" s="3">
        <f>VLOOKUP(A70,Elec_Access_base!$A$5:$BH$270,60,0)/100</f>
        <v>0.99900000000000011</v>
      </c>
      <c r="I70" s="2">
        <f>7313</f>
        <v>7313</v>
      </c>
      <c r="J70" s="2">
        <f t="shared" si="8"/>
        <v>614.48754075044747</v>
      </c>
      <c r="K70" s="5"/>
      <c r="L70" s="6"/>
      <c r="M70" s="4"/>
      <c r="N70" s="4"/>
    </row>
    <row r="71" spans="1:19" x14ac:dyDescent="0.3">
      <c r="A71" t="s">
        <v>155</v>
      </c>
      <c r="B71" t="s">
        <v>156</v>
      </c>
      <c r="C71" s="2">
        <f>VLOOKUP(A71,POP_base!$C$2:$T$201,17,0)*10^6</f>
        <v>2932861</v>
      </c>
      <c r="D71" s="2">
        <f>VLOOKUP(A71,GDP_PPP_base!$C$2:$N$193,11,0)*10^9</f>
        <v>33011600000</v>
      </c>
      <c r="E71" s="2">
        <f>VLOOKUP(A71,INC_PPP_base!$C$2:$N$193,11,0)</f>
        <v>11134.7</v>
      </c>
      <c r="F71" s="2">
        <f t="shared" si="6"/>
        <v>11255.766979751172</v>
      </c>
      <c r="G71" s="4">
        <f t="shared" si="7"/>
        <v>1.0872944915549673E-2</v>
      </c>
      <c r="H71" s="3">
        <f>VLOOKUP(A71,Elec_Access_base!$A$5:$BH$270,60,0)/100</f>
        <v>0.88</v>
      </c>
      <c r="I71" s="2">
        <f>4600</f>
        <v>4600</v>
      </c>
      <c r="J71" s="2">
        <f t="shared" si="8"/>
        <v>435.67621437830763</v>
      </c>
      <c r="K71" s="5"/>
      <c r="L71" s="6"/>
      <c r="M71" s="4"/>
      <c r="N71" s="4"/>
    </row>
    <row r="72" spans="1:19" x14ac:dyDescent="0.3">
      <c r="A72" t="s">
        <v>153</v>
      </c>
      <c r="B72" t="s">
        <v>154</v>
      </c>
      <c r="C72" s="2">
        <f>VLOOKUP(A72,POP_base!$C$2:$T$201,17,0)*10^6</f>
        <v>634275</v>
      </c>
      <c r="D72" s="2">
        <f>VLOOKUP(A72,GDP_PPP_base!$C$2:$N$193,11,0)*10^9</f>
        <v>11375900000</v>
      </c>
      <c r="E72" s="2">
        <f>VLOOKUP(A72,INC_PPP_base!$C$2:$N$193,11,0)</f>
        <v>17944</v>
      </c>
      <c r="F72" s="2">
        <f t="shared" si="6"/>
        <v>17935.280438295693</v>
      </c>
      <c r="G72" s="4">
        <f t="shared" si="7"/>
        <v>-4.8593188276343765E-4</v>
      </c>
      <c r="H72" s="3">
        <f>VLOOKUP(A72,Elec_Access_base!$A$5:$BH$270,60,0)/100</f>
        <v>0.995</v>
      </c>
      <c r="I72" s="2">
        <f>4474</f>
        <v>4474</v>
      </c>
      <c r="J72" s="2">
        <f t="shared" si="8"/>
        <v>1959.3674317571679</v>
      </c>
      <c r="K72" s="5"/>
      <c r="L72" s="6"/>
      <c r="M72" s="4"/>
      <c r="N72" s="4"/>
    </row>
    <row r="73" spans="1:19" x14ac:dyDescent="0.3">
      <c r="A73" t="s">
        <v>143</v>
      </c>
      <c r="B73" t="s">
        <v>144</v>
      </c>
      <c r="C73" s="2">
        <f>VLOOKUP(A73,POP_base!$C$2:$T$201,17,0)*10^6</f>
        <v>34467568</v>
      </c>
      <c r="D73" s="2">
        <f>VLOOKUP(A73,GDP_PPP_base!$C$2:$N$193,11,0)*10^9</f>
        <v>270392000000</v>
      </c>
      <c r="E73" s="2">
        <f>VLOOKUP(A73,INC_PPP_base!$C$2:$N$193,11,0)</f>
        <v>7796.67</v>
      </c>
      <c r="F73" s="2">
        <f t="shared" si="6"/>
        <v>7844.8238645674101</v>
      </c>
      <c r="G73" s="4">
        <f t="shared" si="7"/>
        <v>6.1762091466497854E-3</v>
      </c>
      <c r="H73" s="3">
        <f>VLOOKUP(A73,Elec_Access_base!$A$5:$BH$270,60,0)/100</f>
        <v>0.97299999999999998</v>
      </c>
      <c r="I73" s="2">
        <f>36543</f>
        <v>36543</v>
      </c>
      <c r="J73" s="2">
        <f t="shared" si="8"/>
        <v>294.50390388243619</v>
      </c>
      <c r="K73" s="5"/>
      <c r="L73" s="6"/>
      <c r="M73" s="4"/>
      <c r="N73" s="4"/>
    </row>
    <row r="74" spans="1:19" x14ac:dyDescent="0.3">
      <c r="A74" t="s">
        <v>157</v>
      </c>
      <c r="B74" t="s">
        <v>158</v>
      </c>
      <c r="C74" s="2">
        <f>VLOOKUP(A74,POP_base!$C$2:$T$201,17,0)*10^6</f>
        <v>26435069</v>
      </c>
      <c r="D74" s="2">
        <f>VLOOKUP(A74,GDP_PPP_base!$C$2:$N$193,11,0)*10^9</f>
        <v>34144000000</v>
      </c>
      <c r="E74" s="2">
        <f>VLOOKUP(A74,INC_PPP_base!$C$2:$N$193,11,0)</f>
        <v>1271.98</v>
      </c>
      <c r="F74" s="2">
        <f t="shared" si="6"/>
        <v>1291.6175857153994</v>
      </c>
      <c r="G74" s="4">
        <f t="shared" si="7"/>
        <v>1.5438596295067046E-2</v>
      </c>
      <c r="H74" s="3">
        <f>VLOOKUP(A74,Elec_Access_base!$A$5:$BH$270,60,0)/100</f>
        <v>0.24</v>
      </c>
      <c r="I74" s="2">
        <f>5940</f>
        <v>5940</v>
      </c>
      <c r="J74" s="2">
        <f t="shared" si="8"/>
        <v>62.417086938566342</v>
      </c>
      <c r="K74" s="5"/>
      <c r="L74" s="6"/>
      <c r="M74" s="16"/>
      <c r="N74" s="4"/>
      <c r="O74" s="5"/>
      <c r="P74" s="11"/>
      <c r="Q74" s="11"/>
      <c r="R74" s="11"/>
      <c r="S74" s="11"/>
    </row>
    <row r="75" spans="1:19" x14ac:dyDescent="0.3">
      <c r="A75" t="s">
        <v>162</v>
      </c>
      <c r="B75" t="s">
        <v>163</v>
      </c>
      <c r="C75" s="2">
        <f>VLOOKUP(A75,POP_base!$C$2:$T$201,17,0)*10^6</f>
        <v>2262622</v>
      </c>
      <c r="D75" s="2">
        <f>VLOOKUP(A75,GDP_PPP_base!$C$2:$N$193,11,0)*10^9</f>
        <v>24683300000</v>
      </c>
      <c r="E75" s="2">
        <f>VLOOKUP(A75,INC_PPP_base!$C$2:$N$193,11,0)</f>
        <v>10813.2</v>
      </c>
      <c r="F75" s="2">
        <f t="shared" si="6"/>
        <v>10909.157605645132</v>
      </c>
      <c r="G75" s="4">
        <f t="shared" si="7"/>
        <v>8.8741173422420255E-3</v>
      </c>
      <c r="H75" s="3">
        <f>VLOOKUP(A75,Elec_Access_base!$A$5:$BH$270,60,0)/100</f>
        <v>0.51600000000000001</v>
      </c>
      <c r="I75" s="2">
        <f>3283</f>
        <v>3283</v>
      </c>
      <c r="J75" s="2">
        <f t="shared" si="8"/>
        <v>403.0476343129539</v>
      </c>
      <c r="K75" s="5"/>
      <c r="L75" s="6"/>
      <c r="M75" s="5"/>
      <c r="N75" s="5"/>
      <c r="O75" s="5"/>
      <c r="P75" s="5"/>
      <c r="Q75" s="5"/>
      <c r="R75" s="5"/>
      <c r="S75" s="5"/>
    </row>
    <row r="76" spans="1:19" x14ac:dyDescent="0.3">
      <c r="A76" t="s">
        <v>173</v>
      </c>
      <c r="B76" t="s">
        <v>174</v>
      </c>
      <c r="C76" s="2">
        <f>VLOOKUP(A76,POP_base!$C$2:$T$201,17,0)*10^6</f>
        <v>27517470.000000004</v>
      </c>
      <c r="D76" s="2">
        <f>VLOOKUP(A76,GDP_PPP_base!$C$2:$N$193,11,0)*10^9</f>
        <v>90010600000</v>
      </c>
      <c r="E76" s="2">
        <f>VLOOKUP(A76,INC_PPP_base!$C$2:$N$193,11,0)</f>
        <v>3260.03</v>
      </c>
      <c r="F76" s="2">
        <f t="shared" si="6"/>
        <v>3271.0347281199902</v>
      </c>
      <c r="G76" s="4">
        <f t="shared" si="7"/>
        <v>3.3756524081035993E-3</v>
      </c>
      <c r="H76" s="3">
        <f>VLOOKUP(A76,Elec_Access_base!$A$5:$BH$270,60,0)/100</f>
        <v>0.82</v>
      </c>
      <c r="I76" s="2">
        <f>7023</f>
        <v>7023</v>
      </c>
      <c r="J76" s="2">
        <f t="shared" si="8"/>
        <v>70.894356688072449</v>
      </c>
      <c r="K76" s="5"/>
      <c r="L76" s="6"/>
      <c r="M76" s="12"/>
      <c r="N76" s="4"/>
      <c r="O76" s="13"/>
    </row>
    <row r="77" spans="1:19" x14ac:dyDescent="0.3">
      <c r="A77" t="s">
        <v>169</v>
      </c>
      <c r="B77" t="s">
        <v>170</v>
      </c>
      <c r="C77" s="2">
        <f>VLOOKUP(A77,POP_base!$C$2:$T$201,17,0)*10^6</f>
        <v>16999762</v>
      </c>
      <c r="D77" s="2">
        <f>VLOOKUP(A77,GDP_PPP_base!$C$2:$N$193,11,0)*10^9</f>
        <v>852059000000</v>
      </c>
      <c r="E77" s="2">
        <f>VLOOKUP(A77,INC_PPP_base!$C$2:$N$193,11,0)</f>
        <v>50000.2</v>
      </c>
      <c r="F77" s="2">
        <f t="shared" si="6"/>
        <v>50121.819352529761</v>
      </c>
      <c r="G77" s="4">
        <f t="shared" si="7"/>
        <v>2.4323773210859958E-3</v>
      </c>
      <c r="H77" s="3">
        <f>VLOOKUP(A77,Elec_Access_base!$A$5:$BH$270,60,0)/100</f>
        <v>1</v>
      </c>
      <c r="I77" s="2">
        <f>79855</f>
        <v>79855</v>
      </c>
      <c r="J77" s="2">
        <f t="shared" si="8"/>
        <v>1304.8385291773168</v>
      </c>
      <c r="K77" s="5"/>
      <c r="L77" s="6"/>
      <c r="M77" s="4"/>
      <c r="N77" s="4"/>
    </row>
    <row r="78" spans="1:19" x14ac:dyDescent="0.3">
      <c r="A78" t="s">
        <v>175</v>
      </c>
      <c r="B78" t="s">
        <v>176</v>
      </c>
      <c r="C78" s="2">
        <f>VLOOKUP(A78,POP_base!$C$2:$T$201,17,0)*10^6</f>
        <v>4552041</v>
      </c>
      <c r="D78" s="2">
        <f>VLOOKUP(A78,GDP_PPP_base!$C$2:$N$193,11,0)*10^9</f>
        <v>170282000000</v>
      </c>
      <c r="E78" s="2">
        <f>VLOOKUP(A78,INC_PPP_base!$C$2:$N$193,11,0)</f>
        <v>37093.699999999997</v>
      </c>
      <c r="F78" s="2">
        <f t="shared" si="6"/>
        <v>37407.835298495775</v>
      </c>
      <c r="G78" s="4">
        <f t="shared" si="7"/>
        <v>8.4686968001514429E-3</v>
      </c>
      <c r="H78" s="3">
        <f>VLOOKUP(A78,Elec_Access_base!$A$5:$BH$270,60,0)/100</f>
        <v>1</v>
      </c>
      <c r="I78" s="2">
        <f>44887</f>
        <v>44887</v>
      </c>
      <c r="J78" s="2">
        <f t="shared" si="8"/>
        <v>2739.1253969617387</v>
      </c>
      <c r="K78" s="5"/>
      <c r="L78" s="6"/>
      <c r="M78" s="4"/>
      <c r="N78" s="4"/>
    </row>
    <row r="79" spans="1:19" x14ac:dyDescent="0.3">
      <c r="A79" t="s">
        <v>167</v>
      </c>
      <c r="B79" t="s">
        <v>168</v>
      </c>
      <c r="C79" s="2">
        <f>VLOOKUP(A79,POP_base!$C$2:$T$201,17,0)*10^6</f>
        <v>6253467</v>
      </c>
      <c r="D79" s="2">
        <f>VLOOKUP(A79,GDP_PPP_base!$C$2:$N$193,11,0)*10^9</f>
        <v>35039300000</v>
      </c>
      <c r="E79" s="2">
        <f>VLOOKUP(A79,INC_PPP_base!$C$2:$N$193,11,0)</f>
        <v>5563.04</v>
      </c>
      <c r="F79" s="2">
        <f t="shared" si="6"/>
        <v>5603.1798040990698</v>
      </c>
      <c r="G79" s="4">
        <f t="shared" si="7"/>
        <v>7.2154440915524259E-3</v>
      </c>
      <c r="H79" s="3">
        <f>VLOOKUP(A79,Elec_Access_base!$A$5:$BH$270,60,0)/100</f>
        <v>0.83200000000000007</v>
      </c>
      <c r="I79" s="2">
        <f>4053</f>
        <v>4053</v>
      </c>
      <c r="J79" s="2">
        <f t="shared" si="8"/>
        <v>180.03346516953448</v>
      </c>
      <c r="K79" s="5"/>
      <c r="L79" s="6"/>
      <c r="M79" s="4"/>
      <c r="N79" s="4"/>
    </row>
    <row r="80" spans="1:19" x14ac:dyDescent="0.3">
      <c r="A80" t="s">
        <v>164</v>
      </c>
      <c r="B80" t="s">
        <v>165</v>
      </c>
      <c r="C80" s="2">
        <f>VLOOKUP(A80,POP_base!$C$2:$T$201,17,0)*10^6</f>
        <v>19739586</v>
      </c>
      <c r="D80" s="2">
        <f>VLOOKUP(A80,GDP_PPP_base!$C$2:$N$193,11,0)*10^9</f>
        <v>22631900000</v>
      </c>
      <c r="E80" s="2">
        <f>VLOOKUP(A80,INC_PPP_base!$C$2:$N$193,11,0)</f>
        <v>1124.3900000000001</v>
      </c>
      <c r="F80" s="2">
        <f t="shared" si="6"/>
        <v>1146.5235390448411</v>
      </c>
      <c r="G80" s="4">
        <f t="shared" si="7"/>
        <v>1.9684930535526793E-2</v>
      </c>
      <c r="H80" s="3">
        <f>VLOOKUP(A80,Elec_Access_base!$A$5:$BH$270,60,0)/100</f>
        <v>0.16600000000000001</v>
      </c>
      <c r="I80" s="2">
        <f>2102</f>
        <v>2102</v>
      </c>
      <c r="J80" s="2">
        <f t="shared" si="8"/>
        <v>29.579591430584657</v>
      </c>
      <c r="K80" s="5"/>
      <c r="L80" s="6"/>
      <c r="M80" s="4"/>
      <c r="N80" s="4"/>
    </row>
    <row r="81" spans="1:14" x14ac:dyDescent="0.3">
      <c r="A81" t="s">
        <v>149</v>
      </c>
      <c r="B81" t="s">
        <v>150</v>
      </c>
      <c r="C81" s="2">
        <f>VLOOKUP(A81,POP_base!$C$2:$T$201,17,0)*10^6</f>
        <v>2106835.0000000005</v>
      </c>
      <c r="D81" s="2">
        <f>VLOOKUP(A81,GDP_PPP_base!$C$2:$N$193,11,0)*10^9</f>
        <v>31221400000</v>
      </c>
      <c r="E81" s="2">
        <f>VLOOKUP(A81,INC_PPP_base!$C$2:$N$193,11,0)</f>
        <v>14811.2</v>
      </c>
      <c r="F81" s="2">
        <f t="shared" si="6"/>
        <v>14819.10068894811</v>
      </c>
      <c r="G81" s="4">
        <f t="shared" si="7"/>
        <v>5.3342666010247283E-4</v>
      </c>
      <c r="H81" s="3">
        <f>VLOOKUP(A81,Elec_Access_base!$A$5:$BH$270,60,0)/100</f>
        <v>0.99900000000000011</v>
      </c>
      <c r="I81" s="2">
        <f>11311</f>
        <v>11311</v>
      </c>
      <c r="J81" s="2">
        <f t="shared" si="8"/>
        <v>1491.3101616616602</v>
      </c>
      <c r="K81" s="5"/>
      <c r="L81" s="6"/>
      <c r="M81" s="4"/>
      <c r="N81" s="4"/>
    </row>
    <row r="82" spans="1:14" x14ac:dyDescent="0.3">
      <c r="A82" t="s">
        <v>171</v>
      </c>
      <c r="B82" t="s">
        <v>172</v>
      </c>
      <c r="C82" s="2">
        <f>VLOOKUP(A82,POP_base!$C$2:$T$201,17,0)*10^6</f>
        <v>5166281</v>
      </c>
      <c r="D82" s="2">
        <f>VLOOKUP(A82,GDP_PPP_base!$C$2:$N$193,11,0)*10^9</f>
        <v>315154000000</v>
      </c>
      <c r="E82" s="2">
        <f>VLOOKUP(A82,INC_PPP_base!$C$2:$N$193,11,0)</f>
        <v>60719.1</v>
      </c>
      <c r="F82" s="2">
        <f t="shared" si="6"/>
        <v>61002.101898832065</v>
      </c>
      <c r="G82" s="4">
        <f t="shared" si="7"/>
        <v>4.6608381684192651E-3</v>
      </c>
      <c r="H82" s="3">
        <f>VLOOKUP(A82,Elec_Access_base!$A$5:$BH$270,60,0)/100</f>
        <v>1</v>
      </c>
      <c r="I82" s="2">
        <f>138851</f>
        <v>138851</v>
      </c>
      <c r="J82" s="2">
        <f t="shared" si="8"/>
        <v>7465.6648026350522</v>
      </c>
      <c r="K82" s="5"/>
      <c r="L82" s="6"/>
      <c r="M82" s="4"/>
      <c r="N82" s="4"/>
    </row>
    <row r="83" spans="1:14" x14ac:dyDescent="0.3">
      <c r="A83" t="s">
        <v>177</v>
      </c>
      <c r="B83" t="s">
        <v>178</v>
      </c>
      <c r="C83" s="2">
        <f>VLOOKUP(A83,POP_base!$C$2:$T$201,17,0)*10^6</f>
        <v>4085207.9999999995</v>
      </c>
      <c r="D83" s="2">
        <f>VLOOKUP(A83,GDP_PPP_base!$C$2:$N$193,11,0)*10^9</f>
        <v>147500000000</v>
      </c>
      <c r="E83" s="2">
        <f>VLOOKUP(A83,INC_PPP_base!$C$2:$N$193,11,0)</f>
        <v>35188</v>
      </c>
      <c r="F83" s="2">
        <f t="shared" si="6"/>
        <v>36105.872699749933</v>
      </c>
      <c r="G83" s="4">
        <f t="shared" si="7"/>
        <v>2.6084821522960454E-2</v>
      </c>
      <c r="H83" s="3">
        <f>VLOOKUP(A83,Elec_Access_base!$A$5:$BH$270,60,0)/100</f>
        <v>1</v>
      </c>
      <c r="I83" s="2">
        <f>49525</f>
        <v>49525</v>
      </c>
      <c r="J83" s="2">
        <f t="shared" si="8"/>
        <v>3367.5015921941908</v>
      </c>
      <c r="K83" s="5"/>
      <c r="L83" s="6"/>
      <c r="M83" s="4"/>
      <c r="N83" s="4"/>
    </row>
    <row r="84" spans="1:14" x14ac:dyDescent="0.3">
      <c r="A84" t="s">
        <v>179</v>
      </c>
      <c r="B84" t="s">
        <v>180</v>
      </c>
      <c r="C84" s="2">
        <f>VLOOKUP(A84,POP_base!$C$2:$T$201,17,0)*10^6</f>
        <v>209658967.00000003</v>
      </c>
      <c r="D84" s="2">
        <f>VLOOKUP(A84,GDP_PPP_base!$C$2:$N$193,11,0)*10^9</f>
        <v>972252000000</v>
      </c>
      <c r="E84" s="2">
        <f>VLOOKUP(A84,INC_PPP_base!$C$2:$N$193,11,0)</f>
        <v>4608.5</v>
      </c>
      <c r="F84" s="2">
        <f t="shared" si="6"/>
        <v>4637.3022528533202</v>
      </c>
      <c r="G84" s="4">
        <f t="shared" si="7"/>
        <v>6.2498107525919867E-3</v>
      </c>
      <c r="H84" s="3">
        <f>VLOOKUP(A84,Elec_Access_base!$A$5:$BH$270,60,0)/100</f>
        <v>0.91</v>
      </c>
      <c r="I84" s="2">
        <f>160149</f>
        <v>160149</v>
      </c>
      <c r="J84" s="2">
        <f t="shared" si="8"/>
        <v>212.18187788425635</v>
      </c>
      <c r="K84" s="5"/>
      <c r="L84" s="6"/>
      <c r="M84" s="4"/>
      <c r="N84" s="4"/>
    </row>
    <row r="85" spans="1:14" x14ac:dyDescent="0.3">
      <c r="A85" t="s">
        <v>181</v>
      </c>
      <c r="B85" t="s">
        <v>182</v>
      </c>
      <c r="C85" s="2">
        <f>VLOOKUP(A85,POP_base!$C$2:$T$201,17,0)*10^6</f>
        <v>3922664</v>
      </c>
      <c r="D85" s="2">
        <f>VLOOKUP(A85,GDP_PPP_base!$C$2:$N$193,11,0)*10^9</f>
        <v>116939000000</v>
      </c>
      <c r="E85" s="2">
        <f>VLOOKUP(A85,INC_PPP_base!$C$2:$N$193,11,0)</f>
        <v>29551.599999999999</v>
      </c>
      <c r="F85" s="2">
        <f t="shared" si="6"/>
        <v>29811.118158475976</v>
      </c>
      <c r="G85" s="4">
        <f t="shared" si="7"/>
        <v>8.7818648897514031E-3</v>
      </c>
      <c r="H85" s="3">
        <f>VLOOKUP(A85,Elec_Access_base!$A$5:$BH$270,60,0)/100</f>
        <v>0.91599999999999993</v>
      </c>
      <c r="I85" s="2">
        <f>9774</f>
        <v>9774</v>
      </c>
      <c r="J85" s="2">
        <f t="shared" si="8"/>
        <v>692.13167378087951</v>
      </c>
      <c r="K85" s="5"/>
      <c r="L85" s="6"/>
      <c r="M85" s="4"/>
      <c r="N85" s="4"/>
    </row>
    <row r="86" spans="1:14" x14ac:dyDescent="0.3">
      <c r="A86" t="s">
        <v>191</v>
      </c>
      <c r="B86" t="s">
        <v>192</v>
      </c>
      <c r="C86" s="2">
        <f>VLOOKUP(A86,POP_base!$C$2:$T$201,17,0)*10^6</f>
        <v>6133835</v>
      </c>
      <c r="D86" s="2">
        <f>VLOOKUP(A86,GDP_PPP_base!$C$2:$N$193,11,0)*10^9</f>
        <v>79115400000</v>
      </c>
      <c r="E86" s="2">
        <f>VLOOKUP(A86,INC_PPP_base!$C$2:$N$193,11,0)</f>
        <v>12806.1</v>
      </c>
      <c r="F86" s="2">
        <f t="shared" si="6"/>
        <v>12898.1950117667</v>
      </c>
      <c r="G86" s="4">
        <f t="shared" si="7"/>
        <v>7.1914955971529053E-3</v>
      </c>
      <c r="H86" s="3">
        <f>VLOOKUP(A86,Elec_Access_base!$A$5:$BH$270,60,0)/100</f>
        <v>0.99299999999999999</v>
      </c>
      <c r="I86" s="2">
        <f>16354</f>
        <v>16354</v>
      </c>
      <c r="J86" s="2">
        <f t="shared" si="8"/>
        <v>740.60971281062791</v>
      </c>
      <c r="K86" s="5"/>
      <c r="L86" s="6"/>
      <c r="M86" s="4"/>
      <c r="N86" s="4"/>
    </row>
    <row r="87" spans="1:14" x14ac:dyDescent="0.3">
      <c r="A87" t="s">
        <v>183</v>
      </c>
      <c r="B87" t="s">
        <v>184</v>
      </c>
      <c r="C87" s="2">
        <f>VLOOKUP(A87,POP_base!$C$2:$T$201,17,0)*10^6</f>
        <v>30520694</v>
      </c>
      <c r="D87" s="2">
        <f>VLOOKUP(A87,GDP_PPP_base!$C$2:$N$193,11,0)*10^9</f>
        <v>377313000000</v>
      </c>
      <c r="E87" s="2">
        <f>VLOOKUP(A87,INC_PPP_base!$C$2:$N$193,11,0)</f>
        <v>12285.6</v>
      </c>
      <c r="F87" s="2">
        <f t="shared" si="6"/>
        <v>12362.530157407298</v>
      </c>
      <c r="G87" s="4">
        <f t="shared" si="7"/>
        <v>6.2618152477125974E-3</v>
      </c>
      <c r="H87" s="3">
        <f>VLOOKUP(A87,Elec_Access_base!$A$5:$BH$270,60,0)/100</f>
        <v>0.93900000000000006</v>
      </c>
      <c r="I87" s="2">
        <f>33130</f>
        <v>33130</v>
      </c>
      <c r="J87" s="2">
        <f t="shared" si="8"/>
        <v>301.52583613523922</v>
      </c>
      <c r="K87" s="5"/>
      <c r="L87" s="6"/>
      <c r="M87" s="4"/>
      <c r="N87" s="4"/>
    </row>
    <row r="88" spans="1:14" x14ac:dyDescent="0.3">
      <c r="A88" t="s">
        <v>185</v>
      </c>
      <c r="B88" t="s">
        <v>186</v>
      </c>
      <c r="C88" s="2">
        <f>VLOOKUP(A88,POP_base!$C$2:$T$201,17,0)*10^6</f>
        <v>102125514</v>
      </c>
      <c r="D88" s="2">
        <f>VLOOKUP(A88,GDP_PPP_base!$C$2:$N$193,11,0)*10^9</f>
        <v>745440000000</v>
      </c>
      <c r="E88" s="2">
        <f>VLOOKUP(A88,INC_PPP_base!$C$2:$N$193,11,0)</f>
        <v>7235.08</v>
      </c>
      <c r="F88" s="2">
        <f t="shared" si="6"/>
        <v>7299.2533481887785</v>
      </c>
      <c r="G88" s="4">
        <f t="shared" si="7"/>
        <v>8.8697496349423397E-3</v>
      </c>
      <c r="H88" s="3">
        <f>VLOOKUP(A88,Elec_Access_base!$A$5:$BH$270,60,0)/100</f>
        <v>0.8909999999999999</v>
      </c>
      <c r="I88" s="2">
        <f>81889</f>
        <v>81889</v>
      </c>
      <c r="J88" s="2">
        <f t="shared" si="8"/>
        <v>222.73517707283651</v>
      </c>
      <c r="K88" s="5"/>
      <c r="L88" s="6"/>
      <c r="M88" s="4"/>
      <c r="N88" s="4"/>
    </row>
    <row r="89" spans="1:14" x14ac:dyDescent="0.3">
      <c r="A89" t="s">
        <v>187</v>
      </c>
      <c r="B89" t="s">
        <v>188</v>
      </c>
      <c r="C89" s="2">
        <f>VLOOKUP(A89,POP_base!$C$2:$T$201,17,0)*10^6</f>
        <v>38574014.000000007</v>
      </c>
      <c r="D89" s="2">
        <f>VLOOKUP(A89,GDP_PPP_base!$C$2:$N$193,11,0)*10^9</f>
        <v>1016830000000</v>
      </c>
      <c r="E89" s="2">
        <f>VLOOKUP(A89,INC_PPP_base!$C$2:$N$193,11,0)</f>
        <v>26374.9</v>
      </c>
      <c r="F89" s="2">
        <f t="shared" si="6"/>
        <v>26360.49232522184</v>
      </c>
      <c r="G89" s="4">
        <f t="shared" si="7"/>
        <v>-5.4626462197626875E-4</v>
      </c>
      <c r="H89" s="3">
        <f>VLOOKUP(A89,Elec_Access_base!$A$5:$BH$270,60,0)/100</f>
        <v>1</v>
      </c>
      <c r="I89" s="2">
        <f>101808</f>
        <v>101808</v>
      </c>
      <c r="J89" s="2">
        <f t="shared" si="8"/>
        <v>733.13604334773129</v>
      </c>
      <c r="K89" s="5"/>
      <c r="L89" s="6"/>
      <c r="M89" s="4"/>
      <c r="N89" s="4"/>
    </row>
    <row r="90" spans="1:14" x14ac:dyDescent="0.3">
      <c r="A90" t="s">
        <v>189</v>
      </c>
      <c r="B90" t="s">
        <v>190</v>
      </c>
      <c r="C90" s="2">
        <f>VLOOKUP(A90,POP_base!$C$2:$T$201,17,0)*10^6</f>
        <v>10382202</v>
      </c>
      <c r="D90" s="2">
        <f>VLOOKUP(A90,GDP_PPP_base!$C$2:$N$193,11,0)*10^9</f>
        <v>307226000000</v>
      </c>
      <c r="E90" s="2">
        <f>VLOOKUP(A90,INC_PPP_base!$C$2:$N$193,11,0)</f>
        <v>29639.4</v>
      </c>
      <c r="F90" s="2">
        <f t="shared" si="6"/>
        <v>29591.603014466487</v>
      </c>
      <c r="G90" s="4">
        <f t="shared" si="7"/>
        <v>-1.6126165014647424E-3</v>
      </c>
      <c r="H90" s="3">
        <f>VLOOKUP(A90,Elec_Access_base!$A$5:$BH$270,60,0)/100</f>
        <v>1</v>
      </c>
      <c r="I90" s="2">
        <f>43106</f>
        <v>43106</v>
      </c>
      <c r="J90" s="2">
        <f t="shared" si="8"/>
        <v>1153.3091813171127</v>
      </c>
      <c r="K90" s="5"/>
      <c r="L90" s="6"/>
      <c r="M90" s="4"/>
      <c r="N90" s="4"/>
    </row>
    <row r="91" spans="1:14" x14ac:dyDescent="0.3">
      <c r="A91" t="s">
        <v>194</v>
      </c>
      <c r="B91" t="s">
        <v>195</v>
      </c>
      <c r="C91" s="2">
        <f>VLOOKUP(A91,POP_base!$C$2:$T$201,17,0)*10^6</f>
        <v>19959350</v>
      </c>
      <c r="D91" s="2">
        <f>VLOOKUP(A91,GDP_PPP_base!$C$2:$N$193,11,0)*10^9</f>
        <v>428482000000</v>
      </c>
      <c r="E91" s="2">
        <f>VLOOKUP(A91,INC_PPP_base!$C$2:$N$193,11,0)</f>
        <v>21525.200000000001</v>
      </c>
      <c r="F91" s="2">
        <f t="shared" si="6"/>
        <v>21467.733167663275</v>
      </c>
      <c r="G91" s="4">
        <f t="shared" si="7"/>
        <v>-2.6697467311210081E-3</v>
      </c>
      <c r="H91" s="3">
        <f>VLOOKUP(A91,Elec_Access_base!$A$5:$BH$270,60,0)/100</f>
        <v>0.98799999999999999</v>
      </c>
      <c r="I91" s="2">
        <f>43542</f>
        <v>43542</v>
      </c>
      <c r="J91" s="2">
        <f t="shared" si="8"/>
        <v>605.98165771931451</v>
      </c>
      <c r="K91" s="5"/>
      <c r="L91" s="6"/>
      <c r="M91" s="4"/>
      <c r="N91" s="4"/>
    </row>
    <row r="92" spans="1:14" x14ac:dyDescent="0.3">
      <c r="A92" t="s">
        <v>196</v>
      </c>
      <c r="B92" t="s">
        <v>197</v>
      </c>
      <c r="C92" s="2">
        <f>VLOOKUP(A92,POP_base!$C$2:$T$201,17,0)*10^6</f>
        <v>144441863</v>
      </c>
      <c r="D92" s="2">
        <f>VLOOKUP(A92,GDP_PPP_base!$C$2:$N$193,11,0)*10^9</f>
        <v>3520360000000</v>
      </c>
      <c r="E92" s="2">
        <f>VLOOKUP(A92,INC_PPP_base!$C$2:$N$193,11,0)</f>
        <v>24334</v>
      </c>
      <c r="F92" s="2">
        <f t="shared" si="6"/>
        <v>24372.158644893691</v>
      </c>
      <c r="G92" s="4">
        <f t="shared" si="7"/>
        <v>1.5681205265755942E-3</v>
      </c>
      <c r="H92" s="3">
        <f>VLOOKUP(A92,Elec_Access_base!$A$5:$BH$270,60,0)/100</f>
        <v>0.95499999999999996</v>
      </c>
      <c r="I92" s="2">
        <f>538336</f>
        <v>538336</v>
      </c>
      <c r="J92" s="2">
        <f t="shared" si="8"/>
        <v>1035.2800405086009</v>
      </c>
      <c r="K92" s="5"/>
      <c r="L92" s="6"/>
      <c r="M92" s="4"/>
      <c r="N92" s="4"/>
    </row>
    <row r="93" spans="1:14" x14ac:dyDescent="0.3">
      <c r="A93" t="s">
        <v>198</v>
      </c>
      <c r="B93" t="s">
        <v>199</v>
      </c>
      <c r="C93" s="2">
        <f>VLOOKUP(A93,POP_base!$C$2:$T$201,17,0)*10^6</f>
        <v>32441885.999999996</v>
      </c>
      <c r="D93" s="2">
        <f>VLOOKUP(A93,GDP_PPP_base!$C$2:$N$193,11,0)*10^9</f>
        <v>1578240000000</v>
      </c>
      <c r="E93" s="2">
        <f>VLOOKUP(A93,INC_PPP_base!$C$2:$N$193,11,0)</f>
        <v>48190.9</v>
      </c>
      <c r="F93" s="2">
        <f t="shared" si="6"/>
        <v>48648.219773659279</v>
      </c>
      <c r="G93" s="4">
        <f t="shared" si="7"/>
        <v>9.489753743119082E-3</v>
      </c>
      <c r="H93" s="3">
        <f>VLOOKUP(A93,Elec_Access_base!$A$5:$BH$270,60,0)/100</f>
        <v>1</v>
      </c>
      <c r="I93" s="2">
        <f>520246</f>
        <v>520246</v>
      </c>
      <c r="J93" s="2">
        <f t="shared" si="8"/>
        <v>4454.512224652346</v>
      </c>
      <c r="K93" s="5"/>
      <c r="L93" s="6"/>
      <c r="M93" s="4"/>
      <c r="N93" s="4"/>
    </row>
    <row r="94" spans="1:14" x14ac:dyDescent="0.3">
      <c r="A94" t="s">
        <v>201</v>
      </c>
      <c r="B94" t="s">
        <v>202</v>
      </c>
      <c r="C94" s="2">
        <f>VLOOKUP(A94,POP_base!$C$2:$T$201,17,0)*10^6</f>
        <v>14161512</v>
      </c>
      <c r="D94" s="2">
        <f>VLOOKUP(A94,GDP_PPP_base!$C$2:$N$193,11,0)*10^9</f>
        <v>43246200000</v>
      </c>
      <c r="E94" s="2">
        <f>VLOOKUP(A94,INC_PPP_base!$C$2:$N$193,11,0)</f>
        <v>3012.37</v>
      </c>
      <c r="F94" s="2">
        <f t="shared" si="6"/>
        <v>3053.7840874618473</v>
      </c>
      <c r="G94" s="4">
        <f t="shared" si="7"/>
        <v>1.3748008200137244E-2</v>
      </c>
      <c r="H94" s="3">
        <f>VLOOKUP(A94,Elec_Access_base!$A$5:$BH$270,60,0)/100</f>
        <v>0.60499999999999998</v>
      </c>
      <c r="I94" s="2">
        <f>4006</f>
        <v>4006</v>
      </c>
      <c r="J94" s="2">
        <f t="shared" si="8"/>
        <v>78.577610764851784</v>
      </c>
      <c r="K94" s="5"/>
      <c r="L94" s="6"/>
      <c r="M94" s="4"/>
      <c r="N94" s="4"/>
    </row>
    <row r="95" spans="1:14" x14ac:dyDescent="0.3">
      <c r="A95" t="s">
        <v>207</v>
      </c>
      <c r="B95" t="s">
        <v>208</v>
      </c>
      <c r="C95" s="2">
        <f>VLOOKUP(A95,POP_base!$C$2:$T$201,17,0)*10^6</f>
        <v>7532588</v>
      </c>
      <c r="D95" s="2">
        <f>VLOOKUP(A95,GDP_PPP_base!$C$2:$N$193,11,0)*10^9</f>
        <v>110603000000</v>
      </c>
      <c r="E95" s="2">
        <f>VLOOKUP(A95,INC_PPP_base!$C$2:$N$193,11,0)</f>
        <v>14708.8</v>
      </c>
      <c r="F95" s="2">
        <f t="shared" si="6"/>
        <v>14683.266893131551</v>
      </c>
      <c r="G95" s="4">
        <f t="shared" si="7"/>
        <v>-1.7359068631328293E-3</v>
      </c>
      <c r="H95" s="3">
        <f>VLOOKUP(A95,Elec_Access_base!$A$5:$BH$270,60,0)/100</f>
        <v>0.99900000000000011</v>
      </c>
      <c r="I95" s="2">
        <f>50623</f>
        <v>50623</v>
      </c>
      <c r="J95" s="2">
        <f t="shared" si="8"/>
        <v>1866.8144925017066</v>
      </c>
      <c r="K95" s="5"/>
      <c r="L95" s="6"/>
      <c r="M95" s="4"/>
      <c r="N95" s="4"/>
    </row>
    <row r="96" spans="1:14" x14ac:dyDescent="0.3">
      <c r="A96" t="s">
        <v>203</v>
      </c>
      <c r="B96" t="s">
        <v>204</v>
      </c>
      <c r="C96" s="2">
        <f>VLOOKUP(A96,POP_base!$C$2:$T$201,17,0)*10^6</f>
        <v>5615362</v>
      </c>
      <c r="D96" s="2">
        <f>VLOOKUP(A96,GDP_PPP_base!$C$2:$N$193,11,0)*10^9</f>
        <v>493988000000</v>
      </c>
      <c r="E96" s="2">
        <f>VLOOKUP(A96,INC_PPP_base!$C$2:$N$193,11,0)</f>
        <v>87431.2</v>
      </c>
      <c r="F96" s="2">
        <f t="shared" si="6"/>
        <v>87970.820046864304</v>
      </c>
      <c r="G96" s="4">
        <f t="shared" si="7"/>
        <v>6.1719391574667553E-3</v>
      </c>
      <c r="H96" s="3">
        <f>VLOOKUP(A96,Elec_Access_base!$A$5:$BH$270,60,0)/100</f>
        <v>1</v>
      </c>
      <c r="I96" s="2">
        <f>25995</f>
        <v>25995</v>
      </c>
      <c r="J96" s="2">
        <f t="shared" si="8"/>
        <v>1285.9070053423684</v>
      </c>
      <c r="K96" s="5"/>
      <c r="L96" s="6"/>
      <c r="M96" s="4"/>
      <c r="N96" s="4"/>
    </row>
    <row r="97" spans="1:14" x14ac:dyDescent="0.3">
      <c r="A97" t="s">
        <v>752</v>
      </c>
      <c r="B97" t="s">
        <v>210</v>
      </c>
      <c r="C97" s="2">
        <f>VLOOKUP(A97,POP_base!$C$2:$T$201,17,0)*10^6</f>
        <v>5422120</v>
      </c>
      <c r="D97" s="2">
        <f>VLOOKUP(A97,GDP_PPP_base!$C$2:$N$193,11,0)*10^9</f>
        <v>163009000000</v>
      </c>
      <c r="E97" s="2">
        <f>VLOOKUP(A97,INC_PPP_base!$C$2:$N$193,11,0)</f>
        <v>30050.799999999999</v>
      </c>
      <c r="F97" s="2">
        <f t="shared" si="6"/>
        <v>30063.702020611865</v>
      </c>
      <c r="G97" s="4">
        <f t="shared" si="7"/>
        <v>4.2934033742415302E-4</v>
      </c>
      <c r="H97" s="3">
        <f>VLOOKUP(A97,Elec_Access_base!$A$5:$BH$270,60,0)/100</f>
        <v>1</v>
      </c>
      <c r="I97" s="2">
        <f>18126</f>
        <v>18126</v>
      </c>
      <c r="J97" s="2">
        <f t="shared" si="8"/>
        <v>928.60357203455476</v>
      </c>
      <c r="K97" s="5"/>
      <c r="L97" s="6"/>
      <c r="M97" s="4"/>
      <c r="N97" s="4"/>
    </row>
    <row r="98" spans="1:14" x14ac:dyDescent="0.3">
      <c r="A98" t="s">
        <v>211</v>
      </c>
      <c r="B98" t="s">
        <v>212</v>
      </c>
      <c r="C98" s="2">
        <f>VLOOKUP(A98,POP_base!$C$2:$T$201,17,0)*10^6</f>
        <v>2076171</v>
      </c>
      <c r="D98" s="2">
        <f>VLOOKUP(A98,GDP_PPP_base!$C$2:$N$193,11,0)*10^9</f>
        <v>65265300000</v>
      </c>
      <c r="E98" s="2">
        <f>VLOOKUP(A98,INC_PPP_base!$C$2:$N$193,11,0)</f>
        <v>31364.6</v>
      </c>
      <c r="F98" s="2">
        <f t="shared" ref="F98:F126" si="9">D98/C98</f>
        <v>31435.416446911164</v>
      </c>
      <c r="G98" s="4">
        <f t="shared" ref="G98:G126" si="10">(F98-E98)/E98</f>
        <v>2.2578463271065233E-3</v>
      </c>
      <c r="H98" s="3">
        <f>VLOOKUP(A98,Elec_Access_base!$A$5:$BH$270,60,0)/100</f>
        <v>1</v>
      </c>
      <c r="I98" s="2">
        <f>11538</f>
        <v>11538</v>
      </c>
      <c r="J98" s="2">
        <f t="shared" ref="J98:J126" si="11">I98*10^9/3600/C98</f>
        <v>1543.7071416564436</v>
      </c>
      <c r="K98" s="5"/>
      <c r="L98" s="6"/>
      <c r="M98" s="4"/>
      <c r="N98" s="4"/>
    </row>
    <row r="99" spans="1:14" x14ac:dyDescent="0.3">
      <c r="A99" t="s">
        <v>236</v>
      </c>
      <c r="B99" t="s">
        <v>237</v>
      </c>
      <c r="C99" s="2">
        <f>VLOOKUP(A99,POP_base!$C$2:$T$201,17,0)*10^6</f>
        <v>55219577</v>
      </c>
      <c r="D99" s="2">
        <f>VLOOKUP(A99,GDP_PPP_base!$C$2:$N$193,11,0)*10^9</f>
        <v>758900000000</v>
      </c>
      <c r="E99" s="2">
        <f>VLOOKUP(A99,INC_PPP_base!$C$2:$N$193,11,0)</f>
        <v>13581.7</v>
      </c>
      <c r="F99" s="2">
        <f t="shared" si="9"/>
        <v>13743.314259723504</v>
      </c>
      <c r="G99" s="4">
        <f t="shared" si="10"/>
        <v>1.1899413160613397E-2</v>
      </c>
      <c r="H99" s="3">
        <f>VLOOKUP(A99,Elec_Access_base!$A$5:$BH$270,60,0)/100</f>
        <v>0.85299999999999998</v>
      </c>
      <c r="I99" s="2">
        <f>145594</f>
        <v>145594</v>
      </c>
      <c r="J99" s="2">
        <f t="shared" si="11"/>
        <v>732.39926806715266</v>
      </c>
      <c r="K99" s="5"/>
      <c r="L99" s="6"/>
      <c r="M99" s="4"/>
      <c r="N99" s="4"/>
    </row>
    <row r="100" spans="1:14" x14ac:dyDescent="0.3">
      <c r="A100" t="s">
        <v>72</v>
      </c>
      <c r="B100" t="s">
        <v>73</v>
      </c>
      <c r="C100" s="2">
        <f>VLOOKUP(A100,POP_base!$C$2:$T$201,17,0)*10^6</f>
        <v>46433097</v>
      </c>
      <c r="D100" s="2">
        <f>VLOOKUP(A100,GDP_PPP_base!$C$2:$N$193,11,0)*10^9</f>
        <v>1621840000000</v>
      </c>
      <c r="E100" s="2">
        <f>VLOOKUP(A100,INC_PPP_base!$C$2:$N$193,11,0)</f>
        <v>34929.9</v>
      </c>
      <c r="F100" s="2">
        <f t="shared" si="9"/>
        <v>34928.533843004268</v>
      </c>
      <c r="G100" s="4">
        <f t="shared" si="10"/>
        <v>-3.9111391550878633E-5</v>
      </c>
      <c r="H100" s="3">
        <f>VLOOKUP(A100,Elec_Access_base!$A$5:$BH$270,60,0)/100</f>
        <v>1</v>
      </c>
      <c r="I100" s="2">
        <f>252248</f>
        <v>252248</v>
      </c>
      <c r="J100" s="2">
        <f t="shared" si="11"/>
        <v>1509.028977517672</v>
      </c>
      <c r="K100" s="5"/>
      <c r="L100" s="6"/>
      <c r="M100" s="4"/>
      <c r="N100" s="4"/>
    </row>
    <row r="101" spans="1:14" x14ac:dyDescent="0.3">
      <c r="A101" t="s">
        <v>135</v>
      </c>
      <c r="B101" t="s">
        <v>136</v>
      </c>
      <c r="C101" s="2">
        <f>VLOOKUP(A101,POP_base!$C$2:$T$201,17,0)*10^6</f>
        <v>21290778</v>
      </c>
      <c r="D101" s="2">
        <f>VLOOKUP(A101,GDP_PPP_base!$C$2:$N$193,11,0)*10^9</f>
        <v>260459000000</v>
      </c>
      <c r="E101" s="2">
        <f>VLOOKUP(A101,INC_PPP_base!$C$2:$N$193,11,0)</f>
        <v>12207.1</v>
      </c>
      <c r="F101" s="2">
        <f t="shared" si="9"/>
        <v>12233.41861908475</v>
      </c>
      <c r="G101" s="4">
        <f t="shared" si="10"/>
        <v>2.1560091327792862E-3</v>
      </c>
      <c r="H101" s="3">
        <f>VLOOKUP(A101,Elec_Access_base!$A$5:$BH$270,60,0)/100</f>
        <v>0.94299999999999995</v>
      </c>
      <c r="I101" s="2">
        <f>17067</f>
        <v>17067</v>
      </c>
      <c r="J101" s="2">
        <f t="shared" si="11"/>
        <v>222.6707419209074</v>
      </c>
      <c r="K101" s="5"/>
      <c r="L101" s="6"/>
      <c r="M101" s="4"/>
      <c r="N101" s="4"/>
    </row>
    <row r="102" spans="1:14" x14ac:dyDescent="0.3">
      <c r="A102" t="s">
        <v>213</v>
      </c>
      <c r="B102" t="s">
        <v>214</v>
      </c>
      <c r="C102" s="2">
        <f>VLOOKUP(A102,POP_base!$C$2:$T$201,17,0)*10^6</f>
        <v>9798276</v>
      </c>
      <c r="D102" s="2">
        <f>VLOOKUP(A102,GDP_PPP_base!$C$2:$N$193,11,0)*10^9</f>
        <v>481061000000</v>
      </c>
      <c r="E102" s="2">
        <f>VLOOKUP(A102,INC_PPP_base!$C$2:$N$193,11,0)</f>
        <v>48841.9</v>
      </c>
      <c r="F102" s="2">
        <f t="shared" si="9"/>
        <v>49096.494117944829</v>
      </c>
      <c r="G102" s="4">
        <f t="shared" si="10"/>
        <v>5.2126169937047346E-3</v>
      </c>
      <c r="H102" s="3">
        <f>VLOOKUP(A102,Elec_Access_base!$A$5:$BH$270,60,0)/100</f>
        <v>1</v>
      </c>
      <c r="I102" s="2">
        <f>154753</f>
        <v>154753</v>
      </c>
      <c r="J102" s="2">
        <f t="shared" si="11"/>
        <v>4387.194690621538</v>
      </c>
      <c r="K102" s="5"/>
      <c r="L102" s="6"/>
      <c r="M102" s="4"/>
      <c r="N102" s="4"/>
    </row>
    <row r="103" spans="1:14" x14ac:dyDescent="0.3">
      <c r="A103" t="s">
        <v>41</v>
      </c>
      <c r="B103" t="s">
        <v>42</v>
      </c>
      <c r="C103" s="2">
        <f>VLOOKUP(A103,POP_base!$C$2:$T$201,17,0)*10^6</f>
        <v>8236920</v>
      </c>
      <c r="D103" s="2">
        <f>VLOOKUP(A103,GDP_PPP_base!$C$2:$N$193,11,0)*10^9</f>
        <v>540385999999.99994</v>
      </c>
      <c r="E103" s="2">
        <f>VLOOKUP(A103,INC_PPP_base!$C$2:$N$193,11,0)</f>
        <v>65250.400000000001</v>
      </c>
      <c r="F103" s="2">
        <f t="shared" si="9"/>
        <v>65605.347629939337</v>
      </c>
      <c r="G103" s="4">
        <f t="shared" si="10"/>
        <v>5.4397770732338112E-3</v>
      </c>
      <c r="H103" s="3">
        <f>VLOOKUP(A103,Elec_Access_base!$A$5:$BH$270,60,0)/100</f>
        <v>1</v>
      </c>
      <c r="I103" s="2">
        <f>67489</f>
        <v>67489</v>
      </c>
      <c r="J103" s="2">
        <f t="shared" si="11"/>
        <v>2275.9653419535994</v>
      </c>
      <c r="K103" s="5"/>
      <c r="L103" s="6"/>
      <c r="M103" s="14"/>
      <c r="N103" s="4"/>
    </row>
    <row r="104" spans="1:14" x14ac:dyDescent="0.3">
      <c r="A104" t="s">
        <v>219</v>
      </c>
      <c r="B104" t="s">
        <v>220</v>
      </c>
      <c r="C104" s="2">
        <f>VLOOKUP(A104,POP_base!$C$2:$T$201,17,0)*10^6</f>
        <v>8423461.9999999981</v>
      </c>
      <c r="D104" s="2">
        <f>VLOOKUP(A104,GDP_PPP_base!$C$2:$N$193,11,0)*10^9</f>
        <v>25192200000</v>
      </c>
      <c r="E104" s="2">
        <f>VLOOKUP(A104,INC_PPP_base!$C$2:$N$193,11,0)</f>
        <v>2955.42</v>
      </c>
      <c r="F104" s="2">
        <f t="shared" si="9"/>
        <v>2990.7180681767195</v>
      </c>
      <c r="G104" s="4">
        <f t="shared" si="10"/>
        <v>1.1943503182870598E-2</v>
      </c>
      <c r="H104" s="3">
        <f>VLOOKUP(A104,Elec_Access_base!$A$5:$BH$270,60,0)/100</f>
        <v>0.98</v>
      </c>
      <c r="I104" s="2">
        <f>17690</f>
        <v>17690</v>
      </c>
      <c r="J104" s="2">
        <f t="shared" si="11"/>
        <v>583.35739971153077</v>
      </c>
      <c r="K104" s="5"/>
      <c r="L104" s="6"/>
      <c r="M104" s="14"/>
      <c r="N104" s="4"/>
    </row>
    <row r="105" spans="1:14" x14ac:dyDescent="0.3">
      <c r="A105" t="s">
        <v>226</v>
      </c>
      <c r="B105" t="s">
        <v>227</v>
      </c>
      <c r="C105" s="2">
        <f>VLOOKUP(A105,POP_base!$C$2:$T$201,17,0)*10^6</f>
        <v>51608413.999999993</v>
      </c>
      <c r="D105" s="2">
        <f>VLOOKUP(A105,GDP_PPP_base!$C$2:$N$193,11,0)*10^9</f>
        <v>117578000000</v>
      </c>
      <c r="E105" s="2">
        <f>VLOOKUP(A105,INC_PPP_base!$C$2:$N$193,11,0)</f>
        <v>2237.75</v>
      </c>
      <c r="F105" s="2">
        <f t="shared" si="9"/>
        <v>2278.2719112430004</v>
      </c>
      <c r="G105" s="4">
        <f t="shared" si="10"/>
        <v>1.8108328116635205E-2</v>
      </c>
      <c r="H105" s="3">
        <f>VLOOKUP(A105,Elec_Access_base!$A$5:$BH$270,60,0)/100</f>
        <v>0.26200000000000001</v>
      </c>
      <c r="I105" s="2">
        <f>8542</f>
        <v>8542</v>
      </c>
      <c r="J105" s="2">
        <f t="shared" si="11"/>
        <v>45.976568428895682</v>
      </c>
      <c r="K105" s="5"/>
      <c r="L105" s="6"/>
      <c r="M105" s="15"/>
      <c r="N105" s="4"/>
    </row>
    <row r="106" spans="1:14" x14ac:dyDescent="0.3">
      <c r="A106" t="s">
        <v>216</v>
      </c>
      <c r="B106" t="s">
        <v>217</v>
      </c>
      <c r="C106" s="2">
        <f>VLOOKUP(A106,POP_base!$C$2:$T$201,17,0)*10^6</f>
        <v>7379935.0000000009</v>
      </c>
      <c r="D106" s="2">
        <f>VLOOKUP(A106,GDP_PPP_base!$C$2:$N$193,11,0)*10^9</f>
        <v>14069000000</v>
      </c>
      <c r="E106" s="2">
        <f>VLOOKUP(A106,INC_PPP_base!$C$2:$N$193,11,0)</f>
        <v>1882.59</v>
      </c>
      <c r="F106" s="2">
        <f t="shared" si="9"/>
        <v>1906.3853543425516</v>
      </c>
      <c r="G106" s="4">
        <f t="shared" si="10"/>
        <v>1.2639690183498116E-2</v>
      </c>
      <c r="H106" s="3">
        <f>VLOOKUP(A106,Elec_Access_base!$A$5:$BH$270,60,0)/100</f>
        <v>0.44700000000000001</v>
      </c>
      <c r="I106" s="2">
        <f>2037</f>
        <v>2037</v>
      </c>
      <c r="J106" s="2">
        <f t="shared" si="11"/>
        <v>76.671858672648654</v>
      </c>
      <c r="K106" s="5"/>
      <c r="L106" s="6"/>
      <c r="M106" s="4"/>
      <c r="N106" s="4"/>
    </row>
    <row r="107" spans="1:14" x14ac:dyDescent="0.3">
      <c r="A107" t="s">
        <v>223</v>
      </c>
      <c r="B107" t="s">
        <v>224</v>
      </c>
      <c r="C107" s="2">
        <f>VLOOKUP(A107,POP_base!$C$2:$T$201,17,0)*10^6</f>
        <v>11493401</v>
      </c>
      <c r="D107" s="2">
        <f>VLOOKUP(A107,GDP_PPP_base!$C$2:$N$193,11,0)*10^9</f>
        <v>127649000000</v>
      </c>
      <c r="E107" s="2">
        <f>VLOOKUP(A107,INC_PPP_base!$C$2:$N$193,11,0)</f>
        <v>11044.4</v>
      </c>
      <c r="F107" s="2">
        <f t="shared" si="9"/>
        <v>11106.286120183226</v>
      </c>
      <c r="G107" s="4">
        <f t="shared" si="10"/>
        <v>5.6033935916143937E-3</v>
      </c>
      <c r="H107" s="3">
        <f>VLOOKUP(A107,Elec_Access_base!$A$5:$BH$270,60,0)/100</f>
        <v>0.99900000000000011</v>
      </c>
      <c r="I107" s="2">
        <f>16855</f>
        <v>16855</v>
      </c>
      <c r="J107" s="2">
        <f t="shared" si="11"/>
        <v>407.35935729071355</v>
      </c>
      <c r="K107" s="5"/>
      <c r="L107" s="6"/>
      <c r="M107" s="4"/>
      <c r="N107" s="4"/>
    </row>
    <row r="108" spans="1:14" x14ac:dyDescent="0.3">
      <c r="A108" t="s">
        <v>228</v>
      </c>
      <c r="B108" t="s">
        <v>229</v>
      </c>
      <c r="C108" s="2">
        <f>VLOOKUP(A108,POP_base!$C$2:$T$201,17,0)*10^6</f>
        <v>45050092</v>
      </c>
      <c r="D108" s="2">
        <f>VLOOKUP(A108,GDP_PPP_base!$C$2:$N$193,11,0)*10^9</f>
        <v>480941000000</v>
      </c>
      <c r="E108" s="2">
        <f>VLOOKUP(A108,INC_PPP_base!$C$2:$N$193,11,0)</f>
        <v>10691.7</v>
      </c>
      <c r="F108" s="2">
        <f t="shared" si="9"/>
        <v>10675.694069614774</v>
      </c>
      <c r="G108" s="4">
        <f t="shared" si="10"/>
        <v>-1.4970426017590042E-3</v>
      </c>
      <c r="H108" s="3">
        <f>VLOOKUP(A108,Elec_Access_base!$A$5:$BH$270,60,0)/100</f>
        <v>1</v>
      </c>
      <c r="I108" s="2">
        <f>133264</f>
        <v>133264</v>
      </c>
      <c r="J108" s="2">
        <f t="shared" si="11"/>
        <v>821.70260113514928</v>
      </c>
      <c r="K108" s="5"/>
      <c r="L108" s="6"/>
      <c r="M108" s="4"/>
      <c r="N108" s="4"/>
    </row>
    <row r="109" spans="1:14" x14ac:dyDescent="0.3">
      <c r="A109" t="s">
        <v>6</v>
      </c>
      <c r="B109" t="s">
        <v>7</v>
      </c>
      <c r="C109" s="2">
        <f>VLOOKUP(A109,POP_base!$C$2:$T$201,17,0)*10^6</f>
        <v>8877288</v>
      </c>
      <c r="D109" s="2">
        <f>VLOOKUP(A109,GDP_PPP_base!$C$2:$N$193,11,0)*10^9</f>
        <v>607034000000</v>
      </c>
      <c r="E109" s="2">
        <f>VLOOKUP(A109,INC_PPP_base!$C$2:$N$193,11,0)</f>
        <v>68076.7</v>
      </c>
      <c r="F109" s="2">
        <f t="shared" si="9"/>
        <v>68380.568479923153</v>
      </c>
      <c r="G109" s="4">
        <f t="shared" si="10"/>
        <v>4.4636194163811703E-3</v>
      </c>
      <c r="H109" s="3">
        <f>VLOOKUP(A109,Elec_Access_base!$A$5:$BH$270,60,0)/100</f>
        <v>1</v>
      </c>
      <c r="I109" s="2">
        <f>124750</f>
        <v>124750</v>
      </c>
      <c r="J109" s="2">
        <f t="shared" si="11"/>
        <v>3903.5319996126946</v>
      </c>
      <c r="K109" s="5"/>
      <c r="L109" s="6"/>
      <c r="M109" s="4"/>
      <c r="N109" s="4"/>
    </row>
    <row r="110" spans="1:14" x14ac:dyDescent="0.3">
      <c r="A110" t="s">
        <v>84</v>
      </c>
      <c r="B110" t="s">
        <v>85</v>
      </c>
      <c r="C110" s="2">
        <f>VLOOKUP(A110,POP_base!$C$2:$T$201,17,0)*10^6</f>
        <v>65008088</v>
      </c>
      <c r="D110" s="2">
        <f>VLOOKUP(A110,GDP_PPP_base!$C$2:$N$193,11,0)*10^9</f>
        <v>2767200000000</v>
      </c>
      <c r="E110" s="2">
        <f>VLOOKUP(A110,INC_PPP_base!$C$2:$N$193,11,0)</f>
        <v>42425.8</v>
      </c>
      <c r="F110" s="2">
        <f t="shared" si="9"/>
        <v>42567.011046379339</v>
      </c>
      <c r="G110" s="4">
        <f t="shared" si="10"/>
        <v>3.3284238925214383E-3</v>
      </c>
      <c r="H110" s="3">
        <f>VLOOKUP(A110,Elec_Access_base!$A$5:$BH$270,60,0)/100</f>
        <v>1</v>
      </c>
      <c r="I110" s="2">
        <f>387949</f>
        <v>387949</v>
      </c>
      <c r="J110" s="2">
        <f t="shared" si="11"/>
        <v>1657.6954410828253</v>
      </c>
      <c r="K110" s="5"/>
      <c r="L110" s="6"/>
      <c r="M110" s="4"/>
      <c r="N110" s="4"/>
    </row>
    <row r="111" spans="1:14" x14ac:dyDescent="0.3">
      <c r="A111" t="s">
        <v>231</v>
      </c>
      <c r="B111" t="s">
        <v>232</v>
      </c>
      <c r="C111" s="2">
        <f>VLOOKUP(A111,POP_base!$C$2:$T$201,17,0)*10^6</f>
        <v>323348646.00000006</v>
      </c>
      <c r="D111" s="2">
        <f>VLOOKUP(A111,GDP_PPP_base!$C$2:$N$193,11,0)*10^9</f>
        <v>18294700000000</v>
      </c>
      <c r="E111" s="2">
        <f>VLOOKUP(A111,INC_PPP_base!$C$2:$N$193,11,0)</f>
        <v>56359.5</v>
      </c>
      <c r="F111" s="2">
        <f t="shared" si="9"/>
        <v>56578.866886611293</v>
      </c>
      <c r="G111" s="4">
        <f t="shared" si="10"/>
        <v>3.8922787925956231E-3</v>
      </c>
      <c r="H111" s="3">
        <f>VLOOKUP(A111,Elec_Access_base!$A$5:$BH$270,60,0)/100</f>
        <v>1</v>
      </c>
      <c r="I111" s="2">
        <f>5045817</f>
        <v>5045817</v>
      </c>
      <c r="J111" s="2">
        <f t="shared" si="11"/>
        <v>4334.6890443862658</v>
      </c>
      <c r="K111" s="5"/>
      <c r="L111" s="6"/>
      <c r="M111" s="4"/>
      <c r="N111" s="4"/>
    </row>
    <row r="112" spans="1:14" x14ac:dyDescent="0.3">
      <c r="A112" t="s">
        <v>234</v>
      </c>
      <c r="B112" t="s">
        <v>235</v>
      </c>
      <c r="C112" s="2">
        <f>VLOOKUP(A112,POP_base!$C$2:$T$201,17,0)*10^6</f>
        <v>91717011</v>
      </c>
      <c r="D112" s="2">
        <f>VLOOKUP(A112,GDP_PPP_base!$C$2:$N$193,11,0)*10^9</f>
        <v>745929000000</v>
      </c>
      <c r="E112" s="2">
        <f>VLOOKUP(A112,INC_PPP_base!$C$2:$N$193,11,0)</f>
        <v>8091.09</v>
      </c>
      <c r="F112" s="2">
        <f t="shared" si="9"/>
        <v>8132.9405730415701</v>
      </c>
      <c r="G112" s="4">
        <f t="shared" si="10"/>
        <v>5.1724270823300675E-3</v>
      </c>
      <c r="H112" s="3">
        <f>VLOOKUP(A112,Elec_Access_base!$A$5:$BH$270,60,0)/100</f>
        <v>0.99299999999999999</v>
      </c>
      <c r="I112" s="2">
        <f>172277</f>
        <v>172277</v>
      </c>
      <c r="J112" s="2">
        <f t="shared" si="11"/>
        <v>521.76495614561861</v>
      </c>
      <c r="K112" s="5"/>
      <c r="L112" s="6"/>
      <c r="M112" s="4"/>
      <c r="N112" s="4"/>
    </row>
    <row r="113" spans="1:14" x14ac:dyDescent="0.3">
      <c r="A113" t="s">
        <v>239</v>
      </c>
      <c r="B113" t="s">
        <v>240</v>
      </c>
      <c r="C113" s="2">
        <f>VLOOKUP(A113,POP_base!$C$2:$T$201,17,0)*10^6</f>
        <v>14006288.000000002</v>
      </c>
      <c r="D113" s="2">
        <f>VLOOKUP(A113,GDP_PPP_base!$C$2:$N$193,11,0)*10^9</f>
        <v>31491200000</v>
      </c>
      <c r="E113" s="2">
        <f>VLOOKUP(A113,INC_PPP_base!$C$2:$N$193,11,0)</f>
        <v>2224.75</v>
      </c>
      <c r="F113" s="2">
        <f t="shared" si="9"/>
        <v>2248.3615930216483</v>
      </c>
      <c r="G113" s="4">
        <f t="shared" si="10"/>
        <v>1.0613144407977676E-2</v>
      </c>
      <c r="H113" s="3">
        <f>VLOOKUP(A113,Elec_Access_base!$A$5:$BH$270,60,0)/100</f>
        <v>0.33700000000000002</v>
      </c>
      <c r="I113" s="2">
        <f>9316</f>
        <v>9316</v>
      </c>
      <c r="J113" s="2">
        <f t="shared" si="11"/>
        <v>184.75828697637641</v>
      </c>
      <c r="K113" s="5"/>
      <c r="L113" s="6"/>
      <c r="M113" s="4"/>
      <c r="N113" s="4"/>
    </row>
    <row r="114" spans="1:14" x14ac:dyDescent="0.3">
      <c r="A114" t="s">
        <v>166</v>
      </c>
      <c r="B114" t="s">
        <v>769</v>
      </c>
      <c r="C114" s="2">
        <f>VLOOKUP(A114,POP_base!$C$2:$T$201,17,0)*10^6</f>
        <v>181702661</v>
      </c>
      <c r="D114" s="2">
        <f>VLOOKUP(A114,GDP_PPP_base!$C$2:$N$193,11,0)*10^9</f>
        <v>998931000000</v>
      </c>
      <c r="E114" s="2">
        <f>VLOOKUP(A114,INC_PPP_base!$C$2:$N$193,11,0)</f>
        <v>5429.1</v>
      </c>
      <c r="F114" s="2">
        <f t="shared" si="9"/>
        <v>5497.6134884452795</v>
      </c>
      <c r="G114" s="4">
        <f t="shared" si="10"/>
        <v>1.2619677008211141E-2</v>
      </c>
      <c r="H114" s="3">
        <f>VLOOKUP(A114,Elec_Access_base!$A$5:$BH$270,60,0)/100</f>
        <v>0.52500000000000002</v>
      </c>
      <c r="I114">
        <f>51706</f>
        <v>51706</v>
      </c>
      <c r="J114" s="2">
        <f t="shared" si="11"/>
        <v>79.045500482669198</v>
      </c>
    </row>
    <row r="115" spans="1:14" x14ac:dyDescent="0.3">
      <c r="A115" t="s">
        <v>200</v>
      </c>
      <c r="B115" t="s">
        <v>770</v>
      </c>
      <c r="C115" s="2">
        <f>VLOOKUP(A115,POP_base!$C$2:$T$201,17,0)*10^6</f>
        <v>37585674</v>
      </c>
      <c r="D115" s="2">
        <f>VLOOKUP(A115,GDP_PPP_base!$C$2:$N$193,11,0)*10^9</f>
        <v>181882000000</v>
      </c>
      <c r="E115" s="2">
        <f>VLOOKUP(A115,INC_PPP_base!$C$2:$N$193,11,0)</f>
        <v>4764.8999999999996</v>
      </c>
      <c r="F115" s="2">
        <f t="shared" si="9"/>
        <v>4839.130994431549</v>
      </c>
      <c r="G115" s="4">
        <f t="shared" si="10"/>
        <v>1.557870982214723E-2</v>
      </c>
      <c r="H115" s="3">
        <f>VLOOKUP(A115,Elec_Access_base!$A$5:$BH$270,60,0)/100</f>
        <v>0.48</v>
      </c>
      <c r="I115">
        <f>21437</f>
        <v>21437</v>
      </c>
      <c r="J115" s="2">
        <f t="shared" si="11"/>
        <v>158.4306356252178</v>
      </c>
    </row>
    <row r="116" spans="1:14" x14ac:dyDescent="0.3">
      <c r="A116" t="s">
        <v>685</v>
      </c>
      <c r="B116" t="s">
        <v>771</v>
      </c>
      <c r="C116" s="2">
        <f>VLOOKUP(A116,POP_base!$C$2:$T$201,17,0)*10^6</f>
        <v>36893791</v>
      </c>
      <c r="D116" s="2">
        <f>VLOOKUP(A116,GDP_PPP_base!$C$2:$N$193,11,0)*10^9</f>
        <v>83910600000</v>
      </c>
      <c r="E116" s="2">
        <f>VLOOKUP(A116,INC_PPP_base!$C$2:$N$193,11,0)</f>
        <v>2238.9699999999998</v>
      </c>
      <c r="F116" s="2">
        <f t="shared" si="9"/>
        <v>2274.3827003302536</v>
      </c>
      <c r="G116" s="4">
        <f t="shared" si="10"/>
        <v>1.5816513990921609E-2</v>
      </c>
      <c r="H116" s="3">
        <f>VLOOKUP(A116,Elec_Access_base!$A$5:$BH$270,60,0)/100</f>
        <v>0.185</v>
      </c>
      <c r="I116" s="2">
        <f>2192</f>
        <v>2192</v>
      </c>
      <c r="J116" s="2">
        <f t="shared" si="11"/>
        <v>16.503830926154723</v>
      </c>
    </row>
    <row r="117" spans="1:14" x14ac:dyDescent="0.3">
      <c r="A117" t="s">
        <v>540</v>
      </c>
      <c r="B117" t="s">
        <v>772</v>
      </c>
      <c r="C117" s="2">
        <f>VLOOKUP(A117,POP_base!$C$2:$T$201,17,0)*10^6</f>
        <v>24531083</v>
      </c>
      <c r="D117" s="2">
        <f>VLOOKUP(A117,GDP_PPP_base!$C$2:$N$193,11,0)*10^9</f>
        <v>37484900000</v>
      </c>
      <c r="E117" s="2">
        <f>VLOOKUP(A117,INC_PPP_base!$C$2:$N$193,11,0)</f>
        <v>1508.39</v>
      </c>
      <c r="F117" s="2">
        <f t="shared" si="9"/>
        <v>1528.0572814498244</v>
      </c>
      <c r="G117" s="4">
        <f t="shared" si="10"/>
        <v>1.3038591776546024E-2</v>
      </c>
      <c r="H117" s="3">
        <f>VLOOKUP(A117,Elec_Access_base!$A$5:$BH$270,60,0)/100</f>
        <v>0.23800000000000002</v>
      </c>
      <c r="I117" s="2">
        <f>2026</f>
        <v>2026</v>
      </c>
      <c r="J117" s="2">
        <f t="shared" si="11"/>
        <v>22.941415908045226</v>
      </c>
    </row>
    <row r="118" spans="1:14" x14ac:dyDescent="0.3">
      <c r="A118" t="s">
        <v>345</v>
      </c>
      <c r="B118" t="s">
        <v>773</v>
      </c>
      <c r="C118" s="2">
        <f>VLOOKUP(A118,POP_base!$C$2:$T$201,17,0)*10^6</f>
        <v>18442699</v>
      </c>
      <c r="D118" s="2">
        <f>VLOOKUP(A118,GDP_PPP_base!$C$2:$N$193,11,0)*10^9</f>
        <v>35050800000</v>
      </c>
      <c r="E118" s="2">
        <f>VLOOKUP(A118,INC_PPP_base!$C$2:$N$193,11,0)</f>
        <v>1872.57</v>
      </c>
      <c r="F118" s="2">
        <f t="shared" si="9"/>
        <v>1900.5244297485958</v>
      </c>
      <c r="G118" s="4">
        <f t="shared" si="10"/>
        <v>1.4928376375033182E-2</v>
      </c>
      <c r="H118" s="3">
        <f>VLOOKUP(A118,Elec_Access_base!$A$5:$BH$270,60,0)/100</f>
        <v>0.16200000000000001</v>
      </c>
      <c r="I118">
        <f>989</f>
        <v>989</v>
      </c>
      <c r="J118" s="2">
        <f t="shared" si="11"/>
        <v>14.895987958282149</v>
      </c>
    </row>
    <row r="119" spans="1:14" x14ac:dyDescent="0.3">
      <c r="A119" t="s">
        <v>238</v>
      </c>
      <c r="B119" t="s">
        <v>774</v>
      </c>
      <c r="C119" s="2">
        <f>VLOOKUP(A119,POP_base!$C$2:$T$201,17,0)*10^6</f>
        <v>15991295</v>
      </c>
      <c r="D119" s="2">
        <f>VLOOKUP(A119,GDP_PPP_base!$C$2:$N$193,11,0)*10^9</f>
        <v>54681300000</v>
      </c>
      <c r="E119" s="2">
        <f>VLOOKUP(A119,INC_PPP_base!$C$2:$N$193,11,0)</f>
        <v>3365.37</v>
      </c>
      <c r="F119" s="2">
        <f t="shared" si="9"/>
        <v>3419.4416399672446</v>
      </c>
      <c r="G119" s="4">
        <f t="shared" si="10"/>
        <v>1.6067071367262639E-2</v>
      </c>
      <c r="H119" s="3">
        <f>VLOOKUP(A119,Elec_Access_base!$A$5:$BH$270,60,0)/100</f>
        <v>0.311</v>
      </c>
      <c r="I119">
        <f>12535</f>
        <v>12535</v>
      </c>
      <c r="J119" s="2">
        <f t="shared" si="11"/>
        <v>217.7399919421438</v>
      </c>
    </row>
    <row r="120" spans="1:14" x14ac:dyDescent="0.3">
      <c r="A120" t="s">
        <v>657</v>
      </c>
      <c r="B120" t="s">
        <v>775</v>
      </c>
      <c r="C120" s="2">
        <f>VLOOKUP(A120,POP_base!$C$2:$T$201,17,0)*10^6</f>
        <v>13933273</v>
      </c>
      <c r="D120" s="2">
        <f>VLOOKUP(A120,GDP_PPP_base!$C$2:$N$193,11,0)*10^9</f>
        <v>26062200000</v>
      </c>
      <c r="E120" s="2">
        <f>VLOOKUP(A120,INC_PPP_base!$C$2:$N$193,11,0)</f>
        <v>1843.12</v>
      </c>
      <c r="F120" s="2">
        <f t="shared" si="9"/>
        <v>1870.5009225039946</v>
      </c>
      <c r="G120" s="4">
        <f t="shared" si="10"/>
        <v>1.4855745965533837E-2</v>
      </c>
      <c r="H120" s="3">
        <f>VLOOKUP(A120,Elec_Access_base!$A$5:$BH$270,60,0)/100</f>
        <v>7.6999999999999999E-2</v>
      </c>
      <c r="I120">
        <f>255</f>
        <v>255</v>
      </c>
      <c r="J120" s="2">
        <f t="shared" si="11"/>
        <v>5.0837540708011195</v>
      </c>
    </row>
    <row r="121" spans="1:14" x14ac:dyDescent="0.3">
      <c r="A121" t="s">
        <v>616</v>
      </c>
      <c r="B121" t="s">
        <v>776</v>
      </c>
      <c r="C121" s="2">
        <f>VLOOKUP(A121,POP_base!$C$2:$T$201,17,0)*10^6</f>
        <v>11503907</v>
      </c>
      <c r="D121" s="2">
        <f>VLOOKUP(A121,GDP_PPP_base!$C$2:$N$193,11,0)*10^9</f>
        <v>21487400000</v>
      </c>
      <c r="E121" s="2">
        <f>VLOOKUP(A121,INC_PPP_base!$C$2:$N$193,11,0)</f>
        <v>1845.52</v>
      </c>
      <c r="F121" s="2">
        <f t="shared" si="9"/>
        <v>1867.8349885825746</v>
      </c>
      <c r="G121" s="4">
        <f t="shared" si="10"/>
        <v>1.2091436875555205E-2</v>
      </c>
      <c r="H121" s="3">
        <f>VLOOKUP(A121,Elec_Access_base!$A$5:$BH$270,60,0)/100</f>
        <v>0.22800000000000001</v>
      </c>
      <c r="I121">
        <f>345</f>
        <v>345</v>
      </c>
      <c r="J121" s="2">
        <f t="shared" si="11"/>
        <v>8.3305031354420134</v>
      </c>
    </row>
    <row r="122" spans="1:14" x14ac:dyDescent="0.3">
      <c r="A122" t="s">
        <v>636</v>
      </c>
      <c r="B122" t="s">
        <v>777</v>
      </c>
      <c r="C122" s="2">
        <f>VLOOKUP(A122,POP_base!$C$2:$T$201,17,0)*10^6</f>
        <v>11132072</v>
      </c>
      <c r="D122" s="2">
        <f>VLOOKUP(A122,GDP_PPP_base!$C$2:$N$193,11,0)*10^9</f>
        <v>7069220000</v>
      </c>
      <c r="E122" s="2">
        <f>VLOOKUP(A122,INC_PPP_base!$C$2:$N$193,11,0)</f>
        <v>631.50099999999998</v>
      </c>
      <c r="F122" s="2">
        <f t="shared" si="9"/>
        <v>635.0318251624675</v>
      </c>
      <c r="G122" s="4">
        <f t="shared" si="10"/>
        <v>5.5911632166338963E-3</v>
      </c>
      <c r="H122" s="3">
        <f>VLOOKUP(A122,Elec_Access_base!$A$5:$BH$270,60,0)/100</f>
        <v>4.8000000000000001E-2</v>
      </c>
      <c r="I122">
        <f>842</f>
        <v>842</v>
      </c>
      <c r="J122" s="2">
        <f t="shared" si="11"/>
        <v>21.010364367827382</v>
      </c>
    </row>
    <row r="123" spans="1:14" x14ac:dyDescent="0.3">
      <c r="A123" t="s">
        <v>417</v>
      </c>
      <c r="B123" t="s">
        <v>778</v>
      </c>
      <c r="C123" s="2">
        <f>VLOOKUP(A123,POP_base!$C$2:$T$201,17,0)*10^6</f>
        <v>3326537</v>
      </c>
      <c r="D123" s="2">
        <f>VLOOKUP(A123,GDP_PPP_base!$C$2:$N$193,11,0)*10^9</f>
        <v>5429520000</v>
      </c>
      <c r="E123" s="2">
        <f>VLOOKUP(A123,INC_PPP_base!$C$2:$N$193,11,0)</f>
        <v>1625.6</v>
      </c>
      <c r="F123" s="2">
        <f t="shared" si="9"/>
        <v>1632.1838596714842</v>
      </c>
      <c r="G123" s="4">
        <f t="shared" si="10"/>
        <v>4.050110526257587E-3</v>
      </c>
      <c r="H123" s="3">
        <f>VLOOKUP(A123,Elec_Access_base!$A$5:$BH$270,60,0)/100</f>
        <v>0.45799999999999996</v>
      </c>
      <c r="I123">
        <f>417</f>
        <v>417</v>
      </c>
      <c r="J123" s="2">
        <f t="shared" si="11"/>
        <v>34.820996529824662</v>
      </c>
    </row>
    <row r="124" spans="1:14" x14ac:dyDescent="0.3">
      <c r="A124" t="s">
        <v>446</v>
      </c>
      <c r="B124" t="s">
        <v>779</v>
      </c>
      <c r="C124" s="2">
        <f>VLOOKUP(A124,POP_base!$C$2:$T$201,17,0)*10^6</f>
        <v>1320986.0000000002</v>
      </c>
      <c r="D124" s="2">
        <f>VLOOKUP(A124,GDP_PPP_base!$C$2:$N$193,11,0)*10^9</f>
        <v>33085800000</v>
      </c>
      <c r="E124" s="2">
        <f>VLOOKUP(A124,INC_PPP_base!$C$2:$N$193,11,0)</f>
        <v>24563.1</v>
      </c>
      <c r="F124" s="2">
        <f t="shared" si="9"/>
        <v>25046.291179467455</v>
      </c>
      <c r="G124" s="4">
        <f t="shared" si="10"/>
        <v>1.9671425002033789E-2</v>
      </c>
      <c r="H124" s="3">
        <f>VLOOKUP(A124,Elec_Access_base!$A$5:$BH$270,60,0)/100</f>
        <v>0.66099999999999992</v>
      </c>
      <c r="I124">
        <f>1443</f>
        <v>1443</v>
      </c>
      <c r="J124" s="2">
        <f t="shared" si="11"/>
        <v>303.43495944191176</v>
      </c>
    </row>
    <row r="125" spans="1:14" x14ac:dyDescent="0.3">
      <c r="A125" t="s">
        <v>159</v>
      </c>
      <c r="B125" t="s">
        <v>780</v>
      </c>
      <c r="C125" s="2">
        <f>VLOOKUP(A125,POP_base!$C$2:$T$201,17,0)*10^6</f>
        <v>1292800</v>
      </c>
      <c r="D125" s="2">
        <f>VLOOKUP(A125,GDP_PPP_base!$C$2:$N$193,11,0)*10^9</f>
        <v>25945700000</v>
      </c>
      <c r="E125" s="2">
        <f>VLOOKUP(A125,INC_PPP_base!$C$2:$N$193,11,0)</f>
        <v>20063.8</v>
      </c>
      <c r="F125" s="2">
        <f t="shared" si="9"/>
        <v>20069.384282178216</v>
      </c>
      <c r="G125" s="4">
        <f t="shared" si="10"/>
        <v>2.7832624817916392E-4</v>
      </c>
      <c r="H125" s="3">
        <f>VLOOKUP(A125,Elec_Access_base!$A$5:$BH$270,60,0)/100</f>
        <v>0.996</v>
      </c>
      <c r="I125">
        <f>2991</f>
        <v>2991</v>
      </c>
      <c r="J125" s="2">
        <f t="shared" si="11"/>
        <v>642.6619224422443</v>
      </c>
    </row>
    <row r="126" spans="1:14" x14ac:dyDescent="0.3">
      <c r="A126" t="s">
        <v>648</v>
      </c>
      <c r="B126" t="s">
        <v>781</v>
      </c>
      <c r="C126" s="2">
        <f>VLOOKUP(A126,POP_base!$C$2:$T$201,17,0)*10^6</f>
        <v>1129754</v>
      </c>
      <c r="D126" s="2">
        <f>VLOOKUP(A126,GDP_PPP_base!$C$2:$N$193,11,0)*10^9</f>
        <v>9171850000</v>
      </c>
      <c r="E126" s="2">
        <f>VLOOKUP(A126,INC_PPP_base!$C$2:$N$193,11,0)</f>
        <v>8088.51</v>
      </c>
      <c r="F126" s="2">
        <f t="shared" si="9"/>
        <v>8118.4487950474177</v>
      </c>
      <c r="G126" s="4">
        <f t="shared" si="10"/>
        <v>3.7013980383800529E-3</v>
      </c>
      <c r="H126" s="3">
        <f>VLOOKUP(A126,Elec_Access_base!$A$5:$BH$270,60,0)/100</f>
        <v>0.6409999999999999</v>
      </c>
      <c r="I126">
        <f>1324</f>
        <v>1324</v>
      </c>
      <c r="J126" s="2">
        <f t="shared" si="11"/>
        <v>325.53792929945615</v>
      </c>
    </row>
  </sheetData>
  <sortState xmlns:xlrd2="http://schemas.microsoft.com/office/spreadsheetml/2017/richdata2" ref="A2:B113">
    <sortCondition ref="A2:A113"/>
  </sortState>
  <pageMargins left="0.7" right="0.7" top="0.75" bottom="0.75" header="0.3" footer="0.3"/>
  <headerFooter>
    <oddFooter>&amp;L_x000D_&amp;1#&amp;"Calibri"&amp;10&amp;K000000 LUT Group Confidential - Other information (3Y)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395C-6DE8-4EC4-BE17-F758DFCC3F7C}">
  <dimension ref="A1:U10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9" sqref="D29"/>
    </sheetView>
  </sheetViews>
  <sheetFormatPr defaultRowHeight="14.4" x14ac:dyDescent="0.3"/>
  <cols>
    <col min="1" max="1" width="20.109375" bestFit="1" customWidth="1"/>
    <col min="2" max="2" width="5.21875" bestFit="1" customWidth="1"/>
    <col min="3" max="3" width="12.5546875" bestFit="1" customWidth="1"/>
    <col min="4" max="4" width="17.21875" bestFit="1" customWidth="1"/>
    <col min="5" max="5" width="12.33203125" bestFit="1" customWidth="1"/>
    <col min="6" max="6" width="13.44140625" bestFit="1" customWidth="1"/>
    <col min="7" max="7" width="13.44140625" customWidth="1"/>
    <col min="8" max="8" width="11" customWidth="1"/>
    <col min="9" max="9" width="16.33203125" bestFit="1" customWidth="1"/>
    <col min="10" max="10" width="18" bestFit="1" customWidth="1"/>
    <col min="18" max="18" width="12.5546875" bestFit="1" customWidth="1"/>
    <col min="19" max="19" width="18.33203125" bestFit="1" customWidth="1"/>
  </cols>
  <sheetData>
    <row r="1" spans="1:21" x14ac:dyDescent="0.3">
      <c r="A1" t="s">
        <v>0</v>
      </c>
      <c r="B1" t="s">
        <v>1</v>
      </c>
      <c r="C1" t="s">
        <v>241</v>
      </c>
      <c r="D1" t="s">
        <v>242</v>
      </c>
      <c r="E1" t="s">
        <v>766</v>
      </c>
      <c r="F1" t="s">
        <v>767</v>
      </c>
      <c r="G1" t="s">
        <v>768</v>
      </c>
      <c r="H1" t="s">
        <v>244</v>
      </c>
      <c r="I1" t="s">
        <v>243</v>
      </c>
      <c r="J1" t="s">
        <v>717</v>
      </c>
    </row>
    <row r="2" spans="1:21" x14ac:dyDescent="0.3">
      <c r="A2" s="10" t="s">
        <v>166</v>
      </c>
      <c r="B2" t="str">
        <f>VLOOKUP(A2,Data!$A$1:$B$126,2,0)</f>
        <v>nga</v>
      </c>
      <c r="C2" s="2">
        <f>VLOOKUP(A2,POP_base!$C$2:$T$201,17,0)*10^6</f>
        <v>181702661</v>
      </c>
      <c r="D2" s="2">
        <f>VLOOKUP(A2,GDP_PPP_base!$C$2:$N$193,11,0)*10^9</f>
        <v>998931000000</v>
      </c>
      <c r="E2" s="2">
        <f>VLOOKUP(A2,INC_PPP_base!$C$2:$N$193,11,0)</f>
        <v>5429.1</v>
      </c>
      <c r="F2" s="2">
        <f>D2/C2</f>
        <v>5497.6134884452795</v>
      </c>
      <c r="G2" s="4">
        <f>(F2-E2)/E2</f>
        <v>1.2619677008211141E-2</v>
      </c>
      <c r="H2" s="3">
        <f>VLOOKUP(A2,Elec_Access_base!$A$5:$BH$270,60,0)/100</f>
        <v>0.52500000000000002</v>
      </c>
      <c r="I2" s="2">
        <f>VLOOKUP(A2,Data!$A$2:$I$126,9,0)</f>
        <v>51706</v>
      </c>
      <c r="J2" s="2">
        <f>I2*10^9/3600/C2</f>
        <v>79.045500482669198</v>
      </c>
      <c r="K2" s="5"/>
      <c r="L2" s="6"/>
      <c r="M2" s="4"/>
      <c r="N2" s="4"/>
      <c r="P2" s="3"/>
      <c r="Q2" s="3"/>
      <c r="R2" s="2"/>
      <c r="S2" s="2"/>
      <c r="T2" s="2"/>
      <c r="U2" s="2"/>
    </row>
    <row r="3" spans="1:21" x14ac:dyDescent="0.3">
      <c r="A3" t="s">
        <v>76</v>
      </c>
      <c r="B3" t="str">
        <f>VLOOKUP(A3,Data!$A$1:$B$126,2,0)</f>
        <v>eth</v>
      </c>
      <c r="C3" s="2">
        <f>VLOOKUP(A3,POP_base!$C$2:$T$201,17,0)*10^6</f>
        <v>101097184</v>
      </c>
      <c r="D3" s="2">
        <f>VLOOKUP(A3,GDP_PPP_base!$C$2:$N$193,11,0)*10^9</f>
        <v>180711000000</v>
      </c>
      <c r="E3" s="2">
        <f>VLOOKUP(A3,INC_PPP_base!$C$2:$N$193,11,0)</f>
        <v>1763.52</v>
      </c>
      <c r="F3" s="2">
        <f t="shared" ref="F3:F38" si="0">D3/C3</f>
        <v>1787.497859485384</v>
      </c>
      <c r="G3" s="4">
        <f t="shared" ref="G3:G38" si="1">(F3-E3)/E3</f>
        <v>1.3596590617279072E-2</v>
      </c>
      <c r="H3" s="3">
        <f>VLOOKUP(A3,Elec_Access_base!$A$5:$BH$270,60,0)/100</f>
        <v>0.28999999999999998</v>
      </c>
      <c r="I3" s="2">
        <f>VLOOKUP(A3,Data!$A$2:$I$126,9,0)</f>
        <v>12240</v>
      </c>
      <c r="J3" s="2">
        <f t="shared" ref="J3:J38" si="2">I3*10^9/3600/C3</f>
        <v>33.631005983312058</v>
      </c>
      <c r="K3" s="5"/>
      <c r="L3" s="6"/>
      <c r="M3" s="7"/>
      <c r="N3" s="7"/>
      <c r="P3" s="3"/>
      <c r="Q3" s="3"/>
    </row>
    <row r="4" spans="1:21" x14ac:dyDescent="0.3">
      <c r="A4" t="s">
        <v>721</v>
      </c>
      <c r="B4" t="str">
        <f>VLOOKUP(A4,Data!$A$1:$B$126,2,0)</f>
        <v>egy</v>
      </c>
      <c r="C4" s="2">
        <f>VLOOKUP(A4,POP_base!$C$2:$T$201,17,0)*10^6</f>
        <v>96675401</v>
      </c>
      <c r="D4" s="2">
        <f>VLOOKUP(A4,GDP_PPP_base!$C$2:$N$193,11,0)*10^9</f>
        <v>1029480000000</v>
      </c>
      <c r="E4" s="2">
        <f>VLOOKUP(A4,INC_PPP_base!$C$2:$N$193,11,0)</f>
        <v>10534.6</v>
      </c>
      <c r="F4" s="2">
        <f t="shared" si="0"/>
        <v>10648.830926493907</v>
      </c>
      <c r="G4" s="4">
        <f t="shared" si="1"/>
        <v>1.0843404257770275E-2</v>
      </c>
      <c r="H4" s="3">
        <f>VLOOKUP(A4,Elec_Access_base!$A$5:$BH$270,60,0)/100</f>
        <v>0.99299999999999999</v>
      </c>
      <c r="I4" s="2">
        <f>VLOOKUP(A4,Data!$A$2:$I$126,9,0)</f>
        <v>264099</v>
      </c>
      <c r="J4" s="2">
        <f t="shared" si="2"/>
        <v>758.8366076012793</v>
      </c>
      <c r="K4" s="5"/>
      <c r="L4" s="6"/>
      <c r="M4" s="4"/>
      <c r="N4" s="4"/>
      <c r="P4" s="3"/>
      <c r="Q4" s="3"/>
    </row>
    <row r="5" spans="1:21" x14ac:dyDescent="0.3">
      <c r="A5" t="s">
        <v>720</v>
      </c>
      <c r="B5" t="str">
        <f>VLOOKUP(A5,Data!$A$1:$B$126,2,0)</f>
        <v>cod</v>
      </c>
      <c r="C5" s="2">
        <f>VLOOKUP(A5,POP_base!$C$2:$T$201,17,0)*10^6</f>
        <v>77325521</v>
      </c>
      <c r="D5" s="2">
        <f>VLOOKUP(A5,GDP_PPP_base!$C$2:$N$193,11,0)*10^9</f>
        <v>86126600000</v>
      </c>
      <c r="E5" s="2">
        <f>VLOOKUP(A5,INC_PPP_base!$C$2:$N$193,11,0)</f>
        <v>1094.97</v>
      </c>
      <c r="F5" s="2">
        <f t="shared" si="0"/>
        <v>1113.8185541614391</v>
      </c>
      <c r="G5" s="4">
        <f t="shared" si="1"/>
        <v>1.7213763081581318E-2</v>
      </c>
      <c r="H5" s="3">
        <f>VLOOKUP(A5,Elec_Access_base!$A$5:$BH$270,60,0)/100</f>
        <v>0.16600000000000001</v>
      </c>
      <c r="I5" s="2">
        <f>VLOOKUP(A5,Data!$A$2:$I$126,9,0)</f>
        <v>9115</v>
      </c>
      <c r="J5" s="2">
        <f t="shared" si="2"/>
        <v>32.743968766074588</v>
      </c>
      <c r="K5" s="5"/>
      <c r="L5" s="6"/>
      <c r="M5" s="4"/>
      <c r="N5" s="4"/>
      <c r="P5" s="3"/>
      <c r="Q5" s="3"/>
    </row>
    <row r="6" spans="1:21" x14ac:dyDescent="0.3">
      <c r="A6" t="s">
        <v>226</v>
      </c>
      <c r="B6" t="str">
        <f>VLOOKUP(A6,Data!$A$1:$B$126,2,0)</f>
        <v>tza</v>
      </c>
      <c r="C6" s="2">
        <f>VLOOKUP(A6,POP_base!$C$2:$T$201,17,0)*10^6</f>
        <v>51608413.999999993</v>
      </c>
      <c r="D6" s="2">
        <f>VLOOKUP(A6,GDP_PPP_base!$C$2:$N$193,11,0)*10^9</f>
        <v>117578000000</v>
      </c>
      <c r="E6" s="2">
        <f>VLOOKUP(A6,INC_PPP_base!$C$2:$N$193,11,0)</f>
        <v>2237.75</v>
      </c>
      <c r="F6" s="2">
        <f t="shared" si="0"/>
        <v>2278.2719112430004</v>
      </c>
      <c r="G6" s="4">
        <f t="shared" si="1"/>
        <v>1.8108328116635205E-2</v>
      </c>
      <c r="H6" s="3">
        <f>VLOOKUP(A6,Elec_Access_base!$A$5:$BH$270,60,0)/100</f>
        <v>0.26200000000000001</v>
      </c>
      <c r="I6" s="2">
        <f>VLOOKUP(A6,Data!$A$2:$I$126,9,0)</f>
        <v>8542</v>
      </c>
      <c r="J6" s="2">
        <f t="shared" si="2"/>
        <v>45.976568428895682</v>
      </c>
      <c r="K6" s="5"/>
      <c r="L6" s="6"/>
      <c r="M6" s="4"/>
      <c r="N6" s="4"/>
      <c r="P6" s="3"/>
    </row>
    <row r="7" spans="1:21" x14ac:dyDescent="0.3">
      <c r="A7" t="s">
        <v>236</v>
      </c>
      <c r="B7" t="str">
        <f>VLOOKUP(A7,Data!$A$1:$B$126,2,0)</f>
        <v>zaf</v>
      </c>
      <c r="C7" s="2">
        <f>VLOOKUP(A7,POP_base!$C$2:$T$201,17,0)*10^6</f>
        <v>55219577</v>
      </c>
      <c r="D7" s="2">
        <f>VLOOKUP(A7,GDP_PPP_base!$C$2:$N$193,11,0)*10^9</f>
        <v>758900000000</v>
      </c>
      <c r="E7" s="2">
        <f>VLOOKUP(A7,INC_PPP_base!$C$2:$N$193,11,0)</f>
        <v>13581.7</v>
      </c>
      <c r="F7" s="2">
        <f t="shared" si="0"/>
        <v>13743.314259723504</v>
      </c>
      <c r="G7" s="4">
        <f t="shared" si="1"/>
        <v>1.1899413160613397E-2</v>
      </c>
      <c r="H7" s="3">
        <f>VLOOKUP(A7,Elec_Access_base!$A$5:$BH$270,60,0)/100</f>
        <v>0.85299999999999998</v>
      </c>
      <c r="I7" s="2">
        <f>VLOOKUP(A7,Data!$A$2:$I$126,9,0)</f>
        <v>145594</v>
      </c>
      <c r="J7" s="2">
        <f t="shared" si="2"/>
        <v>732.39926806715266</v>
      </c>
      <c r="K7" s="5"/>
      <c r="L7" s="6"/>
      <c r="M7" s="4"/>
      <c r="N7" s="4"/>
      <c r="P7" s="3"/>
    </row>
    <row r="8" spans="1:21" x14ac:dyDescent="0.3">
      <c r="A8" t="s">
        <v>123</v>
      </c>
      <c r="B8" t="str">
        <f>VLOOKUP(A8,Data!$A$1:$B$126,2,0)</f>
        <v>ken</v>
      </c>
      <c r="C8" s="2">
        <f>VLOOKUP(A8,POP_base!$C$2:$T$201,17,0)*10^6</f>
        <v>46345992</v>
      </c>
      <c r="D8" s="2">
        <f>VLOOKUP(A8,GDP_PPP_base!$C$2:$N$193,11,0)*10^9</f>
        <v>195128000000</v>
      </c>
      <c r="E8" s="2">
        <f>VLOOKUP(A8,INC_PPP_base!$C$2:$N$193,11,0)</f>
        <v>4164.82</v>
      </c>
      <c r="F8" s="2">
        <f t="shared" si="0"/>
        <v>4210.2454080603129</v>
      </c>
      <c r="G8" s="4">
        <f t="shared" si="1"/>
        <v>1.0906931886687348E-2</v>
      </c>
      <c r="H8" s="3">
        <f>VLOOKUP(A8,Elec_Access_base!$A$5:$BH$270,60,0)/100</f>
        <v>0.41600000000000004</v>
      </c>
      <c r="I8" s="2">
        <f>VLOOKUP(A8,Data!$A$2:$I$126,9,0)</f>
        <v>9601</v>
      </c>
      <c r="J8" s="2">
        <f t="shared" si="2"/>
        <v>57.54423045782351</v>
      </c>
      <c r="K8" s="5"/>
      <c r="L8" s="6"/>
      <c r="M8" s="4"/>
      <c r="N8" s="4"/>
    </row>
    <row r="9" spans="1:21" x14ac:dyDescent="0.3">
      <c r="A9" s="10" t="s">
        <v>200</v>
      </c>
      <c r="B9" t="str">
        <f>VLOOKUP(A9,Data!$A$1:$B$126,2,0)</f>
        <v>sdn</v>
      </c>
      <c r="C9" s="2">
        <f>VLOOKUP(A9,POP_base!$C$2:$T$201,17,0)*10^6</f>
        <v>37585674</v>
      </c>
      <c r="D9" s="2">
        <f>VLOOKUP(A9,GDP_PPP_base!$C$2:$N$193,11,0)*10^9</f>
        <v>181882000000</v>
      </c>
      <c r="E9" s="2">
        <f>VLOOKUP(A9,INC_PPP_base!$C$2:$N$193,11,0)</f>
        <v>4764.8999999999996</v>
      </c>
      <c r="F9" s="2">
        <f t="shared" si="0"/>
        <v>4839.130994431549</v>
      </c>
      <c r="G9" s="4">
        <f t="shared" si="1"/>
        <v>1.557870982214723E-2</v>
      </c>
      <c r="H9" s="3">
        <f>VLOOKUP(A9,Elec_Access_base!$A$5:$BH$270,60,0)/100</f>
        <v>0.48</v>
      </c>
      <c r="I9" s="2">
        <f>VLOOKUP(A9,Data!$A$2:$I$126,9,0)</f>
        <v>21437</v>
      </c>
      <c r="J9" s="2">
        <f t="shared" si="2"/>
        <v>158.4306356252178</v>
      </c>
      <c r="K9" s="5"/>
      <c r="L9" s="6"/>
      <c r="M9" s="4"/>
      <c r="N9" s="4"/>
    </row>
    <row r="10" spans="1:21" x14ac:dyDescent="0.3">
      <c r="A10" s="10" t="s">
        <v>685</v>
      </c>
      <c r="B10" t="str">
        <f>VLOOKUP(A10,Data!$A$1:$B$126,2,0)</f>
        <v>uga</v>
      </c>
      <c r="C10" s="2">
        <f>VLOOKUP(A10,POP_base!$C$2:$T$201,17,0)*10^6</f>
        <v>36893791</v>
      </c>
      <c r="D10" s="2">
        <f>VLOOKUP(A10,GDP_PPP_base!$C$2:$N$193,11,0)*10^9</f>
        <v>83910600000</v>
      </c>
      <c r="E10" s="2">
        <f>VLOOKUP(A10,INC_PPP_base!$C$2:$N$193,11,0)</f>
        <v>2238.9699999999998</v>
      </c>
      <c r="F10" s="2">
        <f t="shared" si="0"/>
        <v>2274.3827003302536</v>
      </c>
      <c r="G10" s="4">
        <f t="shared" si="1"/>
        <v>1.5816513990921609E-2</v>
      </c>
      <c r="H10" s="3">
        <f>VLOOKUP(A10,Elec_Access_base!$A$5:$BH$270,60,0)/100</f>
        <v>0.185</v>
      </c>
      <c r="I10" s="2">
        <f>VLOOKUP(A10,Data!$A$2:$I$126,9,0)</f>
        <v>2192</v>
      </c>
      <c r="J10" s="2">
        <f t="shared" si="2"/>
        <v>16.503830926154723</v>
      </c>
      <c r="K10" s="5"/>
      <c r="L10" s="6"/>
      <c r="M10" s="4"/>
      <c r="N10" s="4"/>
    </row>
    <row r="11" spans="1:21" x14ac:dyDescent="0.3">
      <c r="A11" t="s">
        <v>67</v>
      </c>
      <c r="B11" t="str">
        <f>VLOOKUP(A11,Data!$A$1:$B$126,2,0)</f>
        <v>dza</v>
      </c>
      <c r="C11" s="2">
        <f>VLOOKUP(A11,POP_base!$C$2:$T$201,17,0)*10^6</f>
        <v>39146480.000000007</v>
      </c>
      <c r="D11" s="2">
        <f>VLOOKUP(A11,GDP_PPP_base!$C$2:$N$193,11,0)*10^9</f>
        <v>456849000000</v>
      </c>
      <c r="E11" s="2">
        <f>VLOOKUP(A11,INC_PPP_base!$C$2:$N$193,11,0)</f>
        <v>11553.2</v>
      </c>
      <c r="F11" s="2">
        <f t="shared" si="0"/>
        <v>11670.244681003245</v>
      </c>
      <c r="G11" s="4">
        <f t="shared" si="1"/>
        <v>1.0130931776758341E-2</v>
      </c>
      <c r="H11" s="3">
        <f>VLOOKUP(A11,Elec_Access_base!$A$5:$BH$270,60,0)/100</f>
        <v>0.99400000000000011</v>
      </c>
      <c r="I11" s="2">
        <f>VLOOKUP(A11,Data!$A$2:$I$126,9,0)</f>
        <v>70819</v>
      </c>
      <c r="J11" s="2">
        <f t="shared" si="2"/>
        <v>502.52141302217819</v>
      </c>
      <c r="K11" s="5"/>
      <c r="L11" s="6"/>
      <c r="M11" s="4"/>
      <c r="N11" s="4"/>
    </row>
    <row r="12" spans="1:21" x14ac:dyDescent="0.3">
      <c r="A12" t="s">
        <v>2</v>
      </c>
      <c r="B12" t="str">
        <f>VLOOKUP(A12,Data!$A$1:$B$126,2,0)</f>
        <v>ago</v>
      </c>
      <c r="C12" s="2">
        <f>VLOOKUP(A12,POP_base!$C$2:$T$201,17,0)*10^6</f>
        <v>27624320</v>
      </c>
      <c r="D12" s="2">
        <f>VLOOKUP(A12,GDP_PPP_base!$C$2:$N$193,11,0)*10^9</f>
        <v>223908000000</v>
      </c>
      <c r="E12" s="2">
        <f>VLOOKUP(A12,INC_PPP_base!$C$2:$N$193,11,0)</f>
        <v>7960.42</v>
      </c>
      <c r="F12" s="2">
        <f t="shared" si="0"/>
        <v>8105.4664875008684</v>
      </c>
      <c r="G12" s="4">
        <f t="shared" si="1"/>
        <v>1.8220959132918661E-2</v>
      </c>
      <c r="H12" s="3">
        <f>VLOOKUP(A12,Elec_Access_base!$A$5:$BH$270,60,0)/100</f>
        <v>0.42</v>
      </c>
      <c r="I12" s="2">
        <f>VLOOKUP(A12,Data!$A$2:$I$126,9,0)</f>
        <v>19987</v>
      </c>
      <c r="J12" s="2">
        <f t="shared" si="2"/>
        <v>200.98031171244921</v>
      </c>
      <c r="K12" s="5"/>
      <c r="L12" s="6"/>
      <c r="M12" s="4"/>
      <c r="N12" s="4"/>
      <c r="T12" s="4"/>
    </row>
    <row r="13" spans="1:21" x14ac:dyDescent="0.3">
      <c r="A13" t="s">
        <v>143</v>
      </c>
      <c r="B13" t="str">
        <f>VLOOKUP(A13,Data!$A$1:$B$126,2,0)</f>
        <v>mar</v>
      </c>
      <c r="C13" s="2">
        <f>VLOOKUP(A13,POP_base!$C$2:$T$201,17,0)*10^6</f>
        <v>34467568</v>
      </c>
      <c r="D13" s="2">
        <f>VLOOKUP(A13,GDP_PPP_base!$C$2:$N$193,11,0)*10^9</f>
        <v>270392000000</v>
      </c>
      <c r="E13" s="2">
        <f>VLOOKUP(A13,INC_PPP_base!$C$2:$N$193,11,0)</f>
        <v>7796.67</v>
      </c>
      <c r="F13" s="2">
        <f t="shared" si="0"/>
        <v>7844.8238645674101</v>
      </c>
      <c r="G13" s="4">
        <f t="shared" si="1"/>
        <v>6.1762091466497854E-3</v>
      </c>
      <c r="H13" s="3">
        <f>VLOOKUP(A13,Elec_Access_base!$A$5:$BH$270,60,0)/100</f>
        <v>0.97299999999999998</v>
      </c>
      <c r="I13" s="2">
        <f>VLOOKUP(A13,Data!$A$2:$I$126,9,0)</f>
        <v>36543</v>
      </c>
      <c r="J13" s="2">
        <f t="shared" si="2"/>
        <v>294.50390388243619</v>
      </c>
      <c r="K13" s="5"/>
      <c r="L13" s="6"/>
      <c r="M13" s="4"/>
      <c r="N13" s="4"/>
    </row>
    <row r="14" spans="1:21" x14ac:dyDescent="0.3">
      <c r="A14" t="s">
        <v>157</v>
      </c>
      <c r="B14" t="str">
        <f>VLOOKUP(A14,Data!$A$1:$B$126,2,0)</f>
        <v>moz</v>
      </c>
      <c r="C14" s="2">
        <f>VLOOKUP(A14,POP_base!$C$2:$T$201,17,0)*10^6</f>
        <v>26435069</v>
      </c>
      <c r="D14" s="2">
        <f>VLOOKUP(A14,GDP_PPP_base!$C$2:$N$193,11,0)*10^9</f>
        <v>34144000000</v>
      </c>
      <c r="E14" s="2">
        <f>VLOOKUP(A14,INC_PPP_base!$C$2:$N$193,11,0)</f>
        <v>1271.98</v>
      </c>
      <c r="F14" s="2">
        <f t="shared" si="0"/>
        <v>1291.6175857153994</v>
      </c>
      <c r="G14" s="4">
        <f t="shared" si="1"/>
        <v>1.5438596295067046E-2</v>
      </c>
      <c r="H14" s="3">
        <f>VLOOKUP(A14,Elec_Access_base!$A$5:$BH$270,60,0)/100</f>
        <v>0.24</v>
      </c>
      <c r="I14" s="2">
        <f>VLOOKUP(A14,Data!$A$2:$I$126,9,0)</f>
        <v>5940</v>
      </c>
      <c r="J14" s="2">
        <f t="shared" si="2"/>
        <v>62.417086938566342</v>
      </c>
      <c r="K14" s="5"/>
      <c r="L14" s="6"/>
      <c r="M14" s="4"/>
      <c r="N14" s="4"/>
    </row>
    <row r="15" spans="1:21" x14ac:dyDescent="0.3">
      <c r="A15" t="s">
        <v>88</v>
      </c>
      <c r="B15" t="str">
        <f>VLOOKUP(A15,Data!$A$1:$B$126,2,0)</f>
        <v>gha</v>
      </c>
      <c r="C15" s="2">
        <f>VLOOKUP(A15,POP_base!$C$2:$T$201,17,0)*10^6</f>
        <v>28531848.999999996</v>
      </c>
      <c r="D15" s="2">
        <f>VLOOKUP(A15,GDP_PPP_base!$C$2:$N$193,11,0)*10^9</f>
        <v>133286000000</v>
      </c>
      <c r="E15" s="2">
        <f>VLOOKUP(A15,INC_PPP_base!$C$2:$N$193,11,0)</f>
        <v>4616.62</v>
      </c>
      <c r="F15" s="2">
        <f t="shared" si="0"/>
        <v>4671.4813330184106</v>
      </c>
      <c r="G15" s="4">
        <f t="shared" si="1"/>
        <v>1.1883441352853545E-2</v>
      </c>
      <c r="H15" s="3">
        <f>VLOOKUP(A15,Elec_Access_base!$A$5:$BH$270,60,0)/100</f>
        <v>0.74</v>
      </c>
      <c r="I15" s="2">
        <f>VLOOKUP(A15,Data!$A$2:$I$126,9,0)</f>
        <v>8769</v>
      </c>
      <c r="J15" s="2">
        <f t="shared" si="2"/>
        <v>85.372431815874734</v>
      </c>
      <c r="K15" s="5"/>
      <c r="L15" s="6"/>
      <c r="M15" s="4"/>
      <c r="N15" s="4"/>
    </row>
    <row r="16" spans="1:21" x14ac:dyDescent="0.3">
      <c r="A16" s="10" t="s">
        <v>540</v>
      </c>
      <c r="B16" t="str">
        <f>VLOOKUP(A16,Data!$A$1:$B$126,2,0)</f>
        <v>mdg</v>
      </c>
      <c r="C16" s="2">
        <f>VLOOKUP(A16,POP_base!$C$2:$T$201,17,0)*10^6</f>
        <v>24531083</v>
      </c>
      <c r="D16" s="2">
        <f>VLOOKUP(A16,GDP_PPP_base!$C$2:$N$193,11,0)*10^9</f>
        <v>37484900000</v>
      </c>
      <c r="E16" s="2">
        <f>VLOOKUP(A16,INC_PPP_base!$C$2:$N$193,11,0)</f>
        <v>1508.39</v>
      </c>
      <c r="F16" s="2">
        <f t="shared" si="0"/>
        <v>1528.0572814498244</v>
      </c>
      <c r="G16" s="4">
        <f t="shared" si="1"/>
        <v>1.3038591776546024E-2</v>
      </c>
      <c r="H16" s="3">
        <f>VLOOKUP(A16,Elec_Access_base!$A$5:$BH$270,60,0)/100</f>
        <v>0.23800000000000002</v>
      </c>
      <c r="I16" s="2">
        <f>VLOOKUP(A16,Data!$A$2:$I$126,9,0)</f>
        <v>2026</v>
      </c>
      <c r="J16" s="2">
        <f t="shared" si="2"/>
        <v>22.941415908045226</v>
      </c>
      <c r="K16" s="5"/>
      <c r="L16" s="6"/>
      <c r="M16" s="4"/>
      <c r="N16" s="4"/>
    </row>
    <row r="17" spans="1:14" x14ac:dyDescent="0.3">
      <c r="A17" t="s">
        <v>46</v>
      </c>
      <c r="B17" t="str">
        <f>VLOOKUP(A17,Data!$A$1:$B$126,2,0)</f>
        <v>civ</v>
      </c>
      <c r="C17" s="2">
        <f>VLOOKUP(A17,POP_base!$C$2:$T$201,17,0)*10^6</f>
        <v>23291821</v>
      </c>
      <c r="D17" s="2">
        <f>VLOOKUP(A17,GDP_PPP_base!$C$2:$N$193,11,0)*10^9</f>
        <v>104388000000</v>
      </c>
      <c r="E17" s="2">
        <f>VLOOKUP(A17,INC_PPP_base!$C$2:$N$193,11,0)</f>
        <v>4423.82</v>
      </c>
      <c r="F17" s="2">
        <f t="shared" si="0"/>
        <v>4481.7449009246639</v>
      </c>
      <c r="G17" s="4">
        <f t="shared" si="1"/>
        <v>1.3093864787596273E-2</v>
      </c>
      <c r="H17" s="3">
        <f>VLOOKUP(A17,Elec_Access_base!$A$5:$BH$270,60,0)/100</f>
        <v>0.626</v>
      </c>
      <c r="I17" s="2">
        <f>VLOOKUP(A17,Data!$A$2:$I$126,9,0)</f>
        <v>6854</v>
      </c>
      <c r="J17" s="2">
        <f t="shared" si="2"/>
        <v>81.740662908618816</v>
      </c>
      <c r="K17" s="5"/>
      <c r="L17" s="6"/>
      <c r="M17" s="4"/>
      <c r="N17" s="4"/>
    </row>
    <row r="18" spans="1:14" x14ac:dyDescent="0.3">
      <c r="A18" t="s">
        <v>48</v>
      </c>
      <c r="B18" t="str">
        <f>VLOOKUP(A18,Data!$A$1:$B$126,2,0)</f>
        <v>cmr</v>
      </c>
      <c r="C18" s="2">
        <f>VLOOKUP(A18,POP_base!$C$2:$T$201,17,0)*10^6</f>
        <v>22662456</v>
      </c>
      <c r="D18" s="2">
        <f>VLOOKUP(A18,GDP_PPP_base!$C$2:$N$193,11,0)*10^9</f>
        <v>83230700000</v>
      </c>
      <c r="E18" s="2">
        <f>VLOOKUP(A18,INC_PPP_base!$C$2:$N$193,11,0)</f>
        <v>3616.74</v>
      </c>
      <c r="F18" s="2">
        <f t="shared" si="0"/>
        <v>3672.6248911415428</v>
      </c>
      <c r="G18" s="4">
        <f t="shared" si="1"/>
        <v>1.5451730326631994E-2</v>
      </c>
      <c r="H18" s="3">
        <f>VLOOKUP(A18,Elec_Access_base!$A$5:$BH$270,60,0)/100</f>
        <v>0.58599999999999997</v>
      </c>
      <c r="I18" s="2">
        <f>VLOOKUP(A18,Data!$A$2:$I$126,9,0)</f>
        <v>4690</v>
      </c>
      <c r="J18" s="2">
        <f t="shared" si="2"/>
        <v>57.4861690973731</v>
      </c>
      <c r="K18" s="5"/>
      <c r="L18" s="6"/>
      <c r="M18" s="4"/>
      <c r="N18" s="4"/>
    </row>
    <row r="19" spans="1:14" x14ac:dyDescent="0.3">
      <c r="A19" t="s">
        <v>164</v>
      </c>
      <c r="B19" t="str">
        <f>VLOOKUP(A19,Data!$A$1:$B$126,2,0)</f>
        <v>ner</v>
      </c>
      <c r="C19" s="2">
        <f>VLOOKUP(A19,POP_base!$C$2:$T$201,17,0)*10^6</f>
        <v>19739586</v>
      </c>
      <c r="D19" s="2">
        <f>VLOOKUP(A19,GDP_PPP_base!$C$2:$N$193,11,0)*10^9</f>
        <v>22631900000</v>
      </c>
      <c r="E19" s="2">
        <f>VLOOKUP(A19,INC_PPP_base!$C$2:$N$193,11,0)</f>
        <v>1124.3900000000001</v>
      </c>
      <c r="F19" s="2">
        <f t="shared" si="0"/>
        <v>1146.5235390448411</v>
      </c>
      <c r="G19" s="4">
        <f t="shared" si="1"/>
        <v>1.9684930535526793E-2</v>
      </c>
      <c r="H19" s="3">
        <f>VLOOKUP(A19,Elec_Access_base!$A$5:$BH$270,60,0)/100</f>
        <v>0.16600000000000001</v>
      </c>
      <c r="I19" s="2">
        <f>VLOOKUP(A19,Data!$A$2:$I$126,9,0)</f>
        <v>2102</v>
      </c>
      <c r="J19" s="2">
        <f t="shared" si="2"/>
        <v>29.579591430584657</v>
      </c>
      <c r="K19" s="5"/>
      <c r="L19" s="6"/>
      <c r="M19" s="4"/>
      <c r="N19" s="4"/>
    </row>
    <row r="20" spans="1:14" x14ac:dyDescent="0.3">
      <c r="A20" s="10" t="s">
        <v>345</v>
      </c>
      <c r="B20" t="str">
        <f>VLOOKUP(A20,Data!$A$1:$B$126,2,0)</f>
        <v>bfa</v>
      </c>
      <c r="C20" s="2">
        <f>VLOOKUP(A20,POP_base!$C$2:$T$201,17,0)*10^6</f>
        <v>18442699</v>
      </c>
      <c r="D20" s="2">
        <f>VLOOKUP(A20,GDP_PPP_base!$C$2:$N$193,11,0)*10^9</f>
        <v>35050800000</v>
      </c>
      <c r="E20" s="2">
        <f>VLOOKUP(A20,INC_PPP_base!$C$2:$N$193,11,0)</f>
        <v>1872.57</v>
      </c>
      <c r="F20" s="2">
        <f t="shared" si="0"/>
        <v>1900.5244297485958</v>
      </c>
      <c r="G20" s="4">
        <f t="shared" si="1"/>
        <v>1.4928376375033182E-2</v>
      </c>
      <c r="H20" s="3">
        <f>VLOOKUP(A20,Elec_Access_base!$A$5:$BH$270,60,0)/100</f>
        <v>0.16200000000000001</v>
      </c>
      <c r="I20" s="2">
        <f>VLOOKUP(A20,Data!$A$2:$I$126,9,0)</f>
        <v>989</v>
      </c>
      <c r="J20" s="2">
        <f t="shared" si="2"/>
        <v>14.895987958282149</v>
      </c>
      <c r="K20" s="5"/>
      <c r="L20" s="6"/>
      <c r="M20" s="4"/>
      <c r="N20" s="4"/>
    </row>
    <row r="21" spans="1:14" x14ac:dyDescent="0.3">
      <c r="A21" s="10" t="s">
        <v>238</v>
      </c>
      <c r="B21" t="str">
        <f>VLOOKUP(A21,Data!$A$1:$B$126,2,0)</f>
        <v>zmb</v>
      </c>
      <c r="C21" s="2">
        <f>VLOOKUP(A21,POP_base!$C$2:$T$201,17,0)*10^6</f>
        <v>15991295</v>
      </c>
      <c r="D21" s="2">
        <f>VLOOKUP(A21,GDP_PPP_base!$C$2:$N$193,11,0)*10^9</f>
        <v>54681300000</v>
      </c>
      <c r="E21" s="2">
        <f>VLOOKUP(A21,INC_PPP_base!$C$2:$N$193,11,0)</f>
        <v>3365.37</v>
      </c>
      <c r="F21" s="2">
        <f t="shared" si="0"/>
        <v>3419.4416399672446</v>
      </c>
      <c r="G21" s="4">
        <f t="shared" si="1"/>
        <v>1.6067071367262639E-2</v>
      </c>
      <c r="H21" s="3">
        <f>VLOOKUP(A21,Elec_Access_base!$A$5:$BH$270,60,0)/100</f>
        <v>0.311</v>
      </c>
      <c r="I21" s="2">
        <f>VLOOKUP(A21,Data!$A$2:$I$126,9,0)</f>
        <v>12535</v>
      </c>
      <c r="J21" s="2">
        <f t="shared" si="2"/>
        <v>217.7399919421438</v>
      </c>
      <c r="K21" s="5"/>
      <c r="L21" s="6"/>
      <c r="M21" s="4"/>
      <c r="N21" s="4"/>
    </row>
    <row r="22" spans="1:14" x14ac:dyDescent="0.3">
      <c r="A22" s="10" t="s">
        <v>657</v>
      </c>
      <c r="B22" t="str">
        <f>VLOOKUP(A22,Data!$A$1:$B$126,2,0)</f>
        <v>tcd</v>
      </c>
      <c r="C22" s="2">
        <f>VLOOKUP(A22,POP_base!$C$2:$T$201,17,0)*10^6</f>
        <v>13933273</v>
      </c>
      <c r="D22" s="2">
        <f>VLOOKUP(A22,GDP_PPP_base!$C$2:$N$193,11,0)*10^9</f>
        <v>26062200000</v>
      </c>
      <c r="E22" s="2">
        <f>VLOOKUP(A22,INC_PPP_base!$C$2:$N$193,11,0)</f>
        <v>1843.12</v>
      </c>
      <c r="F22" s="2">
        <f t="shared" si="0"/>
        <v>1870.5009225039946</v>
      </c>
      <c r="G22" s="4">
        <f t="shared" si="1"/>
        <v>1.4855745965533837E-2</v>
      </c>
      <c r="H22" s="3">
        <f>VLOOKUP(A22,Elec_Access_base!$A$5:$BH$270,60,0)/100</f>
        <v>7.6999999999999999E-2</v>
      </c>
      <c r="I22" s="2">
        <f>VLOOKUP(A22,Data!$A$2:$I$126,9,0)</f>
        <v>255</v>
      </c>
      <c r="J22" s="2">
        <f t="shared" si="2"/>
        <v>5.0837540708011195</v>
      </c>
      <c r="K22" s="5"/>
      <c r="L22" s="6"/>
      <c r="M22" s="4"/>
      <c r="N22" s="4"/>
    </row>
    <row r="23" spans="1:14" x14ac:dyDescent="0.3">
      <c r="A23" t="s">
        <v>201</v>
      </c>
      <c r="B23" t="str">
        <f>VLOOKUP(A23,Data!$A$1:$B$126,2,0)</f>
        <v>sen</v>
      </c>
      <c r="C23" s="2">
        <f>VLOOKUP(A23,POP_base!$C$2:$T$201,17,0)*10^6</f>
        <v>14161512</v>
      </c>
      <c r="D23" s="2">
        <f>VLOOKUP(A23,GDP_PPP_base!$C$2:$N$193,11,0)*10^9</f>
        <v>43246200000</v>
      </c>
      <c r="E23" s="2">
        <f>VLOOKUP(A23,INC_PPP_base!$C$2:$N$193,11,0)</f>
        <v>3012.37</v>
      </c>
      <c r="F23" s="2">
        <f t="shared" si="0"/>
        <v>3053.7840874618473</v>
      </c>
      <c r="G23" s="4">
        <f t="shared" si="1"/>
        <v>1.3748008200137244E-2</v>
      </c>
      <c r="H23" s="3">
        <f>VLOOKUP(A23,Elec_Access_base!$A$5:$BH$270,60,0)/100</f>
        <v>0.60499999999999998</v>
      </c>
      <c r="I23" s="2">
        <f>VLOOKUP(A23,Data!$A$2:$I$126,9,0)</f>
        <v>4006</v>
      </c>
      <c r="J23" s="2">
        <f t="shared" si="2"/>
        <v>78.577610764851784</v>
      </c>
      <c r="K23" s="5"/>
      <c r="L23" s="6"/>
      <c r="M23" s="4"/>
      <c r="N23" s="4"/>
    </row>
    <row r="24" spans="1:14" x14ac:dyDescent="0.3">
      <c r="A24" t="s">
        <v>239</v>
      </c>
      <c r="B24" t="str">
        <f>VLOOKUP(A24,Data!$A$1:$B$126,2,0)</f>
        <v>zwe</v>
      </c>
      <c r="C24" s="2">
        <f>VLOOKUP(A24,POP_base!$C$2:$T$201,17,0)*10^6</f>
        <v>14006288.000000002</v>
      </c>
      <c r="D24" s="2">
        <f>VLOOKUP(A24,GDP_PPP_base!$C$2:$N$193,11,0)*10^9</f>
        <v>31491200000</v>
      </c>
      <c r="E24" s="2">
        <f>VLOOKUP(A24,INC_PPP_base!$C$2:$N$193,11,0)</f>
        <v>2224.75</v>
      </c>
      <c r="F24" s="2">
        <f t="shared" si="0"/>
        <v>2248.3615930216483</v>
      </c>
      <c r="G24" s="4">
        <f t="shared" si="1"/>
        <v>1.0613144407977676E-2</v>
      </c>
      <c r="H24" s="3">
        <f>VLOOKUP(A24,Elec_Access_base!$A$5:$BH$270,60,0)/100</f>
        <v>0.33700000000000002</v>
      </c>
      <c r="I24" s="2">
        <f>VLOOKUP(A24,Data!$A$2:$I$126,9,0)</f>
        <v>9316</v>
      </c>
      <c r="J24" s="2">
        <f t="shared" si="2"/>
        <v>184.75828697637641</v>
      </c>
      <c r="K24" s="5"/>
      <c r="L24" s="6"/>
      <c r="M24" s="4"/>
      <c r="N24" s="4"/>
    </row>
    <row r="25" spans="1:14" x14ac:dyDescent="0.3">
      <c r="A25" t="s">
        <v>19</v>
      </c>
      <c r="B25" t="str">
        <f>VLOOKUP(A25,Data!$A$1:$B$126,2,0)</f>
        <v>ben</v>
      </c>
      <c r="C25" s="2">
        <f>VLOOKUP(A25,POP_base!$C$2:$T$201,17,0)*10^6</f>
        <v>10771657</v>
      </c>
      <c r="D25" s="2">
        <f>VLOOKUP(A25,GDP_PPP_base!$C$2:$N$193,11,0)*10^9</f>
        <v>31156400000</v>
      </c>
      <c r="E25" s="2">
        <f>VLOOKUP(A25,INC_PPP_base!$C$2:$N$193,11,0)</f>
        <v>2849.81</v>
      </c>
      <c r="F25" s="2">
        <f t="shared" si="0"/>
        <v>2892.4426390480126</v>
      </c>
      <c r="G25" s="4">
        <f t="shared" si="1"/>
        <v>1.4959818039803568E-2</v>
      </c>
      <c r="H25" s="3">
        <f>VLOOKUP(A25,Elec_Access_base!$A$5:$BH$270,60,0)/100</f>
        <v>0.29600000000000004</v>
      </c>
      <c r="I25" s="2">
        <f>VLOOKUP(A25,Data!$A$2:$I$126,9,0)</f>
        <v>1407</v>
      </c>
      <c r="J25" s="2">
        <f t="shared" si="2"/>
        <v>36.283492255029408</v>
      </c>
      <c r="K25" s="5"/>
      <c r="L25" s="6"/>
      <c r="M25" s="4"/>
      <c r="N25" s="4"/>
    </row>
    <row r="26" spans="1:14" x14ac:dyDescent="0.3">
      <c r="A26" s="10" t="s">
        <v>616</v>
      </c>
      <c r="B26" t="str">
        <f>VLOOKUP(A26,Data!$A$1:$B$126,2,0)</f>
        <v>rwa</v>
      </c>
      <c r="C26" s="2">
        <f>VLOOKUP(A26,POP_base!$C$2:$T$201,17,0)*10^6</f>
        <v>11503907</v>
      </c>
      <c r="D26" s="2">
        <f>VLOOKUP(A26,GDP_PPP_base!$C$2:$N$193,11,0)*10^9</f>
        <v>21487400000</v>
      </c>
      <c r="E26" s="2">
        <f>VLOOKUP(A26,INC_PPP_base!$C$2:$N$193,11,0)</f>
        <v>1845.52</v>
      </c>
      <c r="F26" s="2">
        <f t="shared" si="0"/>
        <v>1867.8349885825746</v>
      </c>
      <c r="G26" s="4">
        <f t="shared" si="1"/>
        <v>1.2091436875555205E-2</v>
      </c>
      <c r="H26" s="3">
        <f>VLOOKUP(A26,Elec_Access_base!$A$5:$BH$270,60,0)/100</f>
        <v>0.22800000000000001</v>
      </c>
      <c r="I26" s="2">
        <f>VLOOKUP(A26,Data!$A$2:$I$126,9,0)</f>
        <v>345</v>
      </c>
      <c r="J26" s="2">
        <f t="shared" si="2"/>
        <v>8.3305031354420134</v>
      </c>
      <c r="K26" s="5"/>
      <c r="L26" s="6"/>
      <c r="M26" s="4"/>
      <c r="N26" s="4"/>
    </row>
    <row r="27" spans="1:14" x14ac:dyDescent="0.3">
      <c r="A27" t="s">
        <v>223</v>
      </c>
      <c r="B27" t="str">
        <f>VLOOKUP(A27,Data!$A$1:$B$126,2,0)</f>
        <v>tun</v>
      </c>
      <c r="C27" s="2">
        <f>VLOOKUP(A27,POP_base!$C$2:$T$201,17,0)*10^6</f>
        <v>11493401</v>
      </c>
      <c r="D27" s="2">
        <f>VLOOKUP(A27,GDP_PPP_base!$C$2:$N$193,11,0)*10^9</f>
        <v>127649000000</v>
      </c>
      <c r="E27" s="2">
        <f>VLOOKUP(A27,INC_PPP_base!$C$2:$N$193,11,0)</f>
        <v>11044.4</v>
      </c>
      <c r="F27" s="2">
        <f t="shared" si="0"/>
        <v>11106.286120183226</v>
      </c>
      <c r="G27" s="4">
        <f t="shared" si="1"/>
        <v>5.6033935916143937E-3</v>
      </c>
      <c r="H27" s="3">
        <f>VLOOKUP(A27,Elec_Access_base!$A$5:$BH$270,60,0)/100</f>
        <v>0.99900000000000011</v>
      </c>
      <c r="I27" s="2">
        <f>VLOOKUP(A27,Data!$A$2:$I$126,9,0)</f>
        <v>16855</v>
      </c>
      <c r="J27" s="2">
        <f t="shared" si="2"/>
        <v>407.35935729071355</v>
      </c>
      <c r="K27" s="5"/>
      <c r="L27" s="6"/>
      <c r="M27" s="4"/>
      <c r="N27" s="4"/>
    </row>
    <row r="28" spans="1:14" x14ac:dyDescent="0.3">
      <c r="A28" s="10" t="s">
        <v>636</v>
      </c>
      <c r="B28" t="str">
        <f>VLOOKUP(A28,Data!$A$1:$B$126,2,0)</f>
        <v>ssd</v>
      </c>
      <c r="C28" s="2">
        <f>VLOOKUP(A28,POP_base!$C$2:$T$201,17,0)*10^6</f>
        <v>11132072</v>
      </c>
      <c r="D28" s="2">
        <f>VLOOKUP(A28,GDP_PPP_base!$C$2:$N$193,11,0)*10^9</f>
        <v>7069220000</v>
      </c>
      <c r="E28" s="2">
        <f>VLOOKUP(A28,INC_PPP_base!$C$2:$N$193,11,0)</f>
        <v>631.50099999999998</v>
      </c>
      <c r="F28" s="2">
        <f t="shared" si="0"/>
        <v>635.0318251624675</v>
      </c>
      <c r="G28" s="4">
        <f t="shared" si="1"/>
        <v>5.5911632166338963E-3</v>
      </c>
      <c r="H28" s="3">
        <f>VLOOKUP(A28,Elec_Access_base!$A$5:$BH$270,60,0)/100</f>
        <v>4.8000000000000001E-2</v>
      </c>
      <c r="I28" s="2">
        <f>VLOOKUP(A28,Data!$A$2:$I$126,9,0)</f>
        <v>842</v>
      </c>
      <c r="J28" s="2">
        <f t="shared" si="2"/>
        <v>21.010364367827382</v>
      </c>
      <c r="K28" s="5"/>
      <c r="L28" s="6"/>
      <c r="M28" s="4"/>
      <c r="N28" s="4"/>
    </row>
    <row r="29" spans="1:14" x14ac:dyDescent="0.3">
      <c r="A29" t="s">
        <v>216</v>
      </c>
      <c r="B29" t="str">
        <f>VLOOKUP(A29,Data!$A$1:$B$126,2,0)</f>
        <v>tgo</v>
      </c>
      <c r="C29" s="2">
        <f>VLOOKUP(A29,POP_base!$C$2:$T$201,17,0)*10^6</f>
        <v>7379935.0000000009</v>
      </c>
      <c r="D29" s="2">
        <f>VLOOKUP(A29,GDP_PPP_base!$C$2:$N$193,11,0)*10^9</f>
        <v>14069000000</v>
      </c>
      <c r="E29" s="2">
        <f>VLOOKUP(A29,INC_PPP_base!$C$2:$N$193,11,0)</f>
        <v>1882.59</v>
      </c>
      <c r="F29" s="2">
        <f t="shared" si="0"/>
        <v>1906.3853543425516</v>
      </c>
      <c r="G29" s="4">
        <f t="shared" si="1"/>
        <v>1.2639690183498116E-2</v>
      </c>
      <c r="H29" s="3">
        <f>VLOOKUP(A29,Elec_Access_base!$A$5:$BH$270,60,0)/100</f>
        <v>0.44700000000000001</v>
      </c>
      <c r="I29" s="2">
        <f>VLOOKUP(A29,Data!$A$2:$I$126,9,0)</f>
        <v>2037</v>
      </c>
      <c r="J29" s="2">
        <f t="shared" si="2"/>
        <v>76.671858672648654</v>
      </c>
      <c r="K29" s="5"/>
      <c r="L29" s="6"/>
      <c r="M29" s="4"/>
      <c r="N29" s="4"/>
    </row>
    <row r="30" spans="1:14" x14ac:dyDescent="0.3">
      <c r="A30" t="s">
        <v>133</v>
      </c>
      <c r="B30" t="str">
        <f>VLOOKUP(A30,Data!$A$1:$B$126,2,0)</f>
        <v>lby</v>
      </c>
      <c r="C30" s="2">
        <f>VLOOKUP(A30,POP_base!$C$2:$T$201,17,0)*10^6</f>
        <v>6147163</v>
      </c>
      <c r="D30" s="2">
        <f>VLOOKUP(A30,GDP_PPP_base!$C$2:$N$193,11,0)*10^9</f>
        <v>118327000000</v>
      </c>
      <c r="E30" s="2">
        <f>VLOOKUP(A30,INC_PPP_base!$C$2:$N$193,11,0)</f>
        <v>19108.900000000001</v>
      </c>
      <c r="F30" s="2">
        <f t="shared" si="0"/>
        <v>19249.042200442709</v>
      </c>
      <c r="G30" s="4">
        <f t="shared" si="1"/>
        <v>7.3338706279643352E-3</v>
      </c>
      <c r="H30" s="3">
        <f>VLOOKUP(A30,Elec_Access_base!$A$5:$BH$270,60,0)/100</f>
        <v>0.73799999999999999</v>
      </c>
      <c r="I30" s="2">
        <f>VLOOKUP(A30,Data!$A$2:$I$126,9,0)</f>
        <v>24894</v>
      </c>
      <c r="J30" s="2">
        <f t="shared" si="2"/>
        <v>1124.9091654150052</v>
      </c>
      <c r="K30" s="5"/>
      <c r="L30" s="6"/>
      <c r="M30" s="4"/>
      <c r="N30" s="4"/>
    </row>
    <row r="31" spans="1:14" x14ac:dyDescent="0.3">
      <c r="A31" t="s">
        <v>744</v>
      </c>
      <c r="B31" t="str">
        <f>VLOOKUP(A31,Data!$A$1:$B$126,2,0)</f>
        <v>cog</v>
      </c>
      <c r="C31" s="2">
        <f>VLOOKUP(A31,POP_base!$C$2:$T$201,17,0)*10^6</f>
        <v>5003857</v>
      </c>
      <c r="D31" s="2">
        <f>VLOOKUP(A31,GDP_PPP_base!$C$2:$N$193,11,0)*10^9</f>
        <v>25738300000</v>
      </c>
      <c r="E31" s="2">
        <f>VLOOKUP(A31,INC_PPP_base!$C$2:$N$193,11,0)</f>
        <v>5082.22</v>
      </c>
      <c r="F31" s="2">
        <f t="shared" si="0"/>
        <v>5143.692155870961</v>
      </c>
      <c r="G31" s="4">
        <f t="shared" si="1"/>
        <v>1.2095532242004617E-2</v>
      </c>
      <c r="H31" s="3">
        <f>VLOOKUP(A31,Elec_Access_base!$A$5:$BH$270,60,0)/100</f>
        <v>0.44299999999999995</v>
      </c>
      <c r="I31" s="2">
        <f>VLOOKUP(A31,Data!$A$2:$I$126,9,0)</f>
        <v>2318</v>
      </c>
      <c r="J31" s="2">
        <f t="shared" si="2"/>
        <v>128.67851517117472</v>
      </c>
      <c r="K31" s="5"/>
      <c r="L31" s="6"/>
      <c r="M31" s="4"/>
      <c r="N31" s="4"/>
    </row>
    <row r="32" spans="1:14" x14ac:dyDescent="0.3">
      <c r="A32" s="10" t="s">
        <v>417</v>
      </c>
      <c r="B32" t="str">
        <f>VLOOKUP(A32,Data!$A$1:$B$126,2,0)</f>
        <v>eri</v>
      </c>
      <c r="C32" s="2">
        <f>VLOOKUP(A32,POP_base!$C$2:$T$201,17,0)*10^6</f>
        <v>3326537</v>
      </c>
      <c r="D32" s="2">
        <f>VLOOKUP(A32,GDP_PPP_base!$C$2:$N$193,11,0)*10^9</f>
        <v>5429520000</v>
      </c>
      <c r="E32" s="2">
        <f>VLOOKUP(A32,INC_PPP_base!$C$2:$N$193,11,0)</f>
        <v>1625.6</v>
      </c>
      <c r="F32" s="2">
        <f t="shared" si="0"/>
        <v>1632.1838596714842</v>
      </c>
      <c r="G32" s="4">
        <f t="shared" si="1"/>
        <v>4.050110526257587E-3</v>
      </c>
      <c r="H32" s="3">
        <f>VLOOKUP(A32,Elec_Access_base!$A$5:$BH$270,60,0)/100</f>
        <v>0.45799999999999996</v>
      </c>
      <c r="I32" s="2">
        <f>VLOOKUP(A32,Data!$A$2:$I$126,9,0)</f>
        <v>417</v>
      </c>
      <c r="J32" s="2">
        <f t="shared" si="2"/>
        <v>34.820996529824662</v>
      </c>
      <c r="K32" s="5"/>
      <c r="L32" s="6"/>
      <c r="M32" s="4"/>
      <c r="N32" s="4"/>
    </row>
    <row r="33" spans="1:14" x14ac:dyDescent="0.3">
      <c r="A33" t="s">
        <v>162</v>
      </c>
      <c r="B33" t="str">
        <f>VLOOKUP(A33,Data!$A$1:$B$126,2,0)</f>
        <v>nam</v>
      </c>
      <c r="C33" s="2">
        <f>VLOOKUP(A33,POP_base!$C$2:$T$201,17,0)*10^6</f>
        <v>2262622</v>
      </c>
      <c r="D33" s="2">
        <f>VLOOKUP(A33,GDP_PPP_base!$C$2:$N$193,11,0)*10^9</f>
        <v>24683300000</v>
      </c>
      <c r="E33" s="2">
        <f>VLOOKUP(A33,INC_PPP_base!$C$2:$N$193,11,0)</f>
        <v>10813.2</v>
      </c>
      <c r="F33" s="2">
        <f t="shared" si="0"/>
        <v>10909.157605645132</v>
      </c>
      <c r="G33" s="4">
        <f t="shared" si="1"/>
        <v>8.8741173422420255E-3</v>
      </c>
      <c r="H33" s="3">
        <f>VLOOKUP(A33,Elec_Access_base!$A$5:$BH$270,60,0)/100</f>
        <v>0.51600000000000001</v>
      </c>
      <c r="I33" s="2">
        <f>VLOOKUP(A33,Data!$A$2:$I$126,9,0)</f>
        <v>3283</v>
      </c>
      <c r="J33" s="2">
        <f t="shared" si="2"/>
        <v>403.0476343129539</v>
      </c>
      <c r="K33" s="5"/>
      <c r="L33" s="6"/>
      <c r="M33" s="4"/>
      <c r="N33" s="4"/>
    </row>
    <row r="34" spans="1:14" x14ac:dyDescent="0.3">
      <c r="A34" t="s">
        <v>82</v>
      </c>
      <c r="B34" t="str">
        <f>VLOOKUP(A34,Data!$A$1:$B$126,2,0)</f>
        <v>gab</v>
      </c>
      <c r="C34" s="2">
        <f>VLOOKUP(A34,POP_base!$C$2:$T$201,17,0)*10^6</f>
        <v>1998607</v>
      </c>
      <c r="D34" s="2">
        <f>VLOOKUP(A34,GDP_PPP_base!$C$2:$N$193,11,0)*10^9</f>
        <v>30209400000</v>
      </c>
      <c r="E34" s="2">
        <f>VLOOKUP(A34,INC_PPP_base!$C$2:$N$193,11,0)</f>
        <v>14892.3</v>
      </c>
      <c r="F34" s="2">
        <f t="shared" si="0"/>
        <v>15115.227756132146</v>
      </c>
      <c r="G34" s="4">
        <f t="shared" si="1"/>
        <v>1.4969330199643232E-2</v>
      </c>
      <c r="H34" s="3">
        <f>VLOOKUP(A34,Elec_Access_base!$A$5:$BH$270,60,0)/100</f>
        <v>0.873</v>
      </c>
      <c r="I34" s="2">
        <f>VLOOKUP(A34,Data!$A$2:$I$126,9,0)</f>
        <v>3398</v>
      </c>
      <c r="J34" s="2">
        <f t="shared" si="2"/>
        <v>472.27338285560336</v>
      </c>
      <c r="K34" s="5"/>
      <c r="L34" s="6"/>
      <c r="M34" s="4"/>
      <c r="N34" s="4"/>
    </row>
    <row r="35" spans="1:14" x14ac:dyDescent="0.3">
      <c r="A35" t="s">
        <v>37</v>
      </c>
      <c r="B35" t="str">
        <f>VLOOKUP(A35,Data!$A$1:$B$126,2,0)</f>
        <v>bwa</v>
      </c>
      <c r="C35" s="2">
        <f>VLOOKUP(A35,POP_base!$C$2:$T$201,17,0)*10^6</f>
        <v>2282237.0000000005</v>
      </c>
      <c r="D35" s="2">
        <f>VLOOKUP(A35,GDP_PPP_base!$C$2:$N$193,11,0)*10^9</f>
        <v>31540800000</v>
      </c>
      <c r="E35" s="2">
        <f>VLOOKUP(A35,INC_PPP_base!$C$2:$N$193,11,0)</f>
        <v>13682.6</v>
      </c>
      <c r="F35" s="2">
        <f t="shared" si="0"/>
        <v>13820.124728501025</v>
      </c>
      <c r="G35" s="4">
        <f t="shared" si="1"/>
        <v>1.0051066939106937E-2</v>
      </c>
      <c r="H35" s="3">
        <f>VLOOKUP(A35,Elec_Access_base!$A$5:$BH$270,60,0)/100</f>
        <v>0.621</v>
      </c>
      <c r="I35" s="2">
        <f>VLOOKUP(A35,Data!$A$2:$I$126,9,0)</f>
        <v>3387</v>
      </c>
      <c r="J35" s="2">
        <f t="shared" si="2"/>
        <v>412.24173183299246</v>
      </c>
      <c r="K35" s="5"/>
      <c r="L35" s="6"/>
      <c r="M35" s="4"/>
      <c r="N35" s="4"/>
    </row>
    <row r="36" spans="1:14" x14ac:dyDescent="0.3">
      <c r="A36" s="10" t="s">
        <v>446</v>
      </c>
      <c r="B36" t="str">
        <f>VLOOKUP(A36,Data!$A$1:$B$126,2,0)</f>
        <v>gnq</v>
      </c>
      <c r="C36" s="2">
        <f>VLOOKUP(A36,POP_base!$C$2:$T$201,17,0)*10^6</f>
        <v>1320986.0000000002</v>
      </c>
      <c r="D36" s="2">
        <f>VLOOKUP(A36,GDP_PPP_base!$C$2:$N$193,11,0)*10^9</f>
        <v>33085800000</v>
      </c>
      <c r="E36" s="2">
        <f>VLOOKUP(A36,INC_PPP_base!$C$2:$N$193,11,0)</f>
        <v>24563.1</v>
      </c>
      <c r="F36" s="2">
        <f t="shared" si="0"/>
        <v>25046.291179467455</v>
      </c>
      <c r="G36" s="4">
        <f t="shared" si="1"/>
        <v>1.9671425002033789E-2</v>
      </c>
      <c r="H36" s="3">
        <f>VLOOKUP(A36,Elec_Access_base!$A$5:$BH$270,60,0)/100</f>
        <v>0.66099999999999992</v>
      </c>
      <c r="I36" s="2">
        <f>VLOOKUP(A36,Data!$A$2:$I$126,9,0)</f>
        <v>1443</v>
      </c>
      <c r="J36" s="2">
        <f t="shared" si="2"/>
        <v>303.43495944191176</v>
      </c>
      <c r="K36" s="5"/>
      <c r="L36" s="6"/>
      <c r="M36" s="4"/>
      <c r="N36" s="4"/>
    </row>
    <row r="37" spans="1:14" x14ac:dyDescent="0.3">
      <c r="A37" s="10" t="s">
        <v>159</v>
      </c>
      <c r="B37" t="str">
        <f>VLOOKUP(A37,Data!$A$1:$B$126,2,0)</f>
        <v>mus</v>
      </c>
      <c r="C37" s="2">
        <f>VLOOKUP(A37,POP_base!$C$2:$T$201,17,0)*10^6</f>
        <v>1292800</v>
      </c>
      <c r="D37" s="2">
        <f>VLOOKUP(A37,GDP_PPP_base!$C$2:$N$193,11,0)*10^9</f>
        <v>25945700000</v>
      </c>
      <c r="E37" s="2">
        <f>VLOOKUP(A37,INC_PPP_base!$C$2:$N$193,11,0)</f>
        <v>20063.8</v>
      </c>
      <c r="F37" s="2">
        <f t="shared" si="0"/>
        <v>20069.384282178216</v>
      </c>
      <c r="G37" s="4">
        <f t="shared" si="1"/>
        <v>2.7832624817916392E-4</v>
      </c>
      <c r="H37" s="3">
        <f>VLOOKUP(A37,Elec_Access_base!$A$5:$BH$270,60,0)/100</f>
        <v>0.996</v>
      </c>
      <c r="I37" s="2">
        <f>VLOOKUP(A37,Data!$A$2:$I$126,9,0)</f>
        <v>2991</v>
      </c>
      <c r="J37" s="2">
        <f t="shared" si="2"/>
        <v>642.6619224422443</v>
      </c>
      <c r="K37" s="5"/>
      <c r="L37" s="6"/>
      <c r="M37" s="4"/>
      <c r="N37" s="4"/>
    </row>
    <row r="38" spans="1:14" x14ac:dyDescent="0.3">
      <c r="A38" s="10" t="s">
        <v>648</v>
      </c>
      <c r="B38" t="str">
        <f>VLOOKUP(A38,Data!$A$1:$B$126,2,0)</f>
        <v>swz</v>
      </c>
      <c r="C38" s="2">
        <f>VLOOKUP(A38,POP_base!$C$2:$T$201,17,0)*10^6</f>
        <v>1129754</v>
      </c>
      <c r="D38" s="2">
        <f>VLOOKUP(A38,GDP_PPP_base!$C$2:$N$193,11,0)*10^9</f>
        <v>9171850000</v>
      </c>
      <c r="E38" s="2">
        <f>VLOOKUP(A38,INC_PPP_base!$C$2:$N$193,11,0)</f>
        <v>8088.51</v>
      </c>
      <c r="F38" s="2">
        <f t="shared" si="0"/>
        <v>8118.4487950474177</v>
      </c>
      <c r="G38" s="4">
        <f t="shared" si="1"/>
        <v>3.7013980383800529E-3</v>
      </c>
      <c r="H38" s="3">
        <f>VLOOKUP(A38,Elec_Access_base!$A$5:$BH$270,60,0)/100</f>
        <v>0.6409999999999999</v>
      </c>
      <c r="I38" s="2">
        <f>VLOOKUP(A38,Data!$A$2:$I$126,9,0)</f>
        <v>1324</v>
      </c>
      <c r="J38" s="2">
        <f t="shared" si="2"/>
        <v>325.53792929945615</v>
      </c>
      <c r="K38" s="5"/>
      <c r="L38" s="6"/>
      <c r="M38" s="4"/>
      <c r="N38" s="4"/>
    </row>
    <row r="39" spans="1:14" x14ac:dyDescent="0.3">
      <c r="C39" s="2"/>
      <c r="D39" s="2"/>
      <c r="E39" s="2"/>
      <c r="F39" s="2"/>
      <c r="G39" s="4"/>
      <c r="H39" s="3"/>
      <c r="I39" s="2"/>
      <c r="J39" s="2"/>
      <c r="K39" s="5"/>
      <c r="L39" s="6"/>
      <c r="M39" s="4"/>
      <c r="N39" s="4"/>
    </row>
    <row r="40" spans="1:14" x14ac:dyDescent="0.3">
      <c r="C40" s="2"/>
      <c r="D40" s="2"/>
      <c r="E40" s="2"/>
      <c r="F40" s="2"/>
      <c r="G40" s="4"/>
      <c r="H40" s="3"/>
      <c r="I40" s="2"/>
      <c r="J40" s="2"/>
      <c r="K40" s="5"/>
      <c r="L40" s="6"/>
      <c r="M40" s="4"/>
      <c r="N40" s="4"/>
    </row>
    <row r="41" spans="1:14" x14ac:dyDescent="0.3">
      <c r="C41" s="2"/>
      <c r="D41" s="2"/>
      <c r="E41" s="2"/>
      <c r="F41" s="2"/>
      <c r="G41" s="4"/>
      <c r="H41" s="3"/>
      <c r="I41" s="2"/>
      <c r="J41" s="2"/>
      <c r="K41" s="5"/>
      <c r="L41" s="6"/>
      <c r="M41" s="4"/>
      <c r="N41" s="4"/>
    </row>
    <row r="42" spans="1:14" x14ac:dyDescent="0.3">
      <c r="C42" s="2"/>
      <c r="D42" s="2"/>
      <c r="E42" s="2"/>
      <c r="F42" s="2"/>
      <c r="G42" s="4"/>
      <c r="H42" s="3"/>
      <c r="I42" s="2"/>
      <c r="J42" s="2"/>
      <c r="K42" s="5"/>
      <c r="L42" s="6"/>
      <c r="M42" s="4"/>
      <c r="N42" s="4"/>
    </row>
    <row r="43" spans="1:14" x14ac:dyDescent="0.3">
      <c r="C43" s="2"/>
      <c r="D43" s="2"/>
      <c r="E43" s="2"/>
      <c r="F43" s="2"/>
      <c r="G43" s="4"/>
      <c r="H43" s="3"/>
      <c r="I43" s="2"/>
      <c r="J43" s="2"/>
      <c r="K43" s="5"/>
      <c r="L43" s="6"/>
      <c r="M43" s="4"/>
      <c r="N43" s="4"/>
    </row>
    <row r="44" spans="1:14" x14ac:dyDescent="0.3">
      <c r="C44" s="2"/>
      <c r="D44" s="2"/>
      <c r="E44" s="2"/>
      <c r="F44" s="2"/>
      <c r="G44" s="4"/>
      <c r="H44" s="3"/>
      <c r="I44" s="2"/>
      <c r="J44" s="2"/>
      <c r="K44" s="5"/>
      <c r="L44" s="6"/>
      <c r="M44" s="4"/>
      <c r="N44" s="4"/>
    </row>
    <row r="45" spans="1:14" x14ac:dyDescent="0.3">
      <c r="C45" s="2"/>
      <c r="D45" s="2"/>
      <c r="E45" s="2"/>
      <c r="F45" s="2"/>
      <c r="G45" s="4"/>
      <c r="H45" s="3"/>
      <c r="I45" s="2"/>
      <c r="J45" s="2"/>
      <c r="K45" s="5"/>
      <c r="L45" s="6"/>
      <c r="M45" s="4"/>
      <c r="N45" s="4"/>
    </row>
    <row r="46" spans="1:14" x14ac:dyDescent="0.3">
      <c r="C46" s="2"/>
      <c r="D46" s="2"/>
      <c r="E46" s="2"/>
      <c r="F46" s="2"/>
      <c r="G46" s="4"/>
      <c r="H46" s="3"/>
      <c r="I46" s="2"/>
      <c r="J46" s="2"/>
      <c r="K46" s="5"/>
      <c r="L46" s="6"/>
      <c r="M46" s="4"/>
      <c r="N46" s="4"/>
    </row>
    <row r="47" spans="1:14" x14ac:dyDescent="0.3">
      <c r="C47" s="2"/>
      <c r="D47" s="2"/>
      <c r="E47" s="2"/>
      <c r="F47" s="2"/>
      <c r="G47" s="4"/>
      <c r="H47" s="3"/>
      <c r="I47" s="2"/>
      <c r="J47" s="2"/>
      <c r="K47" s="5"/>
      <c r="L47" s="6"/>
      <c r="M47" s="4"/>
      <c r="N47" s="4"/>
    </row>
    <row r="48" spans="1:14" x14ac:dyDescent="0.3">
      <c r="C48" s="2"/>
      <c r="D48" s="2"/>
      <c r="E48" s="2"/>
      <c r="F48" s="2"/>
      <c r="G48" s="4"/>
      <c r="H48" s="3"/>
      <c r="I48" s="2"/>
      <c r="J48" s="2"/>
      <c r="K48" s="5"/>
      <c r="L48" s="6"/>
      <c r="M48" s="4"/>
      <c r="N48" s="4"/>
    </row>
    <row r="49" spans="3:14" x14ac:dyDescent="0.3">
      <c r="C49" s="2"/>
      <c r="D49" s="2"/>
      <c r="E49" s="2"/>
      <c r="F49" s="2"/>
      <c r="G49" s="4"/>
      <c r="H49" s="3"/>
      <c r="I49" s="2"/>
      <c r="J49" s="2"/>
      <c r="K49" s="5"/>
      <c r="L49" s="6"/>
      <c r="M49" s="4"/>
      <c r="N49" s="4"/>
    </row>
    <row r="50" spans="3:14" x14ac:dyDescent="0.3">
      <c r="C50" s="2"/>
      <c r="D50" s="2"/>
      <c r="E50" s="2"/>
      <c r="F50" s="2"/>
      <c r="G50" s="4"/>
      <c r="H50" s="3"/>
      <c r="I50" s="2"/>
      <c r="J50" s="2"/>
      <c r="K50" s="5"/>
      <c r="L50" s="6"/>
      <c r="M50" s="4"/>
      <c r="N50" s="4"/>
    </row>
    <row r="51" spans="3:14" x14ac:dyDescent="0.3">
      <c r="C51" s="2"/>
      <c r="D51" s="2"/>
      <c r="E51" s="2"/>
      <c r="F51" s="2"/>
      <c r="G51" s="4"/>
      <c r="H51" s="3"/>
      <c r="I51" s="2"/>
      <c r="J51" s="2"/>
      <c r="K51" s="5"/>
      <c r="L51" s="6"/>
      <c r="M51" s="4"/>
      <c r="N51" s="4"/>
    </row>
    <row r="52" spans="3:14" x14ac:dyDescent="0.3">
      <c r="C52" s="2"/>
      <c r="D52" s="2"/>
      <c r="E52" s="2"/>
      <c r="F52" s="2"/>
      <c r="G52" s="4"/>
      <c r="H52" s="3"/>
      <c r="I52" s="2"/>
      <c r="J52" s="2"/>
      <c r="K52" s="5"/>
      <c r="L52" s="6"/>
      <c r="M52" s="4"/>
      <c r="N52" s="4"/>
    </row>
    <row r="53" spans="3:14" x14ac:dyDescent="0.3">
      <c r="C53" s="2"/>
      <c r="D53" s="2"/>
      <c r="E53" s="2"/>
      <c r="F53" s="2"/>
      <c r="G53" s="4"/>
      <c r="H53" s="3"/>
      <c r="I53" s="2"/>
      <c r="J53" s="2"/>
      <c r="K53" s="5"/>
      <c r="L53" s="6"/>
      <c r="M53" s="4"/>
      <c r="N53" s="4"/>
    </row>
    <row r="54" spans="3:14" x14ac:dyDescent="0.3">
      <c r="C54" s="2"/>
      <c r="D54" s="2"/>
      <c r="E54" s="2"/>
      <c r="F54" s="2"/>
      <c r="G54" s="4"/>
      <c r="H54" s="3"/>
      <c r="I54" s="2"/>
      <c r="J54" s="2"/>
      <c r="K54" s="5"/>
      <c r="L54" s="6"/>
      <c r="M54" s="4"/>
      <c r="N54" s="4"/>
    </row>
    <row r="55" spans="3:14" x14ac:dyDescent="0.3">
      <c r="C55" s="2"/>
      <c r="D55" s="2"/>
      <c r="E55" s="2"/>
      <c r="F55" s="2"/>
      <c r="G55" s="4"/>
      <c r="H55" s="3"/>
      <c r="I55" s="2"/>
      <c r="J55" s="2"/>
      <c r="K55" s="5"/>
      <c r="L55" s="6"/>
      <c r="M55" s="4"/>
      <c r="N55" s="4"/>
    </row>
    <row r="56" spans="3:14" x14ac:dyDescent="0.3">
      <c r="C56" s="2"/>
      <c r="D56" s="2"/>
      <c r="E56" s="2"/>
      <c r="F56" s="2"/>
      <c r="G56" s="4"/>
      <c r="H56" s="3"/>
      <c r="I56" s="2"/>
      <c r="J56" s="2"/>
      <c r="K56" s="5"/>
      <c r="L56" s="6"/>
      <c r="M56" s="4"/>
      <c r="N56" s="4"/>
    </row>
    <row r="57" spans="3:14" x14ac:dyDescent="0.3">
      <c r="C57" s="2"/>
      <c r="D57" s="2"/>
      <c r="E57" s="2"/>
      <c r="F57" s="2"/>
      <c r="G57" s="4"/>
      <c r="H57" s="3"/>
      <c r="I57" s="2"/>
      <c r="J57" s="2"/>
      <c r="K57" s="5"/>
      <c r="L57" s="6"/>
      <c r="M57" s="4"/>
      <c r="N57" s="4"/>
    </row>
    <row r="58" spans="3:14" x14ac:dyDescent="0.3">
      <c r="C58" s="2"/>
      <c r="D58" s="2"/>
      <c r="E58" s="2"/>
      <c r="F58" s="2"/>
      <c r="G58" s="4"/>
      <c r="H58" s="3"/>
      <c r="I58" s="2"/>
      <c r="J58" s="2"/>
      <c r="K58" s="5"/>
      <c r="L58" s="6"/>
      <c r="M58" s="4"/>
      <c r="N58" s="4"/>
    </row>
    <row r="59" spans="3:14" x14ac:dyDescent="0.3">
      <c r="C59" s="2"/>
      <c r="D59" s="2"/>
      <c r="E59" s="2"/>
      <c r="F59" s="2"/>
      <c r="G59" s="4"/>
      <c r="H59" s="3"/>
      <c r="I59" s="2"/>
      <c r="J59" s="2"/>
      <c r="K59" s="5"/>
      <c r="L59" s="6"/>
      <c r="M59" s="4"/>
      <c r="N59" s="4"/>
    </row>
    <row r="60" spans="3:14" x14ac:dyDescent="0.3">
      <c r="C60" s="2"/>
      <c r="D60" s="2"/>
      <c r="E60" s="2"/>
      <c r="F60" s="2"/>
      <c r="G60" s="4"/>
      <c r="H60" s="3"/>
      <c r="I60" s="2"/>
      <c r="J60" s="2"/>
      <c r="K60" s="5"/>
      <c r="L60" s="6"/>
      <c r="M60" s="4"/>
      <c r="N60" s="4"/>
    </row>
    <row r="61" spans="3:14" x14ac:dyDescent="0.3">
      <c r="C61" s="2"/>
      <c r="D61" s="2"/>
      <c r="E61" s="2"/>
      <c r="F61" s="2"/>
      <c r="G61" s="4"/>
      <c r="H61" s="3"/>
      <c r="I61" s="2"/>
      <c r="J61" s="2"/>
      <c r="K61" s="5"/>
      <c r="L61" s="6"/>
      <c r="M61" s="4"/>
      <c r="N61" s="4"/>
    </row>
    <row r="62" spans="3:14" x14ac:dyDescent="0.3">
      <c r="C62" s="2"/>
      <c r="D62" s="2"/>
      <c r="E62" s="2"/>
      <c r="F62" s="2"/>
      <c r="G62" s="4"/>
      <c r="H62" s="3"/>
      <c r="I62" s="2"/>
      <c r="J62" s="2"/>
      <c r="K62" s="5"/>
      <c r="L62" s="6"/>
      <c r="M62" s="4"/>
      <c r="N62" s="4"/>
    </row>
    <row r="63" spans="3:14" x14ac:dyDescent="0.3">
      <c r="C63" s="2"/>
      <c r="D63" s="2"/>
      <c r="E63" s="2"/>
      <c r="F63" s="2"/>
      <c r="G63" s="4"/>
      <c r="H63" s="3"/>
      <c r="I63" s="2"/>
      <c r="J63" s="2"/>
      <c r="K63" s="5"/>
      <c r="L63" s="6"/>
      <c r="M63" s="4"/>
      <c r="N63" s="4"/>
    </row>
    <row r="64" spans="3:14" x14ac:dyDescent="0.3">
      <c r="C64" s="2"/>
      <c r="D64" s="2"/>
      <c r="E64" s="2"/>
      <c r="F64" s="2"/>
      <c r="G64" s="4"/>
      <c r="H64" s="3"/>
      <c r="I64" s="2"/>
      <c r="J64" s="2"/>
      <c r="K64" s="5"/>
      <c r="L64" s="6"/>
      <c r="M64" s="4"/>
      <c r="N64" s="4"/>
    </row>
    <row r="65" spans="3:14" x14ac:dyDescent="0.3">
      <c r="C65" s="2"/>
      <c r="D65" s="2"/>
      <c r="E65" s="2"/>
      <c r="F65" s="2"/>
      <c r="G65" s="4"/>
      <c r="H65" s="3"/>
      <c r="I65" s="2"/>
      <c r="J65" s="2"/>
      <c r="K65" s="5"/>
      <c r="L65" s="6"/>
      <c r="M65" s="4"/>
      <c r="N65" s="4"/>
    </row>
    <row r="66" spans="3:14" x14ac:dyDescent="0.3">
      <c r="C66" s="2"/>
      <c r="D66" s="2"/>
      <c r="E66" s="2"/>
      <c r="F66" s="2"/>
      <c r="G66" s="4"/>
      <c r="H66" s="3"/>
      <c r="I66" s="2"/>
      <c r="J66" s="2"/>
      <c r="K66" s="5"/>
      <c r="L66" s="6"/>
      <c r="M66" s="4"/>
      <c r="N66" s="4"/>
    </row>
    <row r="67" spans="3:14" x14ac:dyDescent="0.3">
      <c r="C67" s="2"/>
      <c r="D67" s="2"/>
      <c r="E67" s="2"/>
      <c r="F67" s="2"/>
      <c r="G67" s="4"/>
      <c r="H67" s="3"/>
      <c r="I67" s="2"/>
      <c r="J67" s="2"/>
      <c r="K67" s="5"/>
      <c r="L67" s="6"/>
      <c r="M67" s="4"/>
      <c r="N67" s="4"/>
    </row>
    <row r="68" spans="3:14" x14ac:dyDescent="0.3">
      <c r="C68" s="2"/>
      <c r="D68" s="2"/>
      <c r="E68" s="2"/>
      <c r="F68" s="2"/>
      <c r="G68" s="4"/>
      <c r="H68" s="3"/>
      <c r="I68" s="2"/>
      <c r="J68" s="2"/>
      <c r="K68" s="5"/>
      <c r="L68" s="6"/>
      <c r="M68" s="4"/>
      <c r="N68" s="4"/>
    </row>
    <row r="69" spans="3:14" x14ac:dyDescent="0.3">
      <c r="C69" s="2"/>
      <c r="D69" s="2"/>
      <c r="E69" s="2"/>
      <c r="F69" s="2"/>
      <c r="G69" s="4"/>
      <c r="H69" s="3"/>
      <c r="I69" s="2"/>
      <c r="J69" s="2"/>
      <c r="K69" s="5"/>
      <c r="L69" s="6"/>
      <c r="M69" s="4"/>
      <c r="N69" s="4"/>
    </row>
    <row r="70" spans="3:14" x14ac:dyDescent="0.3">
      <c r="C70" s="2"/>
      <c r="D70" s="2"/>
      <c r="E70" s="2"/>
      <c r="F70" s="2"/>
      <c r="G70" s="4"/>
      <c r="H70" s="3"/>
      <c r="I70" s="2"/>
      <c r="J70" s="2"/>
      <c r="K70" s="5"/>
      <c r="L70" s="6"/>
      <c r="M70" s="4"/>
      <c r="N70" s="4"/>
    </row>
    <row r="71" spans="3:14" x14ac:dyDescent="0.3">
      <c r="C71" s="2"/>
      <c r="D71" s="2"/>
      <c r="E71" s="2"/>
      <c r="F71" s="2"/>
      <c r="G71" s="4"/>
      <c r="H71" s="3"/>
      <c r="I71" s="2"/>
      <c r="J71" s="2"/>
      <c r="K71" s="5"/>
      <c r="L71" s="6"/>
      <c r="M71" s="4"/>
      <c r="N71" s="4"/>
    </row>
    <row r="72" spans="3:14" x14ac:dyDescent="0.3">
      <c r="C72" s="2"/>
      <c r="D72" s="2"/>
      <c r="E72" s="2"/>
      <c r="F72" s="2"/>
      <c r="G72" s="4"/>
      <c r="H72" s="3"/>
      <c r="I72" s="2"/>
      <c r="J72" s="2"/>
      <c r="K72" s="5"/>
      <c r="L72" s="6"/>
      <c r="M72" s="4"/>
      <c r="N72" s="4"/>
    </row>
    <row r="73" spans="3:14" x14ac:dyDescent="0.3">
      <c r="C73" s="2"/>
      <c r="D73" s="2"/>
      <c r="E73" s="2"/>
      <c r="F73" s="2"/>
      <c r="G73" s="4"/>
      <c r="H73" s="3"/>
      <c r="I73" s="2"/>
      <c r="J73" s="2"/>
      <c r="K73" s="5"/>
      <c r="L73" s="6"/>
      <c r="M73" s="4"/>
      <c r="N73" s="4"/>
    </row>
    <row r="74" spans="3:14" x14ac:dyDescent="0.3">
      <c r="C74" s="2"/>
      <c r="D74" s="2"/>
      <c r="E74" s="2"/>
      <c r="F74" s="2"/>
      <c r="G74" s="4"/>
      <c r="H74" s="3"/>
      <c r="I74" s="2"/>
      <c r="J74" s="2"/>
      <c r="K74" s="5"/>
      <c r="L74" s="6"/>
      <c r="M74" s="4"/>
      <c r="N74" s="4"/>
    </row>
    <row r="75" spans="3:14" x14ac:dyDescent="0.3">
      <c r="C75" s="2"/>
      <c r="D75" s="2"/>
      <c r="E75" s="2"/>
      <c r="F75" s="2"/>
      <c r="G75" s="4"/>
      <c r="H75" s="3"/>
      <c r="I75" s="2"/>
      <c r="J75" s="2"/>
      <c r="K75" s="5"/>
      <c r="L75" s="6"/>
      <c r="M75" s="4"/>
      <c r="N75" s="4"/>
    </row>
    <row r="76" spans="3:14" x14ac:dyDescent="0.3">
      <c r="C76" s="2"/>
      <c r="D76" s="2"/>
      <c r="E76" s="2"/>
      <c r="F76" s="2"/>
      <c r="G76" s="4"/>
      <c r="H76" s="3"/>
      <c r="I76" s="2"/>
      <c r="J76" s="2"/>
      <c r="K76" s="5"/>
      <c r="L76" s="6"/>
      <c r="M76" s="4"/>
      <c r="N76" s="4"/>
    </row>
    <row r="77" spans="3:14" x14ac:dyDescent="0.3">
      <c r="C77" s="2"/>
      <c r="D77" s="2"/>
      <c r="E77" s="2"/>
      <c r="F77" s="2"/>
      <c r="G77" s="4"/>
      <c r="H77" s="3"/>
      <c r="I77" s="2"/>
      <c r="J77" s="2"/>
      <c r="K77" s="5"/>
      <c r="L77" s="6"/>
      <c r="M77" s="4"/>
      <c r="N77" s="4"/>
    </row>
    <row r="78" spans="3:14" x14ac:dyDescent="0.3">
      <c r="C78" s="2"/>
      <c r="D78" s="2"/>
      <c r="E78" s="2"/>
      <c r="F78" s="2"/>
      <c r="G78" s="4"/>
      <c r="H78" s="3"/>
      <c r="I78" s="2"/>
      <c r="J78" s="2"/>
      <c r="K78" s="5"/>
      <c r="L78" s="6"/>
      <c r="M78" s="4"/>
      <c r="N78" s="4"/>
    </row>
    <row r="79" spans="3:14" x14ac:dyDescent="0.3">
      <c r="C79" s="2"/>
      <c r="D79" s="2"/>
      <c r="E79" s="2"/>
      <c r="F79" s="2"/>
      <c r="G79" s="4"/>
      <c r="H79" s="3"/>
      <c r="I79" s="2"/>
      <c r="J79" s="2"/>
      <c r="K79" s="5"/>
      <c r="L79" s="6"/>
      <c r="M79" s="4"/>
      <c r="N79" s="4"/>
    </row>
    <row r="80" spans="3:14" x14ac:dyDescent="0.3">
      <c r="C80" s="2"/>
      <c r="D80" s="2"/>
      <c r="E80" s="2"/>
      <c r="F80" s="2"/>
      <c r="G80" s="4"/>
      <c r="H80" s="3"/>
      <c r="I80" s="2"/>
      <c r="J80" s="2"/>
      <c r="K80" s="5"/>
      <c r="L80" s="6"/>
      <c r="M80" s="4"/>
      <c r="N80" s="4"/>
    </row>
    <row r="81" spans="3:14" x14ac:dyDescent="0.3">
      <c r="C81" s="2"/>
      <c r="D81" s="2"/>
      <c r="E81" s="2"/>
      <c r="F81" s="2"/>
      <c r="G81" s="4"/>
      <c r="H81" s="3"/>
      <c r="I81" s="2"/>
      <c r="J81" s="2"/>
      <c r="K81" s="5"/>
      <c r="L81" s="6"/>
      <c r="M81" s="4"/>
      <c r="N81" s="4"/>
    </row>
    <row r="82" spans="3:14" x14ac:dyDescent="0.3">
      <c r="C82" s="2"/>
      <c r="D82" s="2"/>
      <c r="E82" s="2"/>
      <c r="F82" s="2"/>
      <c r="G82" s="4"/>
      <c r="H82" s="3"/>
      <c r="I82" s="2"/>
      <c r="J82" s="2"/>
      <c r="K82" s="5"/>
      <c r="L82" s="6"/>
      <c r="M82" s="4"/>
      <c r="N82" s="4"/>
    </row>
    <row r="83" spans="3:14" x14ac:dyDescent="0.3">
      <c r="C83" s="2"/>
      <c r="D83" s="2"/>
      <c r="E83" s="2"/>
      <c r="F83" s="2"/>
      <c r="G83" s="4"/>
      <c r="H83" s="3"/>
      <c r="I83" s="2"/>
      <c r="J83" s="2"/>
      <c r="K83" s="5"/>
      <c r="L83" s="6"/>
      <c r="M83" s="4"/>
      <c r="N83" s="4"/>
    </row>
    <row r="84" spans="3:14" x14ac:dyDescent="0.3">
      <c r="C84" s="2"/>
      <c r="D84" s="2"/>
      <c r="E84" s="2"/>
      <c r="F84" s="2"/>
      <c r="G84" s="4"/>
      <c r="H84" s="3"/>
      <c r="I84" s="2"/>
      <c r="J84" s="2"/>
      <c r="K84" s="5"/>
      <c r="L84" s="6"/>
      <c r="M84" s="4"/>
      <c r="N84" s="4"/>
    </row>
    <row r="85" spans="3:14" x14ac:dyDescent="0.3">
      <c r="C85" s="2"/>
      <c r="D85" s="2"/>
      <c r="E85" s="2"/>
      <c r="F85" s="2"/>
      <c r="G85" s="4"/>
      <c r="H85" s="3"/>
      <c r="I85" s="2"/>
      <c r="J85" s="2"/>
      <c r="K85" s="5"/>
      <c r="L85" s="6"/>
      <c r="M85" s="4"/>
      <c r="N85" s="4"/>
    </row>
    <row r="86" spans="3:14" x14ac:dyDescent="0.3">
      <c r="C86" s="2"/>
      <c r="D86" s="2"/>
      <c r="E86" s="2"/>
      <c r="F86" s="2"/>
      <c r="G86" s="4"/>
      <c r="H86" s="3"/>
      <c r="I86" s="2"/>
      <c r="J86" s="2"/>
      <c r="K86" s="5"/>
      <c r="L86" s="6"/>
      <c r="M86" s="4"/>
      <c r="N86" s="4"/>
    </row>
    <row r="87" spans="3:14" x14ac:dyDescent="0.3">
      <c r="C87" s="2"/>
      <c r="D87" s="2"/>
      <c r="E87" s="2"/>
      <c r="F87" s="2"/>
      <c r="G87" s="4"/>
      <c r="H87" s="3"/>
      <c r="I87" s="2"/>
      <c r="J87" s="2"/>
      <c r="K87" s="5"/>
      <c r="L87" s="6"/>
      <c r="M87" s="4"/>
      <c r="N87" s="4"/>
    </row>
    <row r="88" spans="3:14" x14ac:dyDescent="0.3">
      <c r="C88" s="2"/>
      <c r="D88" s="2"/>
      <c r="E88" s="2"/>
      <c r="F88" s="2"/>
      <c r="G88" s="4"/>
      <c r="H88" s="3"/>
      <c r="I88" s="2"/>
      <c r="J88" s="2"/>
      <c r="K88" s="5"/>
      <c r="L88" s="6"/>
      <c r="M88" s="4"/>
      <c r="N88" s="4"/>
    </row>
    <row r="89" spans="3:14" x14ac:dyDescent="0.3">
      <c r="C89" s="2"/>
      <c r="D89" s="2"/>
      <c r="E89" s="2"/>
      <c r="F89" s="2"/>
      <c r="G89" s="4"/>
      <c r="H89" s="3"/>
      <c r="I89" s="2"/>
      <c r="J89" s="2"/>
      <c r="K89" s="5"/>
      <c r="L89" s="6"/>
      <c r="M89" s="4"/>
      <c r="N89" s="4"/>
    </row>
    <row r="90" spans="3:14" x14ac:dyDescent="0.3">
      <c r="C90" s="2"/>
      <c r="D90" s="2"/>
      <c r="E90" s="2"/>
      <c r="F90" s="2"/>
      <c r="G90" s="4"/>
      <c r="H90" s="3"/>
      <c r="I90" s="2"/>
      <c r="J90" s="2"/>
      <c r="K90" s="5"/>
      <c r="L90" s="6"/>
      <c r="M90" s="4"/>
      <c r="N90" s="4"/>
    </row>
    <row r="91" spans="3:14" x14ac:dyDescent="0.3">
      <c r="C91" s="2"/>
      <c r="D91" s="2"/>
      <c r="E91" s="2"/>
      <c r="F91" s="2"/>
      <c r="G91" s="4"/>
      <c r="H91" s="3"/>
      <c r="I91" s="2"/>
      <c r="J91" s="2"/>
      <c r="K91" s="5"/>
      <c r="L91" s="6"/>
      <c r="M91" s="4"/>
      <c r="N91" s="4"/>
    </row>
    <row r="92" spans="3:14" x14ac:dyDescent="0.3">
      <c r="C92" s="2"/>
      <c r="D92" s="2"/>
      <c r="E92" s="2"/>
      <c r="F92" s="2"/>
      <c r="G92" s="4"/>
      <c r="H92" s="3"/>
      <c r="I92" s="2"/>
      <c r="J92" s="2"/>
      <c r="K92" s="5"/>
      <c r="L92" s="6"/>
      <c r="M92" s="4"/>
      <c r="N92" s="4"/>
    </row>
    <row r="93" spans="3:14" x14ac:dyDescent="0.3">
      <c r="C93" s="2"/>
      <c r="D93" s="2"/>
      <c r="E93" s="2"/>
      <c r="F93" s="2"/>
      <c r="G93" s="4"/>
      <c r="H93" s="3"/>
      <c r="I93" s="2"/>
      <c r="J93" s="2"/>
      <c r="K93" s="5"/>
      <c r="L93" s="6"/>
      <c r="M93" s="4"/>
      <c r="N93" s="4"/>
    </row>
    <row r="94" spans="3:14" x14ac:dyDescent="0.3">
      <c r="C94" s="2"/>
      <c r="D94" s="2"/>
      <c r="E94" s="2"/>
      <c r="F94" s="2"/>
      <c r="G94" s="4"/>
      <c r="H94" s="3"/>
      <c r="I94" s="2"/>
      <c r="J94" s="2"/>
      <c r="K94" s="5"/>
      <c r="L94" s="6"/>
      <c r="M94" s="4"/>
      <c r="N94" s="4"/>
    </row>
    <row r="95" spans="3:14" x14ac:dyDescent="0.3">
      <c r="C95" s="2"/>
      <c r="D95" s="2"/>
      <c r="E95" s="2"/>
      <c r="F95" s="2"/>
      <c r="G95" s="4"/>
      <c r="H95" s="3"/>
      <c r="I95" s="2"/>
      <c r="J95" s="2"/>
      <c r="K95" s="5"/>
      <c r="L95" s="6"/>
      <c r="M95" s="4"/>
      <c r="N95" s="4"/>
    </row>
    <row r="96" spans="3:14" x14ac:dyDescent="0.3">
      <c r="C96" s="2"/>
      <c r="D96" s="2"/>
      <c r="E96" s="2"/>
      <c r="F96" s="2"/>
      <c r="G96" s="4"/>
      <c r="H96" s="3"/>
      <c r="I96" s="2"/>
      <c r="J96" s="2"/>
      <c r="K96" s="5"/>
      <c r="L96" s="6"/>
      <c r="M96" s="4"/>
      <c r="N96" s="4"/>
    </row>
    <row r="99" spans="3:9" x14ac:dyDescent="0.3">
      <c r="C99" s="2"/>
      <c r="I99" s="2"/>
    </row>
    <row r="100" spans="3:9" x14ac:dyDescent="0.3">
      <c r="I100" s="2"/>
    </row>
  </sheetData>
  <pageMargins left="0.7" right="0.7" top="0.75" bottom="0.75" header="0.3" footer="0.3"/>
  <headerFooter>
    <oddFooter>&amp;L_x000D_&amp;1#&amp;"Calibri"&amp;10&amp;K000000 LUT Group Confidential - Other information (3Y)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66C0-72C0-4145-AB6A-D6B699D1DB55}">
  <dimension ref="A1:T201"/>
  <sheetViews>
    <sheetView workbookViewId="0">
      <selection activeCell="C169" sqref="C169"/>
    </sheetView>
  </sheetViews>
  <sheetFormatPr defaultColWidth="8.77734375" defaultRowHeight="15.6" x14ac:dyDescent="0.3"/>
  <cols>
    <col min="1" max="16384" width="8.77734375" style="8"/>
  </cols>
  <sheetData>
    <row r="1" spans="1:20" x14ac:dyDescent="0.3">
      <c r="A1" s="8" t="s">
        <v>735</v>
      </c>
      <c r="B1" s="8" t="s">
        <v>736</v>
      </c>
      <c r="C1" s="8" t="s">
        <v>737</v>
      </c>
      <c r="D1" s="8" t="s">
        <v>738</v>
      </c>
      <c r="E1" s="8" t="s">
        <v>718</v>
      </c>
      <c r="F1" s="8" t="s">
        <v>756</v>
      </c>
      <c r="G1" s="8" t="s">
        <v>757</v>
      </c>
      <c r="H1" s="8" t="s">
        <v>252</v>
      </c>
      <c r="I1" s="8" t="s">
        <v>257</v>
      </c>
      <c r="J1" s="8" t="s">
        <v>262</v>
      </c>
      <c r="K1" s="8" t="s">
        <v>267</v>
      </c>
      <c r="L1" s="8" t="s">
        <v>272</v>
      </c>
      <c r="M1" s="8" t="s">
        <v>277</v>
      </c>
      <c r="N1" s="8" t="s">
        <v>282</v>
      </c>
      <c r="O1" s="8" t="s">
        <v>287</v>
      </c>
      <c r="P1" s="8" t="s">
        <v>292</v>
      </c>
      <c r="Q1" s="8" t="s">
        <v>297</v>
      </c>
      <c r="R1" s="8" t="s">
        <v>302</v>
      </c>
      <c r="S1" s="8" t="s">
        <v>307</v>
      </c>
      <c r="T1" s="8" t="s">
        <v>312</v>
      </c>
    </row>
    <row r="2" spans="1:20" x14ac:dyDescent="0.3">
      <c r="A2" s="8" t="s">
        <v>758</v>
      </c>
      <c r="B2" s="8" t="s">
        <v>740</v>
      </c>
      <c r="C2" s="8" t="s">
        <v>317</v>
      </c>
      <c r="D2" s="8" t="s">
        <v>759</v>
      </c>
      <c r="E2" s="8" t="s">
        <v>760</v>
      </c>
      <c r="F2" s="8">
        <v>3.8122999999999997E-2</v>
      </c>
      <c r="G2" s="8">
        <v>4.5654000000000007E-2</v>
      </c>
      <c r="H2" s="8">
        <v>5.3859999999999998E-2</v>
      </c>
      <c r="I2" s="8">
        <v>5.8504E-2</v>
      </c>
      <c r="J2" s="8">
        <v>5.9240000000000001E-2</v>
      </c>
      <c r="K2" s="8">
        <v>6.0374999999999998E-2</v>
      </c>
      <c r="L2" s="8">
        <v>6.2137999999999999E-2</v>
      </c>
      <c r="M2" s="8">
        <v>6.4382999999999996E-2</v>
      </c>
      <c r="N2" s="8">
        <v>6.4894999999999994E-2</v>
      </c>
      <c r="O2" s="8">
        <v>7.5884000000000007E-2</v>
      </c>
      <c r="P2" s="8">
        <v>8.8122000000000006E-2</v>
      </c>
      <c r="Q2" s="8">
        <v>9.3938000000000008E-2</v>
      </c>
      <c r="R2" s="8">
        <v>9.9821000000000007E-2</v>
      </c>
      <c r="S2" s="8">
        <v>0.103937</v>
      </c>
      <c r="T2" s="8">
        <v>0.10666400000000001</v>
      </c>
    </row>
    <row r="3" spans="1:20" x14ac:dyDescent="0.3">
      <c r="A3" s="8" t="s">
        <v>758</v>
      </c>
      <c r="B3" s="8" t="s">
        <v>740</v>
      </c>
      <c r="C3" s="8" t="s">
        <v>321</v>
      </c>
      <c r="D3" s="8" t="s">
        <v>759</v>
      </c>
      <c r="E3" s="8" t="s">
        <v>760</v>
      </c>
      <c r="F3" s="8">
        <v>7.4365610000000002</v>
      </c>
      <c r="G3" s="8">
        <v>7.9158320000000009</v>
      </c>
      <c r="H3" s="8">
        <v>8.5417480000000001</v>
      </c>
      <c r="I3" s="8">
        <v>9.4570959999999999</v>
      </c>
      <c r="J3" s="8">
        <v>10.620384</v>
      </c>
      <c r="K3" s="8">
        <v>12.016498</v>
      </c>
      <c r="L3" s="8">
        <v>12.917355000000001</v>
      </c>
      <c r="M3" s="8">
        <v>10.50657</v>
      </c>
      <c r="N3" s="8">
        <v>10.845924000000002</v>
      </c>
      <c r="O3" s="8">
        <v>16.071789000000003</v>
      </c>
      <c r="P3" s="8">
        <v>19.669913000000001</v>
      </c>
      <c r="Q3" s="8">
        <v>23.856141000000001</v>
      </c>
      <c r="R3" s="8">
        <v>27.803169999999998</v>
      </c>
      <c r="S3" s="8">
        <v>33.360820000000004</v>
      </c>
      <c r="T3" s="8">
        <v>38.326031</v>
      </c>
    </row>
    <row r="4" spans="1:20" x14ac:dyDescent="0.3">
      <c r="A4" s="8" t="s">
        <v>758</v>
      </c>
      <c r="B4" s="8" t="s">
        <v>740</v>
      </c>
      <c r="C4" s="8" t="s">
        <v>2</v>
      </c>
      <c r="D4" s="8" t="s">
        <v>759</v>
      </c>
      <c r="E4" s="8" t="s">
        <v>760</v>
      </c>
      <c r="F4" s="8">
        <v>4.432912</v>
      </c>
      <c r="G4" s="8">
        <v>4.8953639999999998</v>
      </c>
      <c r="H4" s="8">
        <v>5.3135249999999994</v>
      </c>
      <c r="I4" s="8">
        <v>5.7077439999999999</v>
      </c>
      <c r="J4" s="8">
        <v>5.9667000000000003</v>
      </c>
      <c r="K4" s="8">
        <v>6.9165959999999993</v>
      </c>
      <c r="L4" s="8">
        <v>8.1823139999999999</v>
      </c>
      <c r="M4" s="8">
        <v>9.7911610000000007</v>
      </c>
      <c r="N4" s="8">
        <v>11.631523</v>
      </c>
      <c r="O4" s="8">
        <v>13.680908000000001</v>
      </c>
      <c r="P4" s="8">
        <v>16.126967</v>
      </c>
      <c r="Q4" s="8">
        <v>19.103826000000002</v>
      </c>
      <c r="R4" s="8">
        <v>22.925082</v>
      </c>
      <c r="S4" s="8">
        <v>27.624320000000001</v>
      </c>
      <c r="T4" s="8">
        <v>32.899002000000003</v>
      </c>
    </row>
    <row r="5" spans="1:20" x14ac:dyDescent="0.3">
      <c r="A5" s="8" t="s">
        <v>758</v>
      </c>
      <c r="B5" s="8" t="s">
        <v>740</v>
      </c>
      <c r="C5" s="8" t="s">
        <v>4</v>
      </c>
      <c r="D5" s="8" t="s">
        <v>759</v>
      </c>
      <c r="E5" s="8" t="s">
        <v>760</v>
      </c>
      <c r="F5" s="8">
        <v>1.2344739999999998</v>
      </c>
      <c r="G5" s="8">
        <v>1.4307729999999999</v>
      </c>
      <c r="H5" s="8">
        <v>1.6826570000000001</v>
      </c>
      <c r="I5" s="8">
        <v>1.9794500000000002</v>
      </c>
      <c r="J5" s="8">
        <v>2.2923010000000001</v>
      </c>
      <c r="K5" s="8">
        <v>2.6179099999999997</v>
      </c>
      <c r="L5" s="8">
        <v>2.9157030000000002</v>
      </c>
      <c r="M5" s="8">
        <v>3.1528100000000001</v>
      </c>
      <c r="N5" s="8">
        <v>3.2900619999999998</v>
      </c>
      <c r="O5" s="8">
        <v>3.2899600000000002</v>
      </c>
      <c r="P5" s="8">
        <v>3.1957130000000005</v>
      </c>
      <c r="Q5" s="8">
        <v>3.047469</v>
      </c>
      <c r="R5" s="8">
        <v>2.9208970000000001</v>
      </c>
      <c r="S5" s="8">
        <v>2.8831560000000001</v>
      </c>
      <c r="T5" s="8">
        <v>2.8721300000000003</v>
      </c>
    </row>
    <row r="6" spans="1:20" x14ac:dyDescent="0.3">
      <c r="A6" s="8" t="s">
        <v>758</v>
      </c>
      <c r="B6" s="8" t="s">
        <v>740</v>
      </c>
      <c r="C6" s="8" t="s">
        <v>6</v>
      </c>
      <c r="D6" s="8" t="s">
        <v>759</v>
      </c>
      <c r="E6" s="8" t="s">
        <v>760</v>
      </c>
      <c r="F6" s="8">
        <v>7.2048000000000001E-2</v>
      </c>
      <c r="G6" s="8">
        <v>9.8947000000000007E-2</v>
      </c>
      <c r="H6" s="8">
        <v>0.12974100000000002</v>
      </c>
      <c r="I6" s="8">
        <v>0.16949600000000001</v>
      </c>
      <c r="J6" s="8">
        <v>0.27524400000000004</v>
      </c>
      <c r="K6" s="8">
        <v>0.517455</v>
      </c>
      <c r="L6" s="8">
        <v>0.96114100000000002</v>
      </c>
      <c r="M6" s="8">
        <v>1.343826</v>
      </c>
      <c r="N6" s="8">
        <v>1.8459860000000001</v>
      </c>
      <c r="O6" s="8">
        <v>2.3814920000000002</v>
      </c>
      <c r="P6" s="8">
        <v>3.186118</v>
      </c>
      <c r="Q6" s="8">
        <v>4.0832540000000002</v>
      </c>
      <c r="R6" s="8">
        <v>8.4339910000000007</v>
      </c>
      <c r="S6" s="8">
        <v>8.8772880000000001</v>
      </c>
      <c r="T6" s="8">
        <v>9.2475540000000009</v>
      </c>
    </row>
    <row r="7" spans="1:20" x14ac:dyDescent="0.3">
      <c r="A7" s="8" t="s">
        <v>758</v>
      </c>
      <c r="B7" s="8" t="s">
        <v>740</v>
      </c>
      <c r="C7" s="8" t="s">
        <v>8</v>
      </c>
      <c r="D7" s="8" t="s">
        <v>759</v>
      </c>
      <c r="E7" s="8" t="s">
        <v>760</v>
      </c>
      <c r="F7" s="8">
        <v>16.849682000000001</v>
      </c>
      <c r="G7" s="8">
        <v>18.537299999999998</v>
      </c>
      <c r="H7" s="8">
        <v>20.187607</v>
      </c>
      <c r="I7" s="8">
        <v>21.880234000000002</v>
      </c>
      <c r="J7" s="8">
        <v>23.652996999999999</v>
      </c>
      <c r="K7" s="8">
        <v>25.669772000000002</v>
      </c>
      <c r="L7" s="8">
        <v>27.804417000000001</v>
      </c>
      <c r="M7" s="8">
        <v>30.058261999999999</v>
      </c>
      <c r="N7" s="8">
        <v>32.402162000000004</v>
      </c>
      <c r="O7" s="8">
        <v>34.721108999999998</v>
      </c>
      <c r="P7" s="8">
        <v>36.864000000000004</v>
      </c>
      <c r="Q7" s="8">
        <v>38.867883999999997</v>
      </c>
      <c r="R7" s="8">
        <v>40.892778</v>
      </c>
      <c r="S7" s="8">
        <v>43.042286999999995</v>
      </c>
      <c r="T7" s="8">
        <v>44.908440999999996</v>
      </c>
    </row>
    <row r="8" spans="1:20" x14ac:dyDescent="0.3">
      <c r="A8" s="8" t="s">
        <v>758</v>
      </c>
      <c r="B8" s="8" t="s">
        <v>740</v>
      </c>
      <c r="C8" s="8" t="s">
        <v>10</v>
      </c>
      <c r="D8" s="8" t="s">
        <v>759</v>
      </c>
      <c r="E8" s="8" t="s">
        <v>760</v>
      </c>
      <c r="F8" s="8">
        <v>1.3660809999999999</v>
      </c>
      <c r="G8" s="8">
        <v>1.578846</v>
      </c>
      <c r="H8" s="8">
        <v>1.8707760000000002</v>
      </c>
      <c r="I8" s="8">
        <v>2.2029270000000003</v>
      </c>
      <c r="J8" s="8">
        <v>2.505973</v>
      </c>
      <c r="K8" s="8">
        <v>2.7986219999999999</v>
      </c>
      <c r="L8" s="8">
        <v>3.1190690000000001</v>
      </c>
      <c r="M8" s="8">
        <v>3.2870690000000002</v>
      </c>
      <c r="N8" s="8">
        <v>3.5257830000000001</v>
      </c>
      <c r="O8" s="8">
        <v>3.3338730000000001</v>
      </c>
      <c r="P8" s="8">
        <v>3.1876920000000002</v>
      </c>
      <c r="Q8" s="8">
        <v>3.0564490000000002</v>
      </c>
      <c r="R8" s="8">
        <v>2.9556080000000002</v>
      </c>
      <c r="S8" s="8">
        <v>2.8849580000000001</v>
      </c>
      <c r="T8" s="8">
        <v>2.812494</v>
      </c>
    </row>
    <row r="9" spans="1:20" x14ac:dyDescent="0.3">
      <c r="A9" s="8" t="s">
        <v>758</v>
      </c>
      <c r="B9" s="8" t="s">
        <v>740</v>
      </c>
      <c r="C9" s="8" t="s">
        <v>336</v>
      </c>
      <c r="D9" s="8" t="s">
        <v>759</v>
      </c>
      <c r="E9" s="8" t="s">
        <v>760</v>
      </c>
      <c r="F9" s="8">
        <v>4.4948000000000002E-2</v>
      </c>
      <c r="G9" s="8">
        <v>4.9770000000000002E-2</v>
      </c>
      <c r="H9" s="8">
        <v>5.4820000000000001E-2</v>
      </c>
      <c r="I9" s="8">
        <v>5.9161999999999999E-2</v>
      </c>
      <c r="J9" s="8">
        <v>6.4296000000000006E-2</v>
      </c>
      <c r="K9" s="8">
        <v>6.4101000000000005E-2</v>
      </c>
      <c r="L9" s="8">
        <v>6.4781999999999992E-2</v>
      </c>
      <c r="M9" s="8">
        <v>6.5212000000000006E-2</v>
      </c>
      <c r="N9" s="8">
        <v>6.3473000000000002E-2</v>
      </c>
      <c r="O9" s="8">
        <v>6.7709999999999992E-2</v>
      </c>
      <c r="P9" s="8">
        <v>7.4423000000000003E-2</v>
      </c>
      <c r="Q9" s="8">
        <v>7.9379999999999992E-2</v>
      </c>
      <c r="R9" s="8">
        <v>8.5163000000000003E-2</v>
      </c>
      <c r="S9" s="8">
        <v>8.9594999999999994E-2</v>
      </c>
      <c r="T9" s="8">
        <v>9.2374999999999999E-2</v>
      </c>
    </row>
    <row r="10" spans="1:20" x14ac:dyDescent="0.3">
      <c r="A10" s="8" t="s">
        <v>758</v>
      </c>
      <c r="B10" s="8" t="s">
        <v>740</v>
      </c>
      <c r="C10" s="8" t="s">
        <v>12</v>
      </c>
      <c r="D10" s="8" t="s">
        <v>759</v>
      </c>
      <c r="E10" s="8" t="s">
        <v>760</v>
      </c>
      <c r="F10" s="8">
        <v>8.0488999999999997</v>
      </c>
      <c r="G10" s="8">
        <v>9.0997710000000005</v>
      </c>
      <c r="H10" s="8">
        <v>10.173755</v>
      </c>
      <c r="I10" s="8">
        <v>11.240012</v>
      </c>
      <c r="J10" s="8">
        <v>12.393915999999999</v>
      </c>
      <c r="K10" s="8">
        <v>13.809241</v>
      </c>
      <c r="L10" s="8">
        <v>14.604481</v>
      </c>
      <c r="M10" s="8">
        <v>15.677747</v>
      </c>
      <c r="N10" s="8">
        <v>16.928885999999999</v>
      </c>
      <c r="O10" s="8">
        <v>17.897943999999999</v>
      </c>
      <c r="P10" s="8">
        <v>18.903312999999997</v>
      </c>
      <c r="Q10" s="8">
        <v>20.040130000000001</v>
      </c>
      <c r="R10" s="8">
        <v>21.856964999999999</v>
      </c>
      <c r="S10" s="8">
        <v>23.641437999999997</v>
      </c>
      <c r="T10" s="8">
        <v>25.544183</v>
      </c>
    </row>
    <row r="11" spans="1:20" x14ac:dyDescent="0.3">
      <c r="A11" s="8" t="s">
        <v>758</v>
      </c>
      <c r="B11" s="8" t="s">
        <v>740</v>
      </c>
      <c r="C11" s="8" t="s">
        <v>14</v>
      </c>
      <c r="D11" s="8" t="s">
        <v>759</v>
      </c>
      <c r="E11" s="8" t="s">
        <v>760</v>
      </c>
      <c r="F11" s="8">
        <v>6.9378090000000006</v>
      </c>
      <c r="G11" s="8">
        <v>6.9439320000000002</v>
      </c>
      <c r="H11" s="8">
        <v>7.0293660000000004</v>
      </c>
      <c r="I11" s="8">
        <v>7.2468710000000005</v>
      </c>
      <c r="J11" s="8">
        <v>7.4533680000000002</v>
      </c>
      <c r="K11" s="8">
        <v>7.5903220000000005</v>
      </c>
      <c r="L11" s="8">
        <v>7.5436870000000003</v>
      </c>
      <c r="M11" s="8">
        <v>7.5602860000000005</v>
      </c>
      <c r="N11" s="8">
        <v>7.6454629999999995</v>
      </c>
      <c r="O11" s="8">
        <v>7.9425270000000001</v>
      </c>
      <c r="P11" s="8">
        <v>8.0011969999999994</v>
      </c>
      <c r="Q11" s="8">
        <v>8.2006180000000004</v>
      </c>
      <c r="R11" s="8">
        <v>8.3509760000000011</v>
      </c>
      <c r="S11" s="8">
        <v>8.5846090000000004</v>
      </c>
      <c r="T11" s="8">
        <v>8.9010999999999889</v>
      </c>
    </row>
    <row r="12" spans="1:20" x14ac:dyDescent="0.3">
      <c r="A12" s="8" t="s">
        <v>758</v>
      </c>
      <c r="B12" s="8" t="s">
        <v>740</v>
      </c>
      <c r="C12" s="8" t="s">
        <v>16</v>
      </c>
      <c r="D12" s="8" t="s">
        <v>759</v>
      </c>
      <c r="E12" s="8" t="s">
        <v>760</v>
      </c>
      <c r="F12" s="8">
        <v>3.1269819999999999</v>
      </c>
      <c r="G12" s="8">
        <v>3.5021120000000003</v>
      </c>
      <c r="H12" s="8">
        <v>4.0636580000000002</v>
      </c>
      <c r="I12" s="8">
        <v>4.7703850000000001</v>
      </c>
      <c r="J12" s="8">
        <v>5.3726490000000009</v>
      </c>
      <c r="K12" s="8">
        <v>5.8760900000000005</v>
      </c>
      <c r="L12" s="8">
        <v>6.3396920000000003</v>
      </c>
      <c r="M12" s="8">
        <v>6.8328590000000009</v>
      </c>
      <c r="N12" s="8">
        <v>7.3719849999999996</v>
      </c>
      <c r="O12" s="8">
        <v>7.8573740000000001</v>
      </c>
      <c r="P12" s="8">
        <v>8.1439140000000005</v>
      </c>
      <c r="Q12" s="8">
        <v>8.6046530000000008</v>
      </c>
      <c r="R12" s="8">
        <v>9.1777990000000003</v>
      </c>
      <c r="S12" s="8">
        <v>9.8045329999999993</v>
      </c>
      <c r="T12" s="8">
        <v>10.273527</v>
      </c>
    </row>
    <row r="13" spans="1:20" x14ac:dyDescent="0.3">
      <c r="A13" s="8" t="s">
        <v>758</v>
      </c>
      <c r="B13" s="8" t="s">
        <v>740</v>
      </c>
      <c r="C13" s="8" t="s">
        <v>341</v>
      </c>
      <c r="D13" s="8" t="s">
        <v>759</v>
      </c>
      <c r="E13" s="8" t="s">
        <v>760</v>
      </c>
      <c r="F13" s="8">
        <v>2.2293220000000002</v>
      </c>
      <c r="G13" s="8">
        <v>2.4707939999999997</v>
      </c>
      <c r="H13" s="8">
        <v>2.7197330000000002</v>
      </c>
      <c r="I13" s="8">
        <v>3.086551</v>
      </c>
      <c r="J13" s="8">
        <v>3.4560100000000005</v>
      </c>
      <c r="K13" s="8">
        <v>3.711071</v>
      </c>
      <c r="L13" s="8">
        <v>4.176526</v>
      </c>
      <c r="M13" s="8">
        <v>4.9037240000000004</v>
      </c>
      <c r="N13" s="8">
        <v>5.4281649999999999</v>
      </c>
      <c r="O13" s="8">
        <v>5.8983119999999998</v>
      </c>
      <c r="P13" s="8">
        <v>6.2436450000000008</v>
      </c>
      <c r="Q13" s="8">
        <v>7.2573920000000003</v>
      </c>
      <c r="R13" s="8">
        <v>8.9557109999999991</v>
      </c>
      <c r="S13" s="8">
        <v>10.667662</v>
      </c>
      <c r="T13" s="8">
        <v>12.053895000000001</v>
      </c>
    </row>
    <row r="14" spans="1:20" x14ac:dyDescent="0.3">
      <c r="A14" s="8" t="s">
        <v>758</v>
      </c>
      <c r="B14" s="8" t="s">
        <v>740</v>
      </c>
      <c r="C14" s="8" t="s">
        <v>17</v>
      </c>
      <c r="D14" s="8" t="s">
        <v>759</v>
      </c>
      <c r="E14" s="8" t="s">
        <v>760</v>
      </c>
      <c r="F14" s="8">
        <v>8.5971440000000001</v>
      </c>
      <c r="G14" s="8">
        <v>8.8115360000000003</v>
      </c>
      <c r="H14" s="8">
        <v>9.0818899999999996</v>
      </c>
      <c r="I14" s="8">
        <v>9.3837690000000009</v>
      </c>
      <c r="J14" s="8">
        <v>9.6103269999999998</v>
      </c>
      <c r="K14" s="8">
        <v>9.7584</v>
      </c>
      <c r="L14" s="8">
        <v>9.8219940000000001</v>
      </c>
      <c r="M14" s="8">
        <v>9.8776139999999995</v>
      </c>
      <c r="N14" s="8">
        <v>9.9466180000000008</v>
      </c>
      <c r="O14" s="8">
        <v>10.08216</v>
      </c>
      <c r="P14" s="8">
        <v>10.242888000000001</v>
      </c>
      <c r="Q14" s="8">
        <v>10.485647000000002</v>
      </c>
      <c r="R14" s="8">
        <v>10.839032999999999</v>
      </c>
      <c r="S14" s="8">
        <v>11.214585999999999</v>
      </c>
      <c r="T14" s="8">
        <v>11.541270000000001</v>
      </c>
    </row>
    <row r="15" spans="1:20" x14ac:dyDescent="0.3">
      <c r="A15" s="8" t="s">
        <v>758</v>
      </c>
      <c r="B15" s="8" t="s">
        <v>740</v>
      </c>
      <c r="C15" s="8" t="s">
        <v>19</v>
      </c>
      <c r="D15" s="8" t="s">
        <v>759</v>
      </c>
      <c r="E15" s="8" t="s">
        <v>760</v>
      </c>
      <c r="F15" s="8">
        <v>2.256437</v>
      </c>
      <c r="G15" s="8">
        <v>2.3481510000000001</v>
      </c>
      <c r="H15" s="8">
        <v>2.493735</v>
      </c>
      <c r="I15" s="8">
        <v>2.7100770000000001</v>
      </c>
      <c r="J15" s="8">
        <v>2.9916999999999998</v>
      </c>
      <c r="K15" s="8">
        <v>3.339035</v>
      </c>
      <c r="L15" s="8">
        <v>3.781555</v>
      </c>
      <c r="M15" s="8">
        <v>4.3550409999999999</v>
      </c>
      <c r="N15" s="8">
        <v>5.0549849999999994</v>
      </c>
      <c r="O15" s="8">
        <v>5.9757449999999999</v>
      </c>
      <c r="P15" s="8">
        <v>6.8924200000000004</v>
      </c>
      <c r="Q15" s="8">
        <v>8.0138040000000004</v>
      </c>
      <c r="R15" s="8">
        <v>9.307385</v>
      </c>
      <c r="S15" s="8">
        <v>10.771656999999999</v>
      </c>
      <c r="T15" s="8">
        <v>12.466822000000001</v>
      </c>
    </row>
    <row r="16" spans="1:20" x14ac:dyDescent="0.3">
      <c r="A16" s="8" t="s">
        <v>758</v>
      </c>
      <c r="B16" s="8" t="s">
        <v>740</v>
      </c>
      <c r="C16" s="8" t="s">
        <v>345</v>
      </c>
      <c r="D16" s="8" t="s">
        <v>759</v>
      </c>
      <c r="E16" s="8" t="s">
        <v>760</v>
      </c>
      <c r="F16" s="8">
        <v>4.1904919999999999</v>
      </c>
      <c r="G16" s="8">
        <v>4.4443320000000002</v>
      </c>
      <c r="H16" s="8">
        <v>4.7489560000000006</v>
      </c>
      <c r="I16" s="8">
        <v>5.1157719999999998</v>
      </c>
      <c r="J16" s="8">
        <v>5.5629720000000002</v>
      </c>
      <c r="K16" s="8">
        <v>6.0761390000000004</v>
      </c>
      <c r="L16" s="8">
        <v>6.8386769999999997</v>
      </c>
      <c r="M16" s="8">
        <v>7.8640129999999999</v>
      </c>
      <c r="N16" s="8">
        <v>9.0117209999999996</v>
      </c>
      <c r="O16" s="8">
        <v>10.220343999999999</v>
      </c>
      <c r="P16" s="8">
        <v>11.703448</v>
      </c>
      <c r="Q16" s="8">
        <v>13.658109000000001</v>
      </c>
      <c r="R16" s="8">
        <v>15.880023</v>
      </c>
      <c r="S16" s="8">
        <v>18.442699000000001</v>
      </c>
      <c r="T16" s="8">
        <v>21.23189</v>
      </c>
    </row>
    <row r="17" spans="1:20" x14ac:dyDescent="0.3">
      <c r="A17" s="8" t="s">
        <v>758</v>
      </c>
      <c r="B17" s="8" t="s">
        <v>740</v>
      </c>
      <c r="C17" s="8" t="s">
        <v>21</v>
      </c>
      <c r="D17" s="8" t="s">
        <v>759</v>
      </c>
      <c r="E17" s="8" t="s">
        <v>760</v>
      </c>
      <c r="F17" s="8">
        <v>39.336196999999999</v>
      </c>
      <c r="G17" s="8">
        <v>43.782969000000001</v>
      </c>
      <c r="H17" s="8">
        <v>49.678182</v>
      </c>
      <c r="I17" s="8">
        <v>57.633160000000004</v>
      </c>
      <c r="J17" s="8">
        <v>66.788126999999989</v>
      </c>
      <c r="K17" s="8">
        <v>73.842574999999997</v>
      </c>
      <c r="L17" s="8">
        <v>82.874730999999997</v>
      </c>
      <c r="M17" s="8">
        <v>94.763320000000007</v>
      </c>
      <c r="N17" s="8">
        <v>106.00157799999999</v>
      </c>
      <c r="O17" s="8">
        <v>116.744529</v>
      </c>
      <c r="P17" s="8">
        <v>127.97556900000001</v>
      </c>
      <c r="Q17" s="8">
        <v>139.922808</v>
      </c>
      <c r="R17" s="8">
        <v>147.487561</v>
      </c>
      <c r="S17" s="8">
        <v>156.916324</v>
      </c>
      <c r="T17" s="8">
        <v>166.42699100000002</v>
      </c>
    </row>
    <row r="18" spans="1:20" x14ac:dyDescent="0.3">
      <c r="A18" s="8" t="s">
        <v>758</v>
      </c>
      <c r="B18" s="8" t="s">
        <v>740</v>
      </c>
      <c r="C18" s="8" t="s">
        <v>23</v>
      </c>
      <c r="D18" s="8" t="s">
        <v>759</v>
      </c>
      <c r="E18" s="8" t="s">
        <v>760</v>
      </c>
      <c r="F18" s="8">
        <v>7.1207450000000003</v>
      </c>
      <c r="G18" s="8">
        <v>7.4777670000000001</v>
      </c>
      <c r="H18" s="8">
        <v>7.8528250000000002</v>
      </c>
      <c r="I18" s="8">
        <v>8.2126820000000009</v>
      </c>
      <c r="J18" s="8">
        <v>8.5485969999999991</v>
      </c>
      <c r="K18" s="8">
        <v>8.8394619999999993</v>
      </c>
      <c r="L18" s="8">
        <v>8.9807559999999995</v>
      </c>
      <c r="M18" s="8">
        <v>8.9307170000000013</v>
      </c>
      <c r="N18" s="8">
        <v>8.7879770000000015</v>
      </c>
      <c r="O18" s="8">
        <v>8.5151990000000009</v>
      </c>
      <c r="P18" s="8">
        <v>8.1298870000000001</v>
      </c>
      <c r="Q18" s="8">
        <v>7.8405490000000002</v>
      </c>
      <c r="R18" s="8">
        <v>7.6155379999999999</v>
      </c>
      <c r="S18" s="8">
        <v>7.3413829999999995</v>
      </c>
      <c r="T18" s="8">
        <v>7.0202390000000099</v>
      </c>
    </row>
    <row r="19" spans="1:20" x14ac:dyDescent="0.3">
      <c r="A19" s="8" t="s">
        <v>758</v>
      </c>
      <c r="B19" s="8" t="s">
        <v>740</v>
      </c>
      <c r="C19" s="8" t="s">
        <v>25</v>
      </c>
      <c r="D19" s="8" t="s">
        <v>759</v>
      </c>
      <c r="E19" s="8" t="s">
        <v>760</v>
      </c>
      <c r="F19" s="8">
        <v>0.11557100000000001</v>
      </c>
      <c r="G19" s="8">
        <v>0.13280799999999998</v>
      </c>
      <c r="H19" s="8">
        <v>0.15759299999999998</v>
      </c>
      <c r="I19" s="8">
        <v>0.18996000000000002</v>
      </c>
      <c r="J19" s="8">
        <v>0.21964700000000001</v>
      </c>
      <c r="K19" s="8">
        <v>0.277756</v>
      </c>
      <c r="L19" s="8">
        <v>0.35463299999999998</v>
      </c>
      <c r="M19" s="8">
        <v>0.426622</v>
      </c>
      <c r="N19" s="8">
        <v>0.50889200000000001</v>
      </c>
      <c r="O19" s="8">
        <v>0.60305200000000003</v>
      </c>
      <c r="P19" s="8">
        <v>0.70188699999999993</v>
      </c>
      <c r="Q19" s="8">
        <v>0.86752099999999999</v>
      </c>
      <c r="R19" s="8">
        <v>1.2136420000000001</v>
      </c>
      <c r="S19" s="8">
        <v>1.338295</v>
      </c>
      <c r="T19" s="8">
        <v>1.494035</v>
      </c>
    </row>
    <row r="20" spans="1:20" x14ac:dyDescent="0.3">
      <c r="A20" s="8" t="s">
        <v>758</v>
      </c>
      <c r="B20" s="8" t="s">
        <v>740</v>
      </c>
      <c r="C20" s="8" t="s">
        <v>719</v>
      </c>
      <c r="D20" s="8" t="s">
        <v>759</v>
      </c>
      <c r="E20" s="8" t="s">
        <v>760</v>
      </c>
      <c r="F20" s="8">
        <v>8.1120000000000012E-2</v>
      </c>
      <c r="G20" s="8">
        <v>9.0782000000000002E-2</v>
      </c>
      <c r="H20" s="8">
        <v>0.11175700000000001</v>
      </c>
      <c r="I20" s="8">
        <v>0.141711</v>
      </c>
      <c r="J20" s="8">
        <v>0.176314</v>
      </c>
      <c r="K20" s="8">
        <v>0.19984399999999999</v>
      </c>
      <c r="L20" s="8">
        <v>0.22161400000000001</v>
      </c>
      <c r="M20" s="8">
        <v>0.24349299999999999</v>
      </c>
      <c r="N20" s="8">
        <v>0.26808800000000005</v>
      </c>
      <c r="O20" s="8">
        <v>0.29676400000000003</v>
      </c>
      <c r="P20" s="8">
        <v>0.32256699999999999</v>
      </c>
      <c r="Q20" s="8">
        <v>0.34541100000000002</v>
      </c>
      <c r="R20" s="8">
        <v>0.370724</v>
      </c>
      <c r="S20" s="8">
        <v>0.39100400000000002</v>
      </c>
      <c r="T20" s="8">
        <v>0.40576899999999999</v>
      </c>
    </row>
    <row r="21" spans="1:20" x14ac:dyDescent="0.3">
      <c r="A21" s="8" t="s">
        <v>758</v>
      </c>
      <c r="B21" s="8" t="s">
        <v>740</v>
      </c>
      <c r="C21" s="8" t="s">
        <v>27</v>
      </c>
      <c r="D21" s="8" t="s">
        <v>759</v>
      </c>
      <c r="E21" s="8" t="s">
        <v>760</v>
      </c>
      <c r="F21" s="8">
        <v>2.6708440000000002</v>
      </c>
      <c r="G21" s="8">
        <v>2.9285939999999999</v>
      </c>
      <c r="H21" s="8">
        <v>3.2310889999999999</v>
      </c>
      <c r="I21" s="8">
        <v>3.5371990000000002</v>
      </c>
      <c r="J21" s="8">
        <v>3.7934920000000001</v>
      </c>
      <c r="K21" s="8">
        <v>4.002758</v>
      </c>
      <c r="L21" s="8">
        <v>4.1823549999999994</v>
      </c>
      <c r="M21" s="8">
        <v>4.3675240000000004</v>
      </c>
      <c r="N21" s="8">
        <v>4.4887569999999997</v>
      </c>
      <c r="O21" s="8">
        <v>3.6852499999999999</v>
      </c>
      <c r="P21" s="8">
        <v>4.1717089999999999</v>
      </c>
      <c r="Q21" s="8">
        <v>4.1121530000000002</v>
      </c>
      <c r="R21" s="8">
        <v>3.844738</v>
      </c>
      <c r="S21" s="8">
        <v>3.5469209999999998</v>
      </c>
      <c r="T21" s="8">
        <v>3.3409770000000001</v>
      </c>
    </row>
    <row r="22" spans="1:20" x14ac:dyDescent="0.3">
      <c r="A22" s="8" t="s">
        <v>758</v>
      </c>
      <c r="B22" s="8" t="s">
        <v>740</v>
      </c>
      <c r="C22" s="8" t="s">
        <v>29</v>
      </c>
      <c r="D22" s="8" t="s">
        <v>759</v>
      </c>
      <c r="E22" s="8" t="s">
        <v>760</v>
      </c>
      <c r="F22" s="8">
        <v>7.9267790000000007</v>
      </c>
      <c r="G22" s="8">
        <v>7.9487009999999998</v>
      </c>
      <c r="H22" s="8">
        <v>8.3365120000000008</v>
      </c>
      <c r="I22" s="8">
        <v>8.8195939999999986</v>
      </c>
      <c r="J22" s="8">
        <v>9.1387140000000002</v>
      </c>
      <c r="K22" s="8">
        <v>9.4692410000000002</v>
      </c>
      <c r="L22" s="8">
        <v>9.7870969999999993</v>
      </c>
      <c r="M22" s="8">
        <v>10.101637</v>
      </c>
      <c r="N22" s="8">
        <v>10.410923</v>
      </c>
      <c r="O22" s="8">
        <v>10.472531000000002</v>
      </c>
      <c r="P22" s="8">
        <v>10.281424000000001</v>
      </c>
      <c r="Q22" s="8">
        <v>9.967568</v>
      </c>
      <c r="R22" s="8">
        <v>9.7450939999999999</v>
      </c>
      <c r="S22" s="8">
        <v>9.6965009999999996</v>
      </c>
      <c r="T22" s="8">
        <v>9.6610390000000006</v>
      </c>
    </row>
    <row r="23" spans="1:20" x14ac:dyDescent="0.3">
      <c r="A23" s="8" t="s">
        <v>758</v>
      </c>
      <c r="B23" s="8" t="s">
        <v>740</v>
      </c>
      <c r="C23" s="8" t="s">
        <v>354</v>
      </c>
      <c r="D23" s="8" t="s">
        <v>759</v>
      </c>
      <c r="E23" s="8" t="s">
        <v>760</v>
      </c>
      <c r="F23" s="8">
        <v>6.8155000000000007E-2</v>
      </c>
      <c r="G23" s="8">
        <v>7.8889000000000001E-2</v>
      </c>
      <c r="H23" s="8">
        <v>9.0222999999999998E-2</v>
      </c>
      <c r="I23" s="8">
        <v>0.10326399999999999</v>
      </c>
      <c r="J23" s="8">
        <v>0.11974899999999999</v>
      </c>
      <c r="K23" s="8">
        <v>0.12947700000000001</v>
      </c>
      <c r="L23" s="8">
        <v>0.14333000000000001</v>
      </c>
      <c r="M23" s="8">
        <v>0.16156200000000001</v>
      </c>
      <c r="N23" s="8">
        <v>0.180642</v>
      </c>
      <c r="O23" s="8">
        <v>0.20069200000000001</v>
      </c>
      <c r="P23" s="8">
        <v>0.236627</v>
      </c>
      <c r="Q23" s="8">
        <v>0.27622099999999999</v>
      </c>
      <c r="R23" s="8">
        <v>0.318415</v>
      </c>
      <c r="S23" s="8">
        <v>0.35613600000000001</v>
      </c>
      <c r="T23" s="8">
        <v>0.392424</v>
      </c>
    </row>
    <row r="24" spans="1:20" x14ac:dyDescent="0.3">
      <c r="A24" s="8" t="s">
        <v>758</v>
      </c>
      <c r="B24" s="8" t="s">
        <v>740</v>
      </c>
      <c r="C24" s="8" t="s">
        <v>31</v>
      </c>
      <c r="D24" s="8" t="s">
        <v>759</v>
      </c>
      <c r="E24" s="8" t="s">
        <v>760</v>
      </c>
      <c r="F24" s="8">
        <v>3.0670839999999999</v>
      </c>
      <c r="G24" s="8">
        <v>3.326908</v>
      </c>
      <c r="H24" s="8">
        <v>3.6694160000000005</v>
      </c>
      <c r="I24" s="8">
        <v>4.0718930000000002</v>
      </c>
      <c r="J24" s="8">
        <v>4.5352319999999997</v>
      </c>
      <c r="K24" s="8">
        <v>5.0702600000000002</v>
      </c>
      <c r="L24" s="8">
        <v>5.6729099999999999</v>
      </c>
      <c r="M24" s="8">
        <v>6.3181340000000006</v>
      </c>
      <c r="N24" s="8">
        <v>7.0221610000000005</v>
      </c>
      <c r="O24" s="8">
        <v>7.7677500000000004</v>
      </c>
      <c r="P24" s="8">
        <v>8.5159470000000006</v>
      </c>
      <c r="Q24" s="8">
        <v>9.2961649999999896</v>
      </c>
      <c r="R24" s="8">
        <v>10.137039000000001</v>
      </c>
      <c r="S24" s="8">
        <v>11.003680000000001</v>
      </c>
      <c r="T24" s="8">
        <v>11.862352000000001</v>
      </c>
    </row>
    <row r="25" spans="1:20" x14ac:dyDescent="0.3">
      <c r="A25" s="8" t="s">
        <v>758</v>
      </c>
      <c r="B25" s="8" t="s">
        <v>740</v>
      </c>
      <c r="C25" s="8" t="s">
        <v>33</v>
      </c>
      <c r="D25" s="8" t="s">
        <v>759</v>
      </c>
      <c r="E25" s="8" t="s">
        <v>760</v>
      </c>
      <c r="F25" s="8">
        <v>53.151900000000005</v>
      </c>
      <c r="G25" s="8">
        <v>61.747203999999996</v>
      </c>
      <c r="H25" s="8">
        <v>71.976656000000006</v>
      </c>
      <c r="I25" s="8">
        <v>83.441271</v>
      </c>
      <c r="J25" s="8">
        <v>95.176504000000008</v>
      </c>
      <c r="K25" s="8">
        <v>107.420393</v>
      </c>
      <c r="L25" s="8">
        <v>120.85324300000001</v>
      </c>
      <c r="M25" s="8">
        <v>135.34040200000001</v>
      </c>
      <c r="N25" s="8">
        <v>149.370653</v>
      </c>
      <c r="O25" s="8">
        <v>162.250123</v>
      </c>
      <c r="P25" s="8">
        <v>174.692656</v>
      </c>
      <c r="Q25" s="8">
        <v>185.76992100000001</v>
      </c>
      <c r="R25" s="8">
        <v>195.43275</v>
      </c>
      <c r="S25" s="8">
        <v>204.33481</v>
      </c>
      <c r="T25" s="8">
        <v>212.56493800000001</v>
      </c>
    </row>
    <row r="26" spans="1:20" x14ac:dyDescent="0.3">
      <c r="A26" s="8" t="s">
        <v>758</v>
      </c>
      <c r="B26" s="8" t="s">
        <v>740</v>
      </c>
      <c r="C26" s="8" t="s">
        <v>360</v>
      </c>
      <c r="D26" s="8" t="s">
        <v>759</v>
      </c>
      <c r="E26" s="8" t="s">
        <v>760</v>
      </c>
      <c r="F26" s="8">
        <v>0.20789099999999999</v>
      </c>
      <c r="G26" s="8">
        <v>0.22644</v>
      </c>
      <c r="H26" s="8">
        <v>0.231992</v>
      </c>
      <c r="I26" s="8">
        <v>0.23728800000000003</v>
      </c>
      <c r="J26" s="8">
        <v>0.24096600000000001</v>
      </c>
      <c r="K26" s="8">
        <v>0.24646199999999999</v>
      </c>
      <c r="L26" s="8">
        <v>0.25297599999999998</v>
      </c>
      <c r="M26" s="8">
        <v>0.25763799999999998</v>
      </c>
      <c r="N26" s="8">
        <v>0.258747</v>
      </c>
      <c r="O26" s="8">
        <v>0.262042</v>
      </c>
      <c r="P26" s="8">
        <v>0.26448300000000002</v>
      </c>
      <c r="Q26" s="8">
        <v>0.26900000000000002</v>
      </c>
      <c r="R26" s="8">
        <v>0.27430300000000002</v>
      </c>
      <c r="S26" s="8">
        <v>0.27779700000000002</v>
      </c>
      <c r="T26" s="8">
        <v>0.28042600000000001</v>
      </c>
    </row>
    <row r="27" spans="1:20" x14ac:dyDescent="0.3">
      <c r="A27" s="8" t="s">
        <v>758</v>
      </c>
      <c r="B27" s="8" t="s">
        <v>740</v>
      </c>
      <c r="C27" s="8" t="s">
        <v>35</v>
      </c>
      <c r="D27" s="8" t="s">
        <v>759</v>
      </c>
      <c r="E27" s="8" t="s">
        <v>760</v>
      </c>
      <c r="F27" s="8">
        <v>4.6859000000000005E-2</v>
      </c>
      <c r="G27" s="8">
        <v>6.2363999999999996E-2</v>
      </c>
      <c r="H27" s="8">
        <v>8.3230999999999999E-2</v>
      </c>
      <c r="I27" s="8">
        <v>0.10526600000000001</v>
      </c>
      <c r="J27" s="8">
        <v>0.130664</v>
      </c>
      <c r="K27" s="8">
        <v>0.15696000000000002</v>
      </c>
      <c r="L27" s="8">
        <v>0.184888</v>
      </c>
      <c r="M27" s="8">
        <v>0.218333</v>
      </c>
      <c r="N27" s="8">
        <v>0.257882</v>
      </c>
      <c r="O27" s="8">
        <v>0.29552899999999999</v>
      </c>
      <c r="P27" s="8">
        <v>0.33048700000000003</v>
      </c>
      <c r="Q27" s="8">
        <v>0.36362700000000003</v>
      </c>
      <c r="R27" s="8">
        <v>0.393175</v>
      </c>
      <c r="S27" s="8">
        <v>0.41909300000000005</v>
      </c>
      <c r="T27" s="8">
        <v>0.43989400000000001</v>
      </c>
    </row>
    <row r="28" spans="1:20" x14ac:dyDescent="0.3">
      <c r="A28" s="8" t="s">
        <v>758</v>
      </c>
      <c r="B28" s="8" t="s">
        <v>740</v>
      </c>
      <c r="C28" s="8" t="s">
        <v>363</v>
      </c>
      <c r="D28" s="8" t="s">
        <v>759</v>
      </c>
      <c r="E28" s="8" t="s">
        <v>760</v>
      </c>
      <c r="F28" s="8">
        <v>0.17471100000000001</v>
      </c>
      <c r="G28" s="8">
        <v>0.19376099999999999</v>
      </c>
      <c r="H28" s="8">
        <v>0.21845100000000001</v>
      </c>
      <c r="I28" s="8">
        <v>0.25112600000000002</v>
      </c>
      <c r="J28" s="8">
        <v>0.29400900000000002</v>
      </c>
      <c r="K28" s="8">
        <v>0.34644999999999998</v>
      </c>
      <c r="L28" s="8">
        <v>0.40860700000000005</v>
      </c>
      <c r="M28" s="8">
        <v>0.47729199999999999</v>
      </c>
      <c r="N28" s="8">
        <v>0.55183199999999999</v>
      </c>
      <c r="O28" s="8">
        <v>0.52236300000000002</v>
      </c>
      <c r="P28" s="8">
        <v>0.57914599999999994</v>
      </c>
      <c r="Q28" s="8">
        <v>0.65762399999999999</v>
      </c>
      <c r="R28" s="8">
        <v>0.70161099999999998</v>
      </c>
      <c r="S28" s="8">
        <v>0.73998900000000001</v>
      </c>
      <c r="T28" s="8">
        <v>0.76999699999999904</v>
      </c>
    </row>
    <row r="29" spans="1:20" x14ac:dyDescent="0.3">
      <c r="A29" s="8" t="s">
        <v>758</v>
      </c>
      <c r="B29" s="8" t="s">
        <v>740</v>
      </c>
      <c r="C29" s="8" t="s">
        <v>37</v>
      </c>
      <c r="D29" s="8" t="s">
        <v>759</v>
      </c>
      <c r="E29" s="8" t="s">
        <v>760</v>
      </c>
      <c r="F29" s="8">
        <v>0.408831</v>
      </c>
      <c r="G29" s="8">
        <v>0.45710200000000001</v>
      </c>
      <c r="H29" s="8">
        <v>0.50722400000000001</v>
      </c>
      <c r="I29" s="8">
        <v>0.56902300000000006</v>
      </c>
      <c r="J29" s="8">
        <v>0.58882899999999994</v>
      </c>
      <c r="K29" s="8">
        <v>0.70923000000000003</v>
      </c>
      <c r="L29" s="8">
        <v>0.91592799999999996</v>
      </c>
      <c r="M29" s="8">
        <v>1.1186579999999999</v>
      </c>
      <c r="N29" s="8">
        <v>1.321744</v>
      </c>
      <c r="O29" s="8">
        <v>1.523992</v>
      </c>
      <c r="P29" s="8">
        <v>1.709362</v>
      </c>
      <c r="Q29" s="8">
        <v>1.875451</v>
      </c>
      <c r="R29" s="8">
        <v>2.0700639999999999</v>
      </c>
      <c r="S29" s="8">
        <v>2.2822370000000003</v>
      </c>
      <c r="T29" s="8">
        <v>2.5235509999999999</v>
      </c>
    </row>
    <row r="30" spans="1:20" x14ac:dyDescent="0.3">
      <c r="A30" s="8" t="s">
        <v>758</v>
      </c>
      <c r="B30" s="8" t="s">
        <v>740</v>
      </c>
      <c r="C30" s="8" t="s">
        <v>366</v>
      </c>
      <c r="D30" s="8" t="s">
        <v>759</v>
      </c>
      <c r="E30" s="8" t="s">
        <v>760</v>
      </c>
      <c r="F30" s="8">
        <v>1.4265150000000002</v>
      </c>
      <c r="G30" s="8">
        <v>1.5338630000000002</v>
      </c>
      <c r="H30" s="8">
        <v>1.6647660000000002</v>
      </c>
      <c r="I30" s="8">
        <v>1.8299259999999999</v>
      </c>
      <c r="J30" s="8">
        <v>2.0449570000000001</v>
      </c>
      <c r="K30" s="8">
        <v>2.2613349999999999</v>
      </c>
      <c r="L30" s="8">
        <v>2.4026619999999999</v>
      </c>
      <c r="M30" s="8">
        <v>2.5380210000000001</v>
      </c>
      <c r="N30" s="8">
        <v>2.7658040000000002</v>
      </c>
      <c r="O30" s="8">
        <v>3.237384</v>
      </c>
      <c r="P30" s="8">
        <v>3.7064250000000003</v>
      </c>
      <c r="Q30" s="8">
        <v>4.1602589999999999</v>
      </c>
      <c r="R30" s="8">
        <v>4.6144570000000007</v>
      </c>
      <c r="S30" s="8">
        <v>4.780856</v>
      </c>
      <c r="T30" s="8">
        <v>5.272024</v>
      </c>
    </row>
    <row r="31" spans="1:20" x14ac:dyDescent="0.3">
      <c r="A31" s="8" t="s">
        <v>758</v>
      </c>
      <c r="B31" s="8" t="s">
        <v>740</v>
      </c>
      <c r="C31" s="8" t="s">
        <v>39</v>
      </c>
      <c r="D31" s="8" t="s">
        <v>759</v>
      </c>
      <c r="E31" s="8" t="s">
        <v>760</v>
      </c>
      <c r="F31" s="8">
        <v>13.593591</v>
      </c>
      <c r="G31" s="8">
        <v>15.535941999999999</v>
      </c>
      <c r="H31" s="8">
        <v>17.720946999999999</v>
      </c>
      <c r="I31" s="8">
        <v>19.505728000000001</v>
      </c>
      <c r="J31" s="8">
        <v>21.181539000000001</v>
      </c>
      <c r="K31" s="8">
        <v>22.975505000000002</v>
      </c>
      <c r="L31" s="8">
        <v>24.356256000000002</v>
      </c>
      <c r="M31" s="8">
        <v>25.720924</v>
      </c>
      <c r="N31" s="8">
        <v>27.467238000000002</v>
      </c>
      <c r="O31" s="8">
        <v>29.136975</v>
      </c>
      <c r="P31" s="8">
        <v>30.529607000000002</v>
      </c>
      <c r="Q31" s="8">
        <v>32.060726000000003</v>
      </c>
      <c r="R31" s="8">
        <v>33.783042000000002</v>
      </c>
      <c r="S31" s="8">
        <v>35.562311999999999</v>
      </c>
      <c r="T31" s="8">
        <v>37.758235999999997</v>
      </c>
    </row>
    <row r="32" spans="1:20" x14ac:dyDescent="0.3">
      <c r="A32" s="8" t="s">
        <v>758</v>
      </c>
      <c r="B32" s="8" t="s">
        <v>740</v>
      </c>
      <c r="C32" s="8" t="s">
        <v>41</v>
      </c>
      <c r="D32" s="8" t="s">
        <v>759</v>
      </c>
      <c r="E32" s="8" t="s">
        <v>760</v>
      </c>
      <c r="F32" s="8">
        <v>4.668088</v>
      </c>
      <c r="G32" s="8">
        <v>4.9707059999999998</v>
      </c>
      <c r="H32" s="8">
        <v>5.2960519999999995</v>
      </c>
      <c r="I32" s="8">
        <v>5.8297129999999999</v>
      </c>
      <c r="J32" s="8">
        <v>6.1690800000000001</v>
      </c>
      <c r="K32" s="8">
        <v>6.3559750000000008</v>
      </c>
      <c r="L32" s="8">
        <v>6.3034030000000003</v>
      </c>
      <c r="M32" s="8">
        <v>6.4554020000000003</v>
      </c>
      <c r="N32" s="8">
        <v>6.6731679999999995</v>
      </c>
      <c r="O32" s="8">
        <v>7.0166230000000001</v>
      </c>
      <c r="P32" s="8">
        <v>7.1625370000000004</v>
      </c>
      <c r="Q32" s="8">
        <v>7.4065789999999998</v>
      </c>
      <c r="R32" s="8">
        <v>7.7763109999999998</v>
      </c>
      <c r="S32" s="8">
        <v>8.2369199999999996</v>
      </c>
      <c r="T32" s="8">
        <v>8.606425999999999</v>
      </c>
    </row>
    <row r="33" spans="1:20" x14ac:dyDescent="0.3">
      <c r="A33" s="8" t="s">
        <v>758</v>
      </c>
      <c r="B33" s="8" t="s">
        <v>740</v>
      </c>
      <c r="C33" s="8" t="s">
        <v>43</v>
      </c>
      <c r="D33" s="8" t="s">
        <v>759</v>
      </c>
      <c r="E33" s="8" t="s">
        <v>760</v>
      </c>
      <c r="F33" s="8">
        <v>6.5638940000000003</v>
      </c>
      <c r="G33" s="8">
        <v>7.2465240000000009</v>
      </c>
      <c r="H33" s="8">
        <v>8.0563819999999993</v>
      </c>
      <c r="I33" s="8">
        <v>8.9105070000000115</v>
      </c>
      <c r="J33" s="8">
        <v>9.7381970000000102</v>
      </c>
      <c r="K33" s="8">
        <v>10.555343000000001</v>
      </c>
      <c r="L33" s="8">
        <v>11.386865999999999</v>
      </c>
      <c r="M33" s="8">
        <v>12.234871999999999</v>
      </c>
      <c r="N33" s="8">
        <v>13.234942</v>
      </c>
      <c r="O33" s="8">
        <v>14.316073000000001</v>
      </c>
      <c r="P33" s="8">
        <v>15.264469</v>
      </c>
      <c r="Q33" s="8">
        <v>16.096458999999999</v>
      </c>
      <c r="R33" s="8">
        <v>16.920062000000001</v>
      </c>
      <c r="S33" s="8">
        <v>17.779025000000001</v>
      </c>
      <c r="T33" s="8">
        <v>19.206692</v>
      </c>
    </row>
    <row r="34" spans="1:20" x14ac:dyDescent="0.3">
      <c r="A34" s="8" t="s">
        <v>758</v>
      </c>
      <c r="B34" s="8" t="s">
        <v>740</v>
      </c>
      <c r="C34" s="8" t="s">
        <v>45</v>
      </c>
      <c r="D34" s="8" t="s">
        <v>759</v>
      </c>
      <c r="E34" s="8" t="s">
        <v>760</v>
      </c>
      <c r="F34" s="8">
        <v>539.19000500000004</v>
      </c>
      <c r="G34" s="8">
        <v>596.56417299999998</v>
      </c>
      <c r="H34" s="8">
        <v>654.29135199999996</v>
      </c>
      <c r="I34" s="8">
        <v>714.13899900000001</v>
      </c>
      <c r="J34" s="8">
        <v>811.78718000000003</v>
      </c>
      <c r="K34" s="8">
        <v>907.82279799999992</v>
      </c>
      <c r="L34" s="8">
        <v>975.15739500000007</v>
      </c>
      <c r="M34" s="8">
        <v>1051.9254450000001</v>
      </c>
      <c r="N34" s="8">
        <v>1143.766993</v>
      </c>
      <c r="O34" s="8">
        <v>1212.8781839999999</v>
      </c>
      <c r="P34" s="8">
        <v>1259.6101550000001</v>
      </c>
      <c r="Q34" s="8">
        <v>1300.8477500000001</v>
      </c>
      <c r="R34" s="8">
        <v>1343.697578</v>
      </c>
      <c r="S34" s="8">
        <v>1389.7945549999999</v>
      </c>
      <c r="T34" s="8">
        <v>1423.9980170000001</v>
      </c>
    </row>
    <row r="35" spans="1:20" x14ac:dyDescent="0.3">
      <c r="A35" s="8" t="s">
        <v>758</v>
      </c>
      <c r="B35" s="8" t="s">
        <v>740</v>
      </c>
      <c r="C35" s="8" t="s">
        <v>46</v>
      </c>
      <c r="D35" s="8" t="s">
        <v>759</v>
      </c>
      <c r="E35" s="8" t="s">
        <v>760</v>
      </c>
      <c r="F35" s="8">
        <v>2.6985140000000003</v>
      </c>
      <c r="G35" s="8">
        <v>3.1073840000000001</v>
      </c>
      <c r="H35" s="8">
        <v>3.6415440000000001</v>
      </c>
      <c r="I35" s="8">
        <v>4.4055100000000005</v>
      </c>
      <c r="J35" s="8">
        <v>5.3613390000000001</v>
      </c>
      <c r="K35" s="8">
        <v>6.6981700000000002</v>
      </c>
      <c r="L35" s="8">
        <v>8.147316</v>
      </c>
      <c r="M35" s="8">
        <v>9.7920059999999989</v>
      </c>
      <c r="N35" s="8">
        <v>11.683761000000001</v>
      </c>
      <c r="O35" s="8">
        <v>14.047083000000001</v>
      </c>
      <c r="P35" s="8">
        <v>16.575192999999999</v>
      </c>
      <c r="Q35" s="8">
        <v>18.757906999999999</v>
      </c>
      <c r="R35" s="8">
        <v>20.896434000000003</v>
      </c>
      <c r="S35" s="8">
        <v>23.291820999999999</v>
      </c>
      <c r="T35" s="8">
        <v>26.477572000000002</v>
      </c>
    </row>
    <row r="36" spans="1:20" x14ac:dyDescent="0.3">
      <c r="A36" s="8" t="s">
        <v>758</v>
      </c>
      <c r="B36" s="8" t="s">
        <v>740</v>
      </c>
      <c r="C36" s="8" t="s">
        <v>48</v>
      </c>
      <c r="D36" s="8" t="s">
        <v>759</v>
      </c>
      <c r="E36" s="8" t="s">
        <v>760</v>
      </c>
      <c r="F36" s="8">
        <v>4.2830469999999998</v>
      </c>
      <c r="G36" s="8">
        <v>4.6302129999999995</v>
      </c>
      <c r="H36" s="8">
        <v>5.0778419999999995</v>
      </c>
      <c r="I36" s="8">
        <v>5.6217420000000002</v>
      </c>
      <c r="J36" s="8">
        <v>6.3675230000000003</v>
      </c>
      <c r="K36" s="8">
        <v>7.2943040000000003</v>
      </c>
      <c r="L36" s="8">
        <v>8.3583210000000001</v>
      </c>
      <c r="M36" s="8">
        <v>9.6531359999999999</v>
      </c>
      <c r="N36" s="8">
        <v>11.257056</v>
      </c>
      <c r="O36" s="8">
        <v>13.029933000000002</v>
      </c>
      <c r="P36" s="8">
        <v>14.893825999999999</v>
      </c>
      <c r="Q36" s="8">
        <v>17.041084999999999</v>
      </c>
      <c r="R36" s="8">
        <v>19.594708999999998</v>
      </c>
      <c r="S36" s="8">
        <v>22.662455999999999</v>
      </c>
      <c r="T36" s="8">
        <v>26.137122000000002</v>
      </c>
    </row>
    <row r="37" spans="1:20" x14ac:dyDescent="0.3">
      <c r="A37" s="8" t="s">
        <v>758</v>
      </c>
      <c r="B37" s="8" t="s">
        <v>740</v>
      </c>
      <c r="C37" s="8" t="s">
        <v>720</v>
      </c>
      <c r="D37" s="8" t="s">
        <v>759</v>
      </c>
      <c r="E37" s="8" t="s">
        <v>760</v>
      </c>
      <c r="F37" s="8">
        <v>12.174049000000002</v>
      </c>
      <c r="G37" s="8">
        <v>13.491282</v>
      </c>
      <c r="H37" s="8">
        <v>15.08151</v>
      </c>
      <c r="I37" s="8">
        <v>17.192926</v>
      </c>
      <c r="J37" s="8">
        <v>19.864961999999998</v>
      </c>
      <c r="K37" s="8">
        <v>22.748437000000003</v>
      </c>
      <c r="L37" s="8">
        <v>26.334923</v>
      </c>
      <c r="M37" s="8">
        <v>30.354676999999999</v>
      </c>
      <c r="N37" s="8">
        <v>35.371988999999999</v>
      </c>
      <c r="O37" s="8">
        <v>42.740354000000004</v>
      </c>
      <c r="P37" s="8">
        <v>47.901635000000006</v>
      </c>
      <c r="Q37" s="8">
        <v>55.661763000000001</v>
      </c>
      <c r="R37" s="8">
        <v>65.295328999999995</v>
      </c>
      <c r="S37" s="8">
        <v>77.325520999999995</v>
      </c>
      <c r="T37" s="8">
        <v>91.331955000000107</v>
      </c>
    </row>
    <row r="38" spans="1:20" x14ac:dyDescent="0.3">
      <c r="A38" s="8" t="s">
        <v>758</v>
      </c>
      <c r="B38" s="8" t="s">
        <v>740</v>
      </c>
      <c r="C38" s="8" t="s">
        <v>744</v>
      </c>
      <c r="D38" s="8" t="s">
        <v>759</v>
      </c>
      <c r="E38" s="8" t="s">
        <v>760</v>
      </c>
      <c r="F38" s="8">
        <v>0.82623900000000006</v>
      </c>
      <c r="G38" s="8">
        <v>0.9225270000000001</v>
      </c>
      <c r="H38" s="8">
        <v>1.0421050000000001</v>
      </c>
      <c r="I38" s="8">
        <v>1.190453</v>
      </c>
      <c r="J38" s="8">
        <v>1.3759020000000002</v>
      </c>
      <c r="K38" s="8">
        <v>1.6047280000000002</v>
      </c>
      <c r="L38" s="8">
        <v>1.808691</v>
      </c>
      <c r="M38" s="8">
        <v>2.0317880000000001</v>
      </c>
      <c r="N38" s="8">
        <v>2.3525839999999998</v>
      </c>
      <c r="O38" s="8">
        <v>2.704958</v>
      </c>
      <c r="P38" s="8">
        <v>3.0555279999999998</v>
      </c>
      <c r="Q38" s="8">
        <v>3.603364</v>
      </c>
      <c r="R38" s="8">
        <v>4.3635820000000001</v>
      </c>
      <c r="S38" s="8">
        <v>5.003857</v>
      </c>
      <c r="T38" s="8">
        <v>5.6352880000000001</v>
      </c>
    </row>
    <row r="39" spans="1:20" x14ac:dyDescent="0.3">
      <c r="A39" s="8" t="s">
        <v>758</v>
      </c>
      <c r="B39" s="8" t="s">
        <v>740</v>
      </c>
      <c r="C39" s="8" t="s">
        <v>52</v>
      </c>
      <c r="D39" s="8" t="s">
        <v>759</v>
      </c>
      <c r="E39" s="8" t="s">
        <v>760</v>
      </c>
      <c r="F39" s="8">
        <v>11.614844</v>
      </c>
      <c r="G39" s="8">
        <v>13.317298000000001</v>
      </c>
      <c r="H39" s="8">
        <v>15.444401000000001</v>
      </c>
      <c r="I39" s="8">
        <v>18.006307</v>
      </c>
      <c r="J39" s="8">
        <v>20.64995</v>
      </c>
      <c r="K39" s="8">
        <v>23.148948000000001</v>
      </c>
      <c r="L39" s="8">
        <v>25.871790000000001</v>
      </c>
      <c r="M39" s="8">
        <v>29.012428</v>
      </c>
      <c r="N39" s="8">
        <v>32.258764999999997</v>
      </c>
      <c r="O39" s="8">
        <v>35.638294999999999</v>
      </c>
      <c r="P39" s="8">
        <v>38.901889000000004</v>
      </c>
      <c r="Q39" s="8">
        <v>41.941894999999995</v>
      </c>
      <c r="R39" s="8">
        <v>44.564536999999994</v>
      </c>
      <c r="S39" s="8">
        <v>46.894748</v>
      </c>
      <c r="T39" s="8">
        <v>50.617025999999996</v>
      </c>
    </row>
    <row r="40" spans="1:20" x14ac:dyDescent="0.3">
      <c r="A40" s="8" t="s">
        <v>758</v>
      </c>
      <c r="B40" s="8" t="s">
        <v>740</v>
      </c>
      <c r="C40" s="8" t="s">
        <v>381</v>
      </c>
      <c r="D40" s="8" t="s">
        <v>759</v>
      </c>
      <c r="E40" s="8" t="s">
        <v>760</v>
      </c>
      <c r="F40" s="8">
        <v>0.15995900000000002</v>
      </c>
      <c r="G40" s="8">
        <v>0.176371</v>
      </c>
      <c r="H40" s="8">
        <v>0.19301300000000002</v>
      </c>
      <c r="I40" s="8">
        <v>0.212751</v>
      </c>
      <c r="J40" s="8">
        <v>0.23909200000000003</v>
      </c>
      <c r="K40" s="8">
        <v>0.27583100000000005</v>
      </c>
      <c r="L40" s="8">
        <v>0.323295</v>
      </c>
      <c r="M40" s="8">
        <v>0.37055100000000002</v>
      </c>
      <c r="N40" s="8">
        <v>0.42541699999999999</v>
      </c>
      <c r="O40" s="8">
        <v>0.47856700000000002</v>
      </c>
      <c r="P40" s="8">
        <v>0.53141400000000005</v>
      </c>
      <c r="Q40" s="8">
        <v>0.58675999999999995</v>
      </c>
      <c r="R40" s="8">
        <v>0.64913699999999996</v>
      </c>
      <c r="S40" s="8">
        <v>0.72231400000000001</v>
      </c>
      <c r="T40" s="8">
        <v>0.79832700000000001</v>
      </c>
    </row>
    <row r="41" spans="1:20" x14ac:dyDescent="0.3">
      <c r="A41" s="8" t="s">
        <v>758</v>
      </c>
      <c r="B41" s="8" t="s">
        <v>740</v>
      </c>
      <c r="C41" s="8" t="s">
        <v>383</v>
      </c>
      <c r="D41" s="8" t="s">
        <v>759</v>
      </c>
      <c r="E41" s="8" t="s">
        <v>760</v>
      </c>
      <c r="F41" s="8">
        <v>0.183891</v>
      </c>
      <c r="G41" s="8">
        <v>0.19441800000000001</v>
      </c>
      <c r="H41" s="8">
        <v>0.20799000000000001</v>
      </c>
      <c r="I41" s="8">
        <v>0.24019499999999999</v>
      </c>
      <c r="J41" s="8">
        <v>0.28317200000000003</v>
      </c>
      <c r="K41" s="8">
        <v>0.30296000000000001</v>
      </c>
      <c r="L41" s="8">
        <v>0.31516000000000005</v>
      </c>
      <c r="M41" s="8">
        <v>0.33768300000000001</v>
      </c>
      <c r="N41" s="8">
        <v>0.360794</v>
      </c>
      <c r="O41" s="8">
        <v>0.40659600000000001</v>
      </c>
      <c r="P41" s="8">
        <v>0.45428600000000002</v>
      </c>
      <c r="Q41" s="8">
        <v>0.48975000000000002</v>
      </c>
      <c r="R41" s="8">
        <v>0.51820600000000006</v>
      </c>
      <c r="S41" s="8">
        <v>0.54917600000000011</v>
      </c>
      <c r="T41" s="8">
        <v>0.57992900000000003</v>
      </c>
    </row>
    <row r="42" spans="1:20" x14ac:dyDescent="0.3">
      <c r="A42" s="8" t="s">
        <v>758</v>
      </c>
      <c r="B42" s="8" t="s">
        <v>740</v>
      </c>
      <c r="C42" s="8" t="s">
        <v>54</v>
      </c>
      <c r="D42" s="8" t="s">
        <v>759</v>
      </c>
      <c r="E42" s="8" t="s">
        <v>760</v>
      </c>
      <c r="F42" s="8">
        <v>0.93332100000000007</v>
      </c>
      <c r="G42" s="8">
        <v>1.104136</v>
      </c>
      <c r="H42" s="8">
        <v>1.3217129999999999</v>
      </c>
      <c r="I42" s="8">
        <v>1.576721</v>
      </c>
      <c r="J42" s="8">
        <v>1.830908</v>
      </c>
      <c r="K42" s="8">
        <v>2.0845859999999998</v>
      </c>
      <c r="L42" s="8">
        <v>2.3813800000000001</v>
      </c>
      <c r="M42" s="8">
        <v>2.7334520000000002</v>
      </c>
      <c r="N42" s="8">
        <v>3.1180460000000001</v>
      </c>
      <c r="O42" s="8">
        <v>3.5310709999999998</v>
      </c>
      <c r="P42" s="8">
        <v>3.941033</v>
      </c>
      <c r="Q42" s="8">
        <v>4.2845310000000003</v>
      </c>
      <c r="R42" s="8">
        <v>4.5933510000000002</v>
      </c>
      <c r="S42" s="8">
        <v>4.8699930000000009</v>
      </c>
      <c r="T42" s="8">
        <v>5.1053610000000003</v>
      </c>
    </row>
    <row r="43" spans="1:20" x14ac:dyDescent="0.3">
      <c r="A43" s="8" t="s">
        <v>758</v>
      </c>
      <c r="B43" s="8" t="s">
        <v>740</v>
      </c>
      <c r="C43" s="8" t="s">
        <v>388</v>
      </c>
      <c r="D43" s="8" t="s">
        <v>759</v>
      </c>
      <c r="E43" s="8" t="s">
        <v>760</v>
      </c>
      <c r="F43" s="8">
        <v>5.8659030000000003</v>
      </c>
      <c r="G43" s="8">
        <v>6.4923250000000001</v>
      </c>
      <c r="H43" s="8">
        <v>7.1925720000000002</v>
      </c>
      <c r="I43" s="8">
        <v>7.9855780000000003</v>
      </c>
      <c r="J43" s="8">
        <v>8.7894860000000108</v>
      </c>
      <c r="K43" s="8">
        <v>9.4673090000000002</v>
      </c>
      <c r="L43" s="8">
        <v>9.794118000000001</v>
      </c>
      <c r="M43" s="8">
        <v>10.106620999999999</v>
      </c>
      <c r="N43" s="8">
        <v>10.577836</v>
      </c>
      <c r="O43" s="8">
        <v>10.907941000000001</v>
      </c>
      <c r="P43" s="8">
        <v>11.088334000000001</v>
      </c>
      <c r="Q43" s="8">
        <v>11.237251000000001</v>
      </c>
      <c r="R43" s="8">
        <v>11.286643</v>
      </c>
      <c r="S43" s="8">
        <v>11.336244000000001</v>
      </c>
      <c r="T43" s="8">
        <v>11.309226000000001</v>
      </c>
    </row>
    <row r="44" spans="1:20" x14ac:dyDescent="0.3">
      <c r="A44" s="8" t="s">
        <v>758</v>
      </c>
      <c r="B44" s="8" t="s">
        <v>740</v>
      </c>
      <c r="C44" s="8" t="s">
        <v>761</v>
      </c>
      <c r="D44" s="8" t="s">
        <v>759</v>
      </c>
      <c r="E44" s="8" t="s">
        <v>760</v>
      </c>
      <c r="F44" s="8">
        <v>9.7950999999999996E-2</v>
      </c>
      <c r="G44" s="8">
        <v>0.11311600000000001</v>
      </c>
      <c r="H44" s="8">
        <v>0.13043000000000002</v>
      </c>
      <c r="I44" s="8">
        <v>0.140067</v>
      </c>
      <c r="J44" s="8">
        <v>0.14955099999999999</v>
      </c>
      <c r="K44" s="8">
        <v>0.154941</v>
      </c>
      <c r="L44" s="8">
        <v>0.156725</v>
      </c>
      <c r="M44" s="8">
        <v>0.156721</v>
      </c>
      <c r="N44" s="8">
        <v>0.15562400000000001</v>
      </c>
      <c r="O44" s="8">
        <v>0.15138100000000002</v>
      </c>
      <c r="P44" s="8">
        <v>0.14222000000000001</v>
      </c>
      <c r="Q44" s="8">
        <v>0.14608099999999999</v>
      </c>
      <c r="R44" s="8">
        <v>0.15820300000000001</v>
      </c>
      <c r="S44" s="8">
        <v>0.168879</v>
      </c>
      <c r="T44" s="8">
        <v>0.18860099999999999</v>
      </c>
    </row>
    <row r="45" spans="1:20" x14ac:dyDescent="0.3">
      <c r="A45" s="8" t="s">
        <v>758</v>
      </c>
      <c r="B45" s="8" t="s">
        <v>740</v>
      </c>
      <c r="C45" s="8" t="s">
        <v>57</v>
      </c>
      <c r="D45" s="8" t="s">
        <v>759</v>
      </c>
      <c r="E45" s="8" t="s">
        <v>760</v>
      </c>
      <c r="F45" s="8">
        <v>0.49039499999999997</v>
      </c>
      <c r="G45" s="8">
        <v>0.52967200000000003</v>
      </c>
      <c r="H45" s="8">
        <v>0.57985100000000001</v>
      </c>
      <c r="I45" s="8">
        <v>0.61477899999999996</v>
      </c>
      <c r="J45" s="8">
        <v>0.63890599999999997</v>
      </c>
      <c r="K45" s="8">
        <v>0.64487699999999992</v>
      </c>
      <c r="L45" s="8">
        <v>0.67545100000000002</v>
      </c>
      <c r="M45" s="8">
        <v>0.72572100000000006</v>
      </c>
      <c r="N45" s="8">
        <v>0.78312000000000004</v>
      </c>
      <c r="O45" s="8">
        <v>0.85353800000000002</v>
      </c>
      <c r="P45" s="8">
        <v>0.94000099999999998</v>
      </c>
      <c r="Q45" s="8">
        <v>1.0278720000000001</v>
      </c>
      <c r="R45" s="8">
        <v>1.1202890000000001</v>
      </c>
      <c r="S45" s="8">
        <v>1.1820760000000001</v>
      </c>
      <c r="T45" s="8">
        <v>1.2337769999999999</v>
      </c>
    </row>
    <row r="46" spans="1:20" x14ac:dyDescent="0.3">
      <c r="A46" s="8" t="s">
        <v>758</v>
      </c>
      <c r="B46" s="8" t="s">
        <v>740</v>
      </c>
      <c r="C46" s="8" t="s">
        <v>59</v>
      </c>
      <c r="D46" s="8" t="s">
        <v>759</v>
      </c>
      <c r="E46" s="8" t="s">
        <v>760</v>
      </c>
      <c r="F46" s="8">
        <v>8.8762549999999987</v>
      </c>
      <c r="G46" s="8">
        <v>9.2538389999999993</v>
      </c>
      <c r="H46" s="8">
        <v>9.5218769999999999</v>
      </c>
      <c r="I46" s="8">
        <v>9.6864109999999997</v>
      </c>
      <c r="J46" s="8">
        <v>9.7888790000000014</v>
      </c>
      <c r="K46" s="8">
        <v>9.9932049999999997</v>
      </c>
      <c r="L46" s="8">
        <v>10.261797000000001</v>
      </c>
      <c r="M46" s="8">
        <v>10.301135</v>
      </c>
      <c r="N46" s="8">
        <v>10.303006999999999</v>
      </c>
      <c r="O46" s="8">
        <v>10.319338</v>
      </c>
      <c r="P46" s="8">
        <v>10.241482</v>
      </c>
      <c r="Q46" s="8">
        <v>10.269648999999999</v>
      </c>
      <c r="R46" s="8">
        <v>10.442459000000001</v>
      </c>
      <c r="S46" s="8">
        <v>10.521668999999999</v>
      </c>
      <c r="T46" s="8">
        <v>10.537908</v>
      </c>
    </row>
    <row r="47" spans="1:20" x14ac:dyDescent="0.3">
      <c r="A47" s="8" t="s">
        <v>758</v>
      </c>
      <c r="B47" s="8" t="s">
        <v>740</v>
      </c>
      <c r="C47" s="8" t="s">
        <v>61</v>
      </c>
      <c r="D47" s="8" t="s">
        <v>759</v>
      </c>
      <c r="E47" s="8" t="s">
        <v>760</v>
      </c>
      <c r="F47" s="8">
        <v>71.077882000000002</v>
      </c>
      <c r="G47" s="8">
        <v>71.109548000000004</v>
      </c>
      <c r="H47" s="8">
        <v>72.817388000000008</v>
      </c>
      <c r="I47" s="8">
        <v>75.744196000000002</v>
      </c>
      <c r="J47" s="8">
        <v>78.173136999999997</v>
      </c>
      <c r="K47" s="8">
        <v>78.586479999999995</v>
      </c>
      <c r="L47" s="8">
        <v>77.843011000000004</v>
      </c>
      <c r="M47" s="8">
        <v>77.587289999999996</v>
      </c>
      <c r="N47" s="8">
        <v>79.14321799999999</v>
      </c>
      <c r="O47" s="8">
        <v>81.02053500000001</v>
      </c>
      <c r="P47" s="8">
        <v>81.561598000000004</v>
      </c>
      <c r="Q47" s="8">
        <v>81.239198999999999</v>
      </c>
      <c r="R47" s="8">
        <v>81.283430999999993</v>
      </c>
      <c r="S47" s="8">
        <v>81.967590999999999</v>
      </c>
      <c r="T47" s="8">
        <v>83.267651999999998</v>
      </c>
    </row>
    <row r="48" spans="1:20" x14ac:dyDescent="0.3">
      <c r="A48" s="8" t="s">
        <v>758</v>
      </c>
      <c r="B48" s="8" t="s">
        <v>740</v>
      </c>
      <c r="C48" s="8" t="s">
        <v>396</v>
      </c>
      <c r="D48" s="8" t="s">
        <v>759</v>
      </c>
      <c r="E48" s="8" t="s">
        <v>760</v>
      </c>
      <c r="F48" s="8">
        <v>6.1360999999999999E-2</v>
      </c>
      <c r="G48" s="8">
        <v>7.1839E-2</v>
      </c>
      <c r="H48" s="8">
        <v>8.4364000000000008E-2</v>
      </c>
      <c r="I48" s="8">
        <v>0.105769</v>
      </c>
      <c r="J48" s="8">
        <v>0.13980600000000001</v>
      </c>
      <c r="K48" s="8">
        <v>0.199096</v>
      </c>
      <c r="L48" s="8">
        <v>0.31448599999999999</v>
      </c>
      <c r="M48" s="8">
        <v>0.39020600000000005</v>
      </c>
      <c r="N48" s="8">
        <v>0.54471900000000006</v>
      </c>
      <c r="O48" s="8">
        <v>0.62347299999999994</v>
      </c>
      <c r="P48" s="8">
        <v>0.73094000000000003</v>
      </c>
      <c r="Q48" s="8">
        <v>0.82432500000000009</v>
      </c>
      <c r="R48" s="8">
        <v>0.910331</v>
      </c>
      <c r="S48" s="8">
        <v>0.99770800000000004</v>
      </c>
      <c r="T48" s="8">
        <v>1.082341</v>
      </c>
    </row>
    <row r="49" spans="1:20" x14ac:dyDescent="0.3">
      <c r="A49" s="8" t="s">
        <v>758</v>
      </c>
      <c r="B49" s="8" t="s">
        <v>740</v>
      </c>
      <c r="C49" s="8" t="s">
        <v>63</v>
      </c>
      <c r="D49" s="8" t="s">
        <v>759</v>
      </c>
      <c r="E49" s="8" t="s">
        <v>760</v>
      </c>
      <c r="F49" s="8">
        <v>4.2515260000000001</v>
      </c>
      <c r="G49" s="8">
        <v>4.409891</v>
      </c>
      <c r="H49" s="8">
        <v>4.5663320000000001</v>
      </c>
      <c r="I49" s="8">
        <v>4.7366520000000003</v>
      </c>
      <c r="J49" s="8">
        <v>4.9095240000000002</v>
      </c>
      <c r="K49" s="8">
        <v>5.0455680000000003</v>
      </c>
      <c r="L49" s="8">
        <v>5.1234650000000004</v>
      </c>
      <c r="M49" s="8">
        <v>5.1201189999999999</v>
      </c>
      <c r="N49" s="8">
        <v>5.1387120000000008</v>
      </c>
      <c r="O49" s="8">
        <v>5.2248710000000003</v>
      </c>
      <c r="P49" s="8">
        <v>5.3299940000000001</v>
      </c>
      <c r="Q49" s="8">
        <v>5.425675</v>
      </c>
      <c r="R49" s="8">
        <v>5.5380669999999999</v>
      </c>
      <c r="S49" s="8">
        <v>5.664053</v>
      </c>
      <c r="T49" s="8">
        <v>5.8107709999999999</v>
      </c>
    </row>
    <row r="50" spans="1:20" x14ac:dyDescent="0.3">
      <c r="A50" s="8" t="s">
        <v>758</v>
      </c>
      <c r="B50" s="8" t="s">
        <v>740</v>
      </c>
      <c r="C50" s="8" t="s">
        <v>65</v>
      </c>
      <c r="D50" s="8" t="s">
        <v>759</v>
      </c>
      <c r="E50" s="8" t="s">
        <v>760</v>
      </c>
      <c r="F50" s="8">
        <v>2.3458170000000003</v>
      </c>
      <c r="G50" s="8">
        <v>2.7448710000000003</v>
      </c>
      <c r="H50" s="8">
        <v>3.2434470000000002</v>
      </c>
      <c r="I50" s="8">
        <v>3.811121</v>
      </c>
      <c r="J50" s="8">
        <v>4.4141080000000006</v>
      </c>
      <c r="K50" s="8">
        <v>5.0423520000000002</v>
      </c>
      <c r="L50" s="8">
        <v>5.6909099999999997</v>
      </c>
      <c r="M50" s="8">
        <v>6.3499410000000003</v>
      </c>
      <c r="N50" s="8">
        <v>7.0540959999999995</v>
      </c>
      <c r="O50" s="8">
        <v>7.7975079999999997</v>
      </c>
      <c r="P50" s="8">
        <v>8.4760200000000001</v>
      </c>
      <c r="Q50" s="8">
        <v>9.1042360000000002</v>
      </c>
      <c r="R50" s="8">
        <v>9.7116030000000002</v>
      </c>
      <c r="S50" s="8">
        <v>10.344325999999999</v>
      </c>
      <c r="T50" s="8">
        <v>10.939341000000001</v>
      </c>
    </row>
    <row r="51" spans="1:20" x14ac:dyDescent="0.3">
      <c r="A51" s="8" t="s">
        <v>758</v>
      </c>
      <c r="B51" s="8" t="s">
        <v>740</v>
      </c>
      <c r="C51" s="8" t="s">
        <v>67</v>
      </c>
      <c r="D51" s="8" t="s">
        <v>759</v>
      </c>
      <c r="E51" s="8" t="s">
        <v>760</v>
      </c>
      <c r="F51" s="8">
        <v>8.892792</v>
      </c>
      <c r="G51" s="8">
        <v>10.126588</v>
      </c>
      <c r="H51" s="8">
        <v>11.279470999999999</v>
      </c>
      <c r="I51" s="8">
        <v>12.287743000000001</v>
      </c>
      <c r="J51" s="8">
        <v>13.642304000000001</v>
      </c>
      <c r="K51" s="8">
        <v>15.342746999999999</v>
      </c>
      <c r="L51" s="8">
        <v>18.442658999999999</v>
      </c>
      <c r="M51" s="8">
        <v>21.756416000000002</v>
      </c>
      <c r="N51" s="8">
        <v>25.209467</v>
      </c>
      <c r="O51" s="8">
        <v>28.220832999999999</v>
      </c>
      <c r="P51" s="8">
        <v>30.560832999999999</v>
      </c>
      <c r="Q51" s="8">
        <v>32.744433999999998</v>
      </c>
      <c r="R51" s="8">
        <v>35.519331000000001</v>
      </c>
      <c r="S51" s="8">
        <v>39.146480000000004</v>
      </c>
      <c r="T51" s="8">
        <v>43.0909919999999</v>
      </c>
    </row>
    <row r="52" spans="1:20" x14ac:dyDescent="0.3">
      <c r="A52" s="8" t="s">
        <v>758</v>
      </c>
      <c r="B52" s="8" t="s">
        <v>740</v>
      </c>
      <c r="C52" s="8" t="s">
        <v>69</v>
      </c>
      <c r="D52" s="8" t="s">
        <v>759</v>
      </c>
      <c r="E52" s="8" t="s">
        <v>760</v>
      </c>
      <c r="F52" s="8">
        <v>3.4721850000000001</v>
      </c>
      <c r="G52" s="8">
        <v>3.9679479999999998</v>
      </c>
      <c r="H52" s="8">
        <v>4.5529669999999998</v>
      </c>
      <c r="I52" s="8">
        <v>5.2590839999999996</v>
      </c>
      <c r="J52" s="8">
        <v>6.0837380000000003</v>
      </c>
      <c r="K52" s="8">
        <v>7.0074230000000002</v>
      </c>
      <c r="L52" s="8">
        <v>8.0283250000000006</v>
      </c>
      <c r="M52" s="8">
        <v>9.1375859999999989</v>
      </c>
      <c r="N52" s="8">
        <v>10.330392</v>
      </c>
      <c r="O52" s="8">
        <v>11.454815</v>
      </c>
      <c r="P52" s="8">
        <v>12.518489000000001</v>
      </c>
      <c r="Q52" s="8">
        <v>13.651515999999999</v>
      </c>
      <c r="R52" s="8">
        <v>14.865993000000001</v>
      </c>
      <c r="S52" s="8">
        <v>16.075496999999999</v>
      </c>
      <c r="T52" s="8">
        <v>17.487158000000001</v>
      </c>
    </row>
    <row r="53" spans="1:20" x14ac:dyDescent="0.3">
      <c r="A53" s="8" t="s">
        <v>758</v>
      </c>
      <c r="B53" s="8" t="s">
        <v>740</v>
      </c>
      <c r="C53" s="8" t="s">
        <v>721</v>
      </c>
      <c r="D53" s="8" t="s">
        <v>759</v>
      </c>
      <c r="E53" s="8" t="s">
        <v>760</v>
      </c>
      <c r="F53" s="8">
        <v>20.928820000000002</v>
      </c>
      <c r="G53" s="8">
        <v>23.538825000000003</v>
      </c>
      <c r="H53" s="8">
        <v>26.683923</v>
      </c>
      <c r="I53" s="8">
        <v>30.420811</v>
      </c>
      <c r="J53" s="8">
        <v>34.389343000000004</v>
      </c>
      <c r="K53" s="8">
        <v>38.343421999999997</v>
      </c>
      <c r="L53" s="8">
        <v>43.176000000000002</v>
      </c>
      <c r="M53" s="8">
        <v>49.344817000000006</v>
      </c>
      <c r="N53" s="8">
        <v>56.495674000000001</v>
      </c>
      <c r="O53" s="8">
        <v>63.477101000000005</v>
      </c>
      <c r="P53" s="8">
        <v>70.637532000000007</v>
      </c>
      <c r="Q53" s="8">
        <v>78.302414999999996</v>
      </c>
      <c r="R53" s="8">
        <v>86.338937999999999</v>
      </c>
      <c r="S53" s="8">
        <v>96.675400999999994</v>
      </c>
      <c r="T53" s="8">
        <v>106.53871700000001</v>
      </c>
    </row>
    <row r="54" spans="1:20" x14ac:dyDescent="0.3">
      <c r="A54" s="8" t="s">
        <v>758</v>
      </c>
      <c r="B54" s="8" t="s">
        <v>740</v>
      </c>
      <c r="C54" s="8" t="s">
        <v>417</v>
      </c>
      <c r="D54" s="8" t="s">
        <v>759</v>
      </c>
      <c r="E54" s="8" t="s">
        <v>760</v>
      </c>
      <c r="F54" s="8">
        <v>0.81670399999999999</v>
      </c>
      <c r="G54" s="8">
        <v>0.88654900000000003</v>
      </c>
      <c r="H54" s="8">
        <v>0.98219100000000004</v>
      </c>
      <c r="I54" s="8">
        <v>1.10768</v>
      </c>
      <c r="J54" s="8">
        <v>1.256297</v>
      </c>
      <c r="K54" s="8">
        <v>1.4318140000000001</v>
      </c>
      <c r="L54" s="8">
        <v>1.635483</v>
      </c>
      <c r="M54" s="8">
        <v>1.8745530000000001</v>
      </c>
      <c r="N54" s="8">
        <v>2.1265909999999999</v>
      </c>
      <c r="O54" s="8">
        <v>2.0593560000000002</v>
      </c>
      <c r="P54" s="8">
        <v>2.3775059999999999</v>
      </c>
      <c r="Q54" s="8">
        <v>2.798746</v>
      </c>
      <c r="R54" s="8">
        <v>3.1130849999999999</v>
      </c>
      <c r="S54" s="8">
        <v>3.3265370000000001</v>
      </c>
      <c r="T54" s="8">
        <v>3.5236520000000002</v>
      </c>
    </row>
    <row r="55" spans="1:20" x14ac:dyDescent="0.3">
      <c r="A55" s="8" t="s">
        <v>758</v>
      </c>
      <c r="B55" s="8" t="s">
        <v>740</v>
      </c>
      <c r="C55" s="8" t="s">
        <v>733</v>
      </c>
      <c r="D55" s="8" t="s">
        <v>759</v>
      </c>
      <c r="E55" s="8" t="s">
        <v>760</v>
      </c>
      <c r="F55" s="8">
        <v>1.2371E-2</v>
      </c>
      <c r="G55" s="8">
        <v>1.9722000000000003E-2</v>
      </c>
      <c r="H55" s="8">
        <v>3.15E-2</v>
      </c>
      <c r="I55" s="8">
        <v>4.9048000000000001E-2</v>
      </c>
      <c r="J55" s="8">
        <v>7.3809E-2</v>
      </c>
      <c r="K55" s="8">
        <v>7.5624999999999998E-2</v>
      </c>
      <c r="L55" s="8">
        <v>0.111612</v>
      </c>
      <c r="M55" s="8">
        <v>0.147397</v>
      </c>
      <c r="N55" s="8">
        <v>0.175569</v>
      </c>
      <c r="O55" s="8">
        <v>0.20311400000000002</v>
      </c>
      <c r="P55" s="8">
        <v>0.26369500000000001</v>
      </c>
      <c r="Q55" s="8">
        <v>0.33212400000000003</v>
      </c>
      <c r="R55" s="8">
        <v>0.40546399999999999</v>
      </c>
      <c r="S55" s="8">
        <v>0.48495299999999997</v>
      </c>
      <c r="T55" s="8">
        <v>0.55124099999999998</v>
      </c>
    </row>
    <row r="56" spans="1:20" x14ac:dyDescent="0.3">
      <c r="A56" s="8" t="s">
        <v>758</v>
      </c>
      <c r="B56" s="8" t="s">
        <v>740</v>
      </c>
      <c r="C56" s="8" t="s">
        <v>72</v>
      </c>
      <c r="D56" s="8" t="s">
        <v>759</v>
      </c>
      <c r="E56" s="8" t="s">
        <v>760</v>
      </c>
      <c r="F56" s="8">
        <v>28.015563</v>
      </c>
      <c r="G56" s="8">
        <v>28.976884999999999</v>
      </c>
      <c r="H56" s="8">
        <v>30.295344</v>
      </c>
      <c r="I56" s="8">
        <v>31.935554</v>
      </c>
      <c r="J56" s="8">
        <v>33.638249000000002</v>
      </c>
      <c r="K56" s="8">
        <v>35.573580999999997</v>
      </c>
      <c r="L56" s="8">
        <v>37.342359999999999</v>
      </c>
      <c r="M56" s="8">
        <v>38.408303999999994</v>
      </c>
      <c r="N56" s="8">
        <v>38.874178000000001</v>
      </c>
      <c r="O56" s="8">
        <v>39.722334000000004</v>
      </c>
      <c r="P56" s="8">
        <v>40.633716999999997</v>
      </c>
      <c r="Q56" s="8">
        <v>43.330787999999998</v>
      </c>
      <c r="R56" s="8">
        <v>46.488330000000005</v>
      </c>
      <c r="S56" s="8">
        <v>46.433097000000004</v>
      </c>
      <c r="T56" s="8">
        <v>47.329955000000005</v>
      </c>
    </row>
    <row r="57" spans="1:20" x14ac:dyDescent="0.3">
      <c r="A57" s="8" t="s">
        <v>758</v>
      </c>
      <c r="B57" s="8" t="s">
        <v>740</v>
      </c>
      <c r="C57" s="8" t="s">
        <v>74</v>
      </c>
      <c r="D57" s="8" t="s">
        <v>759</v>
      </c>
      <c r="E57" s="8" t="s">
        <v>760</v>
      </c>
      <c r="F57" s="8">
        <v>1.0948309999999999</v>
      </c>
      <c r="G57" s="8">
        <v>1.162126</v>
      </c>
      <c r="H57" s="8">
        <v>1.2105399999999999</v>
      </c>
      <c r="I57" s="8">
        <v>1.285012</v>
      </c>
      <c r="J57" s="8">
        <v>1.3558160000000001</v>
      </c>
      <c r="K57" s="8">
        <v>1.418377</v>
      </c>
      <c r="L57" s="8">
        <v>1.4728510000000001</v>
      </c>
      <c r="M57" s="8">
        <v>1.521147</v>
      </c>
      <c r="N57" s="8">
        <v>1.570705</v>
      </c>
      <c r="O57" s="8">
        <v>1.4627349999999999</v>
      </c>
      <c r="P57" s="8">
        <v>1.401159</v>
      </c>
      <c r="Q57" s="8">
        <v>1.358725</v>
      </c>
      <c r="R57" s="8">
        <v>1.3334100000000002</v>
      </c>
      <c r="S57" s="8">
        <v>1.3132550000000001</v>
      </c>
      <c r="T57" s="8">
        <v>1.329091</v>
      </c>
    </row>
    <row r="58" spans="1:20" x14ac:dyDescent="0.3">
      <c r="A58" s="8" t="s">
        <v>758</v>
      </c>
      <c r="B58" s="8" t="s">
        <v>740</v>
      </c>
      <c r="C58" s="8" t="s">
        <v>76</v>
      </c>
      <c r="D58" s="8" t="s">
        <v>759</v>
      </c>
      <c r="E58" s="8" t="s">
        <v>760</v>
      </c>
      <c r="F58" s="8">
        <v>17.516674999999999</v>
      </c>
      <c r="G58" s="8">
        <v>19.494999</v>
      </c>
      <c r="H58" s="8">
        <v>21.476715000000002</v>
      </c>
      <c r="I58" s="8">
        <v>24.393104999999998</v>
      </c>
      <c r="J58" s="8">
        <v>27.913276999999997</v>
      </c>
      <c r="K58" s="8">
        <v>31.875277000000001</v>
      </c>
      <c r="L58" s="8">
        <v>34.895411000000003</v>
      </c>
      <c r="M58" s="8">
        <v>39.720032000000003</v>
      </c>
      <c r="N58" s="8">
        <v>47.014026000000001</v>
      </c>
      <c r="O58" s="8">
        <v>56.547446000000008</v>
      </c>
      <c r="P58" s="8">
        <v>66.059460000000001</v>
      </c>
      <c r="Q58" s="8">
        <v>76.377213000000012</v>
      </c>
      <c r="R58" s="8">
        <v>87.969898000000001</v>
      </c>
      <c r="S58" s="8">
        <v>101.097184</v>
      </c>
      <c r="T58" s="8">
        <v>115.63835400000001</v>
      </c>
    </row>
    <row r="59" spans="1:20" x14ac:dyDescent="0.3">
      <c r="A59" s="8" t="s">
        <v>758</v>
      </c>
      <c r="B59" s="8" t="s">
        <v>740</v>
      </c>
      <c r="C59" s="8" t="s">
        <v>78</v>
      </c>
      <c r="D59" s="8" t="s">
        <v>759</v>
      </c>
      <c r="E59" s="8" t="s">
        <v>760</v>
      </c>
      <c r="F59" s="8">
        <v>3.9866300000000003</v>
      </c>
      <c r="G59" s="8">
        <v>4.2117070000000005</v>
      </c>
      <c r="H59" s="8">
        <v>4.4136410000000001</v>
      </c>
      <c r="I59" s="8">
        <v>4.5585040000000001</v>
      </c>
      <c r="J59" s="8">
        <v>4.614529000000001</v>
      </c>
      <c r="K59" s="8">
        <v>4.7023479999999998</v>
      </c>
      <c r="L59" s="8">
        <v>4.7711639999999997</v>
      </c>
      <c r="M59" s="8">
        <v>4.8936919999999997</v>
      </c>
      <c r="N59" s="8">
        <v>4.9744920000000006</v>
      </c>
      <c r="O59" s="8">
        <v>5.0989019999999998</v>
      </c>
      <c r="P59" s="8">
        <v>5.1713249999999995</v>
      </c>
      <c r="Q59" s="8">
        <v>5.2365829999999995</v>
      </c>
      <c r="R59" s="8">
        <v>5.3513649999999995</v>
      </c>
      <c r="S59" s="8">
        <v>5.4716990000000001</v>
      </c>
      <c r="T59" s="8">
        <v>5.5252129999999999</v>
      </c>
    </row>
    <row r="60" spans="1:20" x14ac:dyDescent="0.3">
      <c r="A60" s="8" t="s">
        <v>758</v>
      </c>
      <c r="B60" s="8" t="s">
        <v>740</v>
      </c>
      <c r="C60" s="8" t="s">
        <v>427</v>
      </c>
      <c r="D60" s="8" t="s">
        <v>759</v>
      </c>
      <c r="E60" s="8" t="s">
        <v>760</v>
      </c>
      <c r="F60" s="8">
        <v>0.306371</v>
      </c>
      <c r="G60" s="8">
        <v>0.33870100000000003</v>
      </c>
      <c r="H60" s="8">
        <v>0.39552100000000001</v>
      </c>
      <c r="I60" s="8">
        <v>0.462142</v>
      </c>
      <c r="J60" s="8">
        <v>0.522374</v>
      </c>
      <c r="K60" s="8">
        <v>0.57083300000000003</v>
      </c>
      <c r="L60" s="8">
        <v>0.63663700000000001</v>
      </c>
      <c r="M60" s="8">
        <v>0.71913699999999992</v>
      </c>
      <c r="N60" s="8">
        <v>0.776694</v>
      </c>
      <c r="O60" s="8">
        <v>0.79142899999999994</v>
      </c>
      <c r="P60" s="8">
        <v>0.82807799999999998</v>
      </c>
      <c r="Q60" s="8">
        <v>0.87086000000000008</v>
      </c>
      <c r="R60" s="8">
        <v>0.90342100000000003</v>
      </c>
      <c r="S60" s="8">
        <v>0.91654100000000005</v>
      </c>
      <c r="T60" s="8">
        <v>0.91808999999999907</v>
      </c>
    </row>
    <row r="61" spans="1:20" x14ac:dyDescent="0.3">
      <c r="A61" s="8" t="s">
        <v>758</v>
      </c>
      <c r="B61" s="8" t="s">
        <v>740</v>
      </c>
      <c r="C61" s="8" t="s">
        <v>80</v>
      </c>
      <c r="D61" s="8" t="s">
        <v>759</v>
      </c>
      <c r="E61" s="8" t="s">
        <v>760</v>
      </c>
      <c r="F61" s="8">
        <v>41.651595999999998</v>
      </c>
      <c r="G61" s="8">
        <v>43.409292999999998</v>
      </c>
      <c r="H61" s="8">
        <v>45.431131000000001</v>
      </c>
      <c r="I61" s="8">
        <v>47.913747000000001</v>
      </c>
      <c r="J61" s="8">
        <v>50.300049000000001</v>
      </c>
      <c r="K61" s="8">
        <v>52.325406000000001</v>
      </c>
      <c r="L61" s="8">
        <v>53.561951999999998</v>
      </c>
      <c r="M61" s="8">
        <v>54.978703000000003</v>
      </c>
      <c r="N61" s="8">
        <v>56.294255</v>
      </c>
      <c r="O61" s="8">
        <v>57.321870000000004</v>
      </c>
      <c r="P61" s="8">
        <v>58.494936000000003</v>
      </c>
      <c r="Q61" s="8">
        <v>60.312350000000002</v>
      </c>
      <c r="R61" s="8">
        <v>62.272834000000003</v>
      </c>
      <c r="S61" s="8">
        <v>63.715216000000005</v>
      </c>
      <c r="T61" s="8">
        <v>64.457754999999992</v>
      </c>
    </row>
    <row r="62" spans="1:20" x14ac:dyDescent="0.3">
      <c r="A62" s="8" t="s">
        <v>758</v>
      </c>
      <c r="B62" s="8" t="s">
        <v>740</v>
      </c>
      <c r="C62" s="8" t="s">
        <v>745</v>
      </c>
      <c r="D62" s="8" t="s">
        <v>759</v>
      </c>
      <c r="E62" s="8" t="s">
        <v>760</v>
      </c>
      <c r="F62" s="8">
        <v>3.1454999999999997E-2</v>
      </c>
      <c r="G62" s="8">
        <v>3.6268999999999996E-2</v>
      </c>
      <c r="H62" s="8">
        <v>4.2214000000000002E-2</v>
      </c>
      <c r="I62" s="8">
        <v>4.9979000000000003E-2</v>
      </c>
      <c r="J62" s="8">
        <v>5.8091999999999998E-2</v>
      </c>
      <c r="K62" s="8">
        <v>6.6394999999999996E-2</v>
      </c>
      <c r="L62" s="8">
        <v>7.5194999999999998E-2</v>
      </c>
      <c r="M62" s="8">
        <v>8.6751000000000009E-2</v>
      </c>
      <c r="N62" s="8">
        <v>9.7697000000000006E-2</v>
      </c>
      <c r="O62" s="8">
        <v>0.110067</v>
      </c>
      <c r="P62" s="8">
        <v>0.111551</v>
      </c>
      <c r="Q62" s="8">
        <v>0.111217</v>
      </c>
      <c r="R62" s="8">
        <v>0.10745099999999999</v>
      </c>
      <c r="S62" s="8">
        <v>0.10924299999999999</v>
      </c>
      <c r="T62" s="8">
        <v>0.64088300000000009</v>
      </c>
    </row>
    <row r="63" spans="1:20" x14ac:dyDescent="0.3">
      <c r="A63" s="8" t="s">
        <v>758</v>
      </c>
      <c r="B63" s="8" t="s">
        <v>740</v>
      </c>
      <c r="C63" s="8" t="s">
        <v>82</v>
      </c>
      <c r="D63" s="8" t="s">
        <v>759</v>
      </c>
      <c r="E63" s="8" t="s">
        <v>760</v>
      </c>
      <c r="F63" s="8">
        <v>0.47147500000000003</v>
      </c>
      <c r="G63" s="8">
        <v>0.48749599999999998</v>
      </c>
      <c r="H63" s="8">
        <v>0.51045099999999999</v>
      </c>
      <c r="I63" s="8">
        <v>0.54355399999999998</v>
      </c>
      <c r="J63" s="8">
        <v>0.59092499999999992</v>
      </c>
      <c r="K63" s="8">
        <v>0.65591900000000003</v>
      </c>
      <c r="L63" s="8">
        <v>0.73940600000000001</v>
      </c>
      <c r="M63" s="8">
        <v>0.84474900000000008</v>
      </c>
      <c r="N63" s="8">
        <v>0.96965999999999997</v>
      </c>
      <c r="O63" s="8">
        <v>1.1077380000000001</v>
      </c>
      <c r="P63" s="8">
        <v>1.2564649999999999</v>
      </c>
      <c r="Q63" s="8">
        <v>1.4370400000000001</v>
      </c>
      <c r="R63" s="8">
        <v>1.681271</v>
      </c>
      <c r="S63" s="8">
        <v>1.998607</v>
      </c>
      <c r="T63" s="8">
        <v>2.2679939999999998</v>
      </c>
    </row>
    <row r="64" spans="1:20" x14ac:dyDescent="0.3">
      <c r="A64" s="8" t="s">
        <v>758</v>
      </c>
      <c r="B64" s="8" t="s">
        <v>740</v>
      </c>
      <c r="C64" s="8" t="s">
        <v>84</v>
      </c>
      <c r="D64" s="8" t="s">
        <v>759</v>
      </c>
      <c r="E64" s="8" t="s">
        <v>760</v>
      </c>
      <c r="F64" s="8">
        <v>49.931042000000005</v>
      </c>
      <c r="G64" s="8">
        <v>51.087542999999997</v>
      </c>
      <c r="H64" s="8">
        <v>52.382229000000002</v>
      </c>
      <c r="I64" s="8">
        <v>54.054535000000001</v>
      </c>
      <c r="J64" s="8">
        <v>55.538871</v>
      </c>
      <c r="K64" s="8">
        <v>56.258578</v>
      </c>
      <c r="L64" s="8">
        <v>56.287095000000001</v>
      </c>
      <c r="M64" s="8">
        <v>56.607415000000003</v>
      </c>
      <c r="N64" s="8">
        <v>57.134402000000001</v>
      </c>
      <c r="O64" s="8">
        <v>57.862930999999996</v>
      </c>
      <c r="P64" s="8">
        <v>58.734782000000003</v>
      </c>
      <c r="Q64" s="8">
        <v>60.184756</v>
      </c>
      <c r="R64" s="8">
        <v>62.499133</v>
      </c>
      <c r="S64" s="8">
        <v>65.008088000000001</v>
      </c>
      <c r="T64" s="8">
        <v>66.951172000000014</v>
      </c>
    </row>
    <row r="65" spans="1:20" x14ac:dyDescent="0.3">
      <c r="A65" s="8" t="s">
        <v>758</v>
      </c>
      <c r="B65" s="8" t="s">
        <v>740</v>
      </c>
      <c r="C65" s="8" t="s">
        <v>86</v>
      </c>
      <c r="D65" s="8" t="s">
        <v>759</v>
      </c>
      <c r="E65" s="8" t="s">
        <v>760</v>
      </c>
      <c r="F65" s="8">
        <v>3.4977510000000001</v>
      </c>
      <c r="G65" s="8">
        <v>3.7126610000000002</v>
      </c>
      <c r="H65" s="8">
        <v>4.0147120000000003</v>
      </c>
      <c r="I65" s="8">
        <v>4.3853439999999999</v>
      </c>
      <c r="J65" s="8">
        <v>4.779998</v>
      </c>
      <c r="K65" s="8">
        <v>4.95296</v>
      </c>
      <c r="L65" s="8">
        <v>5.1282510000000006</v>
      </c>
      <c r="M65" s="8">
        <v>5.3194089999999994</v>
      </c>
      <c r="N65" s="8">
        <v>5.4244340000000006</v>
      </c>
      <c r="O65" s="8">
        <v>4.9340850000000005</v>
      </c>
      <c r="P65" s="8">
        <v>4.330978</v>
      </c>
      <c r="Q65" s="8">
        <v>3.9747280000000003</v>
      </c>
      <c r="R65" s="8">
        <v>3.8438430000000001</v>
      </c>
      <c r="S65" s="8">
        <v>3.7716320000000003</v>
      </c>
      <c r="T65" s="8">
        <v>3.769183</v>
      </c>
    </row>
    <row r="66" spans="1:20" x14ac:dyDescent="0.3">
      <c r="A66" s="8" t="s">
        <v>758</v>
      </c>
      <c r="B66" s="8" t="s">
        <v>740</v>
      </c>
      <c r="C66" s="8" t="s">
        <v>88</v>
      </c>
      <c r="D66" s="8" t="s">
        <v>759</v>
      </c>
      <c r="E66" s="8" t="s">
        <v>760</v>
      </c>
      <c r="F66" s="8">
        <v>5.0091480000000006</v>
      </c>
      <c r="G66" s="8">
        <v>5.7943490000000004</v>
      </c>
      <c r="H66" s="8">
        <v>6.7990409999999999</v>
      </c>
      <c r="I66" s="8">
        <v>7.7322110000000004</v>
      </c>
      <c r="J66" s="8">
        <v>8.7395069999999997</v>
      </c>
      <c r="K66" s="8">
        <v>10.061995999999999</v>
      </c>
      <c r="L66" s="8">
        <v>11.695568</v>
      </c>
      <c r="M66" s="8">
        <v>13.495666999999999</v>
      </c>
      <c r="N66" s="8">
        <v>15.246974</v>
      </c>
      <c r="O66" s="8">
        <v>17.237582</v>
      </c>
      <c r="P66" s="8">
        <v>19.412396000000001</v>
      </c>
      <c r="Q66" s="8">
        <v>22.197966000000001</v>
      </c>
      <c r="R66" s="8">
        <v>25.264754</v>
      </c>
      <c r="S66" s="8">
        <v>28.531848999999998</v>
      </c>
      <c r="T66" s="8">
        <v>31.849246999999998</v>
      </c>
    </row>
    <row r="67" spans="1:20" x14ac:dyDescent="0.3">
      <c r="A67" s="8" t="s">
        <v>758</v>
      </c>
      <c r="B67" s="8" t="s">
        <v>740</v>
      </c>
      <c r="C67" s="8" t="s">
        <v>440</v>
      </c>
      <c r="D67" s="8" t="s">
        <v>759</v>
      </c>
      <c r="E67" s="8" t="s">
        <v>760</v>
      </c>
      <c r="F67" s="8">
        <v>2.9590350000000001</v>
      </c>
      <c r="G67" s="8">
        <v>3.20763</v>
      </c>
      <c r="H67" s="8">
        <v>3.486386</v>
      </c>
      <c r="I67" s="8">
        <v>3.809758</v>
      </c>
      <c r="J67" s="8">
        <v>4.1840730000000006</v>
      </c>
      <c r="K67" s="8">
        <v>4.5526559999999998</v>
      </c>
      <c r="L67" s="8">
        <v>4.9271660000000006</v>
      </c>
      <c r="M67" s="8">
        <v>5.4642809999999997</v>
      </c>
      <c r="N67" s="8">
        <v>6.2158109999999995</v>
      </c>
      <c r="O67" s="8">
        <v>7.3574279999999996</v>
      </c>
      <c r="P67" s="8">
        <v>8.2633500000000009</v>
      </c>
      <c r="Q67" s="8">
        <v>9.0522980000000004</v>
      </c>
      <c r="R67" s="8">
        <v>10.14392</v>
      </c>
      <c r="S67" s="8">
        <v>11.475366000000001</v>
      </c>
      <c r="T67" s="8">
        <v>13.041590000000001</v>
      </c>
    </row>
    <row r="68" spans="1:20" x14ac:dyDescent="0.3">
      <c r="A68" s="8" t="s">
        <v>758</v>
      </c>
      <c r="B68" s="8" t="s">
        <v>740</v>
      </c>
      <c r="C68" s="8" t="s">
        <v>724</v>
      </c>
      <c r="D68" s="8" t="s">
        <v>759</v>
      </c>
      <c r="E68" s="8" t="s">
        <v>760</v>
      </c>
      <c r="F68" s="8">
        <v>0.21442</v>
      </c>
      <c r="G68" s="8">
        <v>0.23947100000000002</v>
      </c>
      <c r="H68" s="8">
        <v>0.27320900000000004</v>
      </c>
      <c r="I68" s="8">
        <v>0.30139900000000003</v>
      </c>
      <c r="J68" s="8">
        <v>0.31742500000000001</v>
      </c>
      <c r="K68" s="8">
        <v>0.323544</v>
      </c>
      <c r="L68" s="8">
        <v>0.33379900000000001</v>
      </c>
      <c r="M68" s="8">
        <v>0.35435700000000003</v>
      </c>
      <c r="N68" s="8">
        <v>0.38919600000000004</v>
      </c>
      <c r="O68" s="8">
        <v>0.41192899999999999</v>
      </c>
      <c r="P68" s="8">
        <v>0.42531799999999997</v>
      </c>
      <c r="Q68" s="8">
        <v>0.40604199999999996</v>
      </c>
      <c r="R68" s="8">
        <v>0.40296499999999996</v>
      </c>
      <c r="S68" s="8">
        <v>0.39986000000000005</v>
      </c>
      <c r="T68" s="8">
        <v>0.39509299999999903</v>
      </c>
    </row>
    <row r="69" spans="1:20" x14ac:dyDescent="0.3">
      <c r="A69" s="8" t="s">
        <v>758</v>
      </c>
      <c r="B69" s="8" t="s">
        <v>740</v>
      </c>
      <c r="C69" s="8" t="s">
        <v>723</v>
      </c>
      <c r="D69" s="8" t="s">
        <v>759</v>
      </c>
      <c r="E69" s="8" t="s">
        <v>760</v>
      </c>
      <c r="F69" s="8">
        <v>0.30297199999999996</v>
      </c>
      <c r="G69" s="8">
        <v>0.34474400000000005</v>
      </c>
      <c r="H69" s="8">
        <v>0.39416200000000001</v>
      </c>
      <c r="I69" s="8">
        <v>0.45255600000000001</v>
      </c>
      <c r="J69" s="8">
        <v>0.52108399999999999</v>
      </c>
      <c r="K69" s="8">
        <v>0.60368499999999992</v>
      </c>
      <c r="L69" s="8">
        <v>0.70657399999999992</v>
      </c>
      <c r="M69" s="8">
        <v>0.83992</v>
      </c>
      <c r="N69" s="8">
        <v>1.0196559999999999</v>
      </c>
      <c r="O69" s="8">
        <v>1.2239559999999998</v>
      </c>
      <c r="P69" s="8">
        <v>1.4168370000000001</v>
      </c>
      <c r="Q69" s="8">
        <v>1.635723</v>
      </c>
      <c r="R69" s="8">
        <v>1.9073470000000001</v>
      </c>
      <c r="S69" s="8">
        <v>2.2211060000000002</v>
      </c>
      <c r="T69" s="8">
        <v>2.541048</v>
      </c>
    </row>
    <row r="70" spans="1:20" x14ac:dyDescent="0.3">
      <c r="A70" s="8" t="s">
        <v>758</v>
      </c>
      <c r="B70" s="8" t="s">
        <v>740</v>
      </c>
      <c r="C70" s="8" t="s">
        <v>444</v>
      </c>
      <c r="D70" s="8" t="s">
        <v>759</v>
      </c>
      <c r="E70" s="8" t="s">
        <v>760</v>
      </c>
      <c r="F70" s="8">
        <v>0.5395359999999999</v>
      </c>
      <c r="G70" s="8">
        <v>0.56220399999999993</v>
      </c>
      <c r="H70" s="8">
        <v>0.57649899999999998</v>
      </c>
      <c r="I70" s="8">
        <v>0.58331</v>
      </c>
      <c r="J70" s="8">
        <v>0.586785</v>
      </c>
      <c r="K70" s="8">
        <v>0.64018200000000003</v>
      </c>
      <c r="L70" s="8">
        <v>0.82477400000000001</v>
      </c>
      <c r="M70" s="8">
        <v>0.89312599999999998</v>
      </c>
      <c r="N70" s="8">
        <v>0.96594000000000002</v>
      </c>
      <c r="O70" s="8">
        <v>1.1049709999999999</v>
      </c>
      <c r="P70" s="8">
        <v>1.2179549999999999</v>
      </c>
      <c r="Q70" s="8">
        <v>1.363049</v>
      </c>
      <c r="R70" s="8">
        <v>1.5468660000000001</v>
      </c>
      <c r="S70" s="8">
        <v>1.766089</v>
      </c>
      <c r="T70" s="8">
        <v>1.9933019999999999</v>
      </c>
    </row>
    <row r="71" spans="1:20" x14ac:dyDescent="0.3">
      <c r="A71" s="8" t="s">
        <v>758</v>
      </c>
      <c r="B71" s="8" t="s">
        <v>740</v>
      </c>
      <c r="C71" s="8" t="s">
        <v>446</v>
      </c>
      <c r="D71" s="8" t="s">
        <v>759</v>
      </c>
      <c r="E71" s="8" t="s">
        <v>760</v>
      </c>
      <c r="F71" s="8">
        <v>0.22447700000000001</v>
      </c>
      <c r="G71" s="8">
        <v>0.24377299999999999</v>
      </c>
      <c r="H71" s="8">
        <v>0.26497599999999999</v>
      </c>
      <c r="I71" s="8">
        <v>0.29184699999999997</v>
      </c>
      <c r="J71" s="8">
        <v>0.31892899999999996</v>
      </c>
      <c r="K71" s="8">
        <v>0.28681799999999996</v>
      </c>
      <c r="L71" s="8">
        <v>0.27657700000000002</v>
      </c>
      <c r="M71" s="8">
        <v>0.36852300000000004</v>
      </c>
      <c r="N71" s="8">
        <v>0.45688799999999996</v>
      </c>
      <c r="O71" s="8">
        <v>0.55010599999999998</v>
      </c>
      <c r="P71" s="8">
        <v>0.66795799999999994</v>
      </c>
      <c r="Q71" s="8">
        <v>0.84503400000000006</v>
      </c>
      <c r="R71" s="8">
        <v>1.0686420000000001</v>
      </c>
      <c r="S71" s="8">
        <v>1.3209860000000002</v>
      </c>
      <c r="T71" s="8">
        <v>1.5783640000000001</v>
      </c>
    </row>
    <row r="72" spans="1:20" x14ac:dyDescent="0.3">
      <c r="A72" s="8" t="s">
        <v>758</v>
      </c>
      <c r="B72" s="8" t="s">
        <v>740</v>
      </c>
      <c r="C72" s="8" t="s">
        <v>90</v>
      </c>
      <c r="D72" s="8" t="s">
        <v>759</v>
      </c>
      <c r="E72" s="8" t="s">
        <v>760</v>
      </c>
      <c r="F72" s="8">
        <v>7.6202579999999998</v>
      </c>
      <c r="G72" s="8">
        <v>8.099342</v>
      </c>
      <c r="H72" s="8">
        <v>8.4756560000000007</v>
      </c>
      <c r="I72" s="8">
        <v>8.5300429999999992</v>
      </c>
      <c r="J72" s="8">
        <v>8.5319400000000005</v>
      </c>
      <c r="K72" s="8">
        <v>8.7655460000000005</v>
      </c>
      <c r="L72" s="8">
        <v>9.2506399999999989</v>
      </c>
      <c r="M72" s="8">
        <v>9.7913569999999996</v>
      </c>
      <c r="N72" s="8">
        <v>10.257334</v>
      </c>
      <c r="O72" s="8">
        <v>10.68881</v>
      </c>
      <c r="P72" s="8">
        <v>11.018753</v>
      </c>
      <c r="Q72" s="8">
        <v>11.115543000000001</v>
      </c>
      <c r="R72" s="8">
        <v>11.045896000000001</v>
      </c>
      <c r="S72" s="8">
        <v>10.836416</v>
      </c>
      <c r="T72" s="8">
        <v>10.543345</v>
      </c>
    </row>
    <row r="73" spans="1:20" x14ac:dyDescent="0.3">
      <c r="A73" s="8" t="s">
        <v>758</v>
      </c>
      <c r="B73" s="8" t="s">
        <v>740</v>
      </c>
      <c r="C73" s="8" t="s">
        <v>449</v>
      </c>
      <c r="D73" s="8" t="s">
        <v>759</v>
      </c>
      <c r="E73" s="8" t="s">
        <v>760</v>
      </c>
      <c r="F73" s="8">
        <v>7.7018000000000003E-2</v>
      </c>
      <c r="G73" s="8">
        <v>8.1754000000000007E-2</v>
      </c>
      <c r="H73" s="8">
        <v>9.2965000000000006E-2</v>
      </c>
      <c r="I73" s="8">
        <v>9.7951999999999997E-2</v>
      </c>
      <c r="J73" s="8">
        <v>9.8906000000000008E-2</v>
      </c>
      <c r="K73" s="8">
        <v>9.7345000000000001E-2</v>
      </c>
      <c r="L73" s="8">
        <v>9.4944000000000001E-2</v>
      </c>
      <c r="M73" s="8">
        <v>0.10024</v>
      </c>
      <c r="N73" s="8">
        <v>9.9016000000000007E-2</v>
      </c>
      <c r="O73" s="8">
        <v>0.10364400000000001</v>
      </c>
      <c r="P73" s="8">
        <v>0.107129</v>
      </c>
      <c r="Q73" s="8">
        <v>0.109879</v>
      </c>
      <c r="R73" s="8">
        <v>0.11364300000000001</v>
      </c>
      <c r="S73" s="8">
        <v>0.11848</v>
      </c>
      <c r="T73" s="8">
        <v>0.12316099999999901</v>
      </c>
    </row>
    <row r="74" spans="1:20" x14ac:dyDescent="0.3">
      <c r="A74" s="8" t="s">
        <v>758</v>
      </c>
      <c r="B74" s="8" t="s">
        <v>740</v>
      </c>
      <c r="C74" s="8" t="s">
        <v>92</v>
      </c>
      <c r="D74" s="8" t="s">
        <v>759</v>
      </c>
      <c r="E74" s="8" t="s">
        <v>760</v>
      </c>
      <c r="F74" s="8">
        <v>3.058262</v>
      </c>
      <c r="G74" s="8">
        <v>3.5109250000000003</v>
      </c>
      <c r="H74" s="8">
        <v>4.038513</v>
      </c>
      <c r="I74" s="8">
        <v>4.6756660000000005</v>
      </c>
      <c r="J74" s="8">
        <v>5.3801730000000001</v>
      </c>
      <c r="K74" s="8">
        <v>6.1249899999999995</v>
      </c>
      <c r="L74" s="8">
        <v>6.8992240000000002</v>
      </c>
      <c r="M74" s="8">
        <v>7.8247309999999999</v>
      </c>
      <c r="N74" s="8">
        <v>8.9608410000000003</v>
      </c>
      <c r="O74" s="8">
        <v>10.228973</v>
      </c>
      <c r="P74" s="8">
        <v>11.602326999999999</v>
      </c>
      <c r="Q74" s="8">
        <v>12.994650999999999</v>
      </c>
      <c r="R74" s="8">
        <v>14.399299000000001</v>
      </c>
      <c r="S74" s="8">
        <v>15.858805</v>
      </c>
      <c r="T74" s="8">
        <v>17.231175</v>
      </c>
    </row>
    <row r="75" spans="1:20" x14ac:dyDescent="0.3">
      <c r="A75" s="8" t="s">
        <v>758</v>
      </c>
      <c r="B75" s="8" t="s">
        <v>740</v>
      </c>
      <c r="C75" s="8" t="s">
        <v>722</v>
      </c>
      <c r="D75" s="8" t="s">
        <v>759</v>
      </c>
      <c r="E75" s="8" t="s">
        <v>760</v>
      </c>
      <c r="F75" s="8">
        <v>2.3248000000000001E-2</v>
      </c>
      <c r="G75" s="8">
        <v>2.4974E-2</v>
      </c>
      <c r="H75" s="8">
        <v>3.0468000000000002E-2</v>
      </c>
      <c r="I75" s="8">
        <v>3.8040999999999998E-2</v>
      </c>
      <c r="J75" s="8">
        <v>4.5827E-2</v>
      </c>
      <c r="K75" s="8">
        <v>5.3232000000000002E-2</v>
      </c>
      <c r="L75" s="8">
        <v>6.5492000000000009E-2</v>
      </c>
      <c r="M75" s="8">
        <v>8.4402000000000005E-2</v>
      </c>
      <c r="N75" s="8">
        <v>0.11154000000000001</v>
      </c>
      <c r="O75" s="8">
        <v>0.134686</v>
      </c>
      <c r="P75" s="8">
        <v>0.16089599999999998</v>
      </c>
      <c r="Q75" s="8">
        <v>0.19744399999999998</v>
      </c>
      <c r="R75" s="8">
        <v>0.22595599999999999</v>
      </c>
      <c r="S75" s="8">
        <v>0.25417299999999998</v>
      </c>
      <c r="T75" s="8">
        <v>0.28781400000000001</v>
      </c>
    </row>
    <row r="76" spans="1:20" x14ac:dyDescent="0.3">
      <c r="A76" s="8" t="s">
        <v>758</v>
      </c>
      <c r="B76" s="8" t="s">
        <v>740</v>
      </c>
      <c r="C76" s="8" t="s">
        <v>454</v>
      </c>
      <c r="D76" s="8" t="s">
        <v>759</v>
      </c>
      <c r="E76" s="8" t="s">
        <v>760</v>
      </c>
      <c r="F76" s="8">
        <v>6.0531000000000001E-2</v>
      </c>
      <c r="G76" s="8">
        <v>6.5429000000000001E-2</v>
      </c>
      <c r="H76" s="8">
        <v>7.1638999999999994E-2</v>
      </c>
      <c r="I76" s="8">
        <v>7.9438000000000009E-2</v>
      </c>
      <c r="J76" s="8">
        <v>8.7251000000000009E-2</v>
      </c>
      <c r="K76" s="8">
        <v>9.8428000000000002E-2</v>
      </c>
      <c r="L76" s="8">
        <v>0.10885800000000001</v>
      </c>
      <c r="M76" s="8">
        <v>0.12328700000000001</v>
      </c>
      <c r="N76" s="8">
        <v>0.137019</v>
      </c>
      <c r="O76" s="8">
        <v>0.148978</v>
      </c>
      <c r="P76" s="8">
        <v>0.15942599999999998</v>
      </c>
      <c r="Q76" s="8">
        <v>0.16426499999999999</v>
      </c>
      <c r="R76" s="8">
        <v>0.16448400000000002</v>
      </c>
      <c r="S76" s="8">
        <v>0.167791</v>
      </c>
      <c r="T76" s="8">
        <v>0.168571</v>
      </c>
    </row>
    <row r="77" spans="1:20" x14ac:dyDescent="0.3">
      <c r="A77" s="8" t="s">
        <v>758</v>
      </c>
      <c r="B77" s="8" t="s">
        <v>740</v>
      </c>
      <c r="C77" s="8" t="s">
        <v>456</v>
      </c>
      <c r="D77" s="8" t="s">
        <v>759</v>
      </c>
      <c r="E77" s="8" t="s">
        <v>760</v>
      </c>
      <c r="F77" s="8">
        <v>0.41275200000000001</v>
      </c>
      <c r="G77" s="8">
        <v>0.47529399999999999</v>
      </c>
      <c r="H77" s="8">
        <v>0.56358799999999998</v>
      </c>
      <c r="I77" s="8">
        <v>0.643374</v>
      </c>
      <c r="J77" s="8">
        <v>0.70075300000000007</v>
      </c>
      <c r="K77" s="8">
        <v>0.74162000000000006</v>
      </c>
      <c r="L77" s="8">
        <v>0.77695800000000004</v>
      </c>
      <c r="M77" s="8">
        <v>0.77456700000000001</v>
      </c>
      <c r="N77" s="8">
        <v>0.75006399999999995</v>
      </c>
      <c r="O77" s="8">
        <v>0.75068499999999994</v>
      </c>
      <c r="P77" s="8">
        <v>0.75861000000000001</v>
      </c>
      <c r="Q77" s="8">
        <v>0.76024599999999998</v>
      </c>
      <c r="R77" s="8">
        <v>0.74969600000000003</v>
      </c>
      <c r="S77" s="8">
        <v>0.75302800000000003</v>
      </c>
      <c r="T77" s="8">
        <v>0.79184499999999902</v>
      </c>
    </row>
    <row r="78" spans="1:20" x14ac:dyDescent="0.3">
      <c r="A78" s="8" t="s">
        <v>758</v>
      </c>
      <c r="B78" s="8" t="s">
        <v>740</v>
      </c>
      <c r="C78" s="8" t="s">
        <v>746</v>
      </c>
      <c r="D78" s="8" t="s">
        <v>759</v>
      </c>
      <c r="E78" s="8" t="s">
        <v>760</v>
      </c>
      <c r="F78" s="8">
        <v>1.9338540000000002</v>
      </c>
      <c r="G78" s="8">
        <v>2.434307</v>
      </c>
      <c r="H78" s="8">
        <v>3.0497300000000003</v>
      </c>
      <c r="I78" s="8">
        <v>3.5592899999999998</v>
      </c>
      <c r="J78" s="8">
        <v>3.92848</v>
      </c>
      <c r="K78" s="8">
        <v>4.397157</v>
      </c>
      <c r="L78" s="8">
        <v>4.9252520000000004</v>
      </c>
      <c r="M78" s="8">
        <v>5.3730510000000002</v>
      </c>
      <c r="N78" s="8">
        <v>5.7959759999999996</v>
      </c>
      <c r="O78" s="8">
        <v>6.207446</v>
      </c>
      <c r="P78" s="8">
        <v>6.6876710000000008</v>
      </c>
      <c r="Q78" s="8">
        <v>6.9284140000000001</v>
      </c>
      <c r="R78" s="8">
        <v>7.1148930000000004</v>
      </c>
      <c r="S78" s="8">
        <v>7.3780860000000006</v>
      </c>
      <c r="T78" s="8">
        <v>7.5019080000000002</v>
      </c>
    </row>
    <row r="79" spans="1:20" x14ac:dyDescent="0.3">
      <c r="A79" s="8" t="s">
        <v>758</v>
      </c>
      <c r="B79" s="8" t="s">
        <v>740</v>
      </c>
      <c r="C79" s="8" t="s">
        <v>95</v>
      </c>
      <c r="D79" s="8" t="s">
        <v>759</v>
      </c>
      <c r="E79" s="8" t="s">
        <v>760</v>
      </c>
      <c r="F79" s="8">
        <v>1.536114</v>
      </c>
      <c r="G79" s="8">
        <v>1.7705170000000001</v>
      </c>
      <c r="H79" s="8">
        <v>2.0482680000000002</v>
      </c>
      <c r="I79" s="8">
        <v>2.3683879999999999</v>
      </c>
      <c r="J79" s="8">
        <v>2.7412879999999999</v>
      </c>
      <c r="K79" s="8">
        <v>3.1809060000000002</v>
      </c>
      <c r="L79" s="8">
        <v>3.7197089999999999</v>
      </c>
      <c r="M79" s="8">
        <v>4.3243619999999998</v>
      </c>
      <c r="N79" s="8">
        <v>4.9824760000000001</v>
      </c>
      <c r="O79" s="8">
        <v>5.7319510000000005</v>
      </c>
      <c r="P79" s="8">
        <v>6.5664930000000004</v>
      </c>
      <c r="Q79" s="8">
        <v>7.4741010000000001</v>
      </c>
      <c r="R79" s="8">
        <v>8.3647000000000009</v>
      </c>
      <c r="S79" s="8">
        <v>9.2112680000000005</v>
      </c>
      <c r="T79" s="8">
        <v>10.041782999999999</v>
      </c>
    </row>
    <row r="80" spans="1:20" x14ac:dyDescent="0.3">
      <c r="A80" s="8" t="s">
        <v>758</v>
      </c>
      <c r="B80" s="8" t="s">
        <v>740</v>
      </c>
      <c r="C80" s="8" t="s">
        <v>97</v>
      </c>
      <c r="D80" s="8" t="s">
        <v>759</v>
      </c>
      <c r="E80" s="8" t="s">
        <v>760</v>
      </c>
      <c r="F80" s="8">
        <v>3.8460300000000003</v>
      </c>
      <c r="G80" s="8">
        <v>4.0310760000000005</v>
      </c>
      <c r="H80" s="8">
        <v>4.199198</v>
      </c>
      <c r="I80" s="8">
        <v>4.3558940000000002</v>
      </c>
      <c r="J80" s="8">
        <v>4.4844200000000001</v>
      </c>
      <c r="K80" s="8">
        <v>4.5706150000000001</v>
      </c>
      <c r="L80" s="8">
        <v>4.6688050000000008</v>
      </c>
      <c r="M80" s="8">
        <v>4.7899159999999998</v>
      </c>
      <c r="N80" s="8">
        <v>4.8759990000000002</v>
      </c>
      <c r="O80" s="8">
        <v>4.8330580000000003</v>
      </c>
      <c r="P80" s="8">
        <v>4.5774229999999996</v>
      </c>
      <c r="Q80" s="8">
        <v>4.4360870000000006</v>
      </c>
      <c r="R80" s="8">
        <v>4.3761520000000003</v>
      </c>
      <c r="S80" s="8">
        <v>4.2709549999999998</v>
      </c>
      <c r="T80" s="8">
        <v>4.1146440000000002</v>
      </c>
    </row>
    <row r="81" spans="1:20" x14ac:dyDescent="0.3">
      <c r="A81" s="8" t="s">
        <v>758</v>
      </c>
      <c r="B81" s="8" t="s">
        <v>740</v>
      </c>
      <c r="C81" s="8" t="s">
        <v>99</v>
      </c>
      <c r="D81" s="8" t="s">
        <v>759</v>
      </c>
      <c r="E81" s="8" t="s">
        <v>760</v>
      </c>
      <c r="F81" s="8">
        <v>3.2203049999999998</v>
      </c>
      <c r="G81" s="8">
        <v>3.5126350000000004</v>
      </c>
      <c r="H81" s="8">
        <v>3.8644189999999998</v>
      </c>
      <c r="I81" s="8">
        <v>4.2351760000000001</v>
      </c>
      <c r="J81" s="8">
        <v>4.638325</v>
      </c>
      <c r="K81" s="8">
        <v>5.0765690000000001</v>
      </c>
      <c r="L81" s="8">
        <v>5.5910320000000002</v>
      </c>
      <c r="M81" s="8">
        <v>6.1816830000000005</v>
      </c>
      <c r="N81" s="8">
        <v>6.8543019999999997</v>
      </c>
      <c r="O81" s="8">
        <v>7.5561099999999994</v>
      </c>
      <c r="P81" s="8">
        <v>8.2837700000000005</v>
      </c>
      <c r="Q81" s="8">
        <v>9.0348039999999994</v>
      </c>
      <c r="R81" s="8">
        <v>9.8088520000000017</v>
      </c>
      <c r="S81" s="8">
        <v>10.488430000000001</v>
      </c>
      <c r="T81" s="8">
        <v>11.234504999999999</v>
      </c>
    </row>
    <row r="82" spans="1:20" x14ac:dyDescent="0.3">
      <c r="A82" s="8" t="s">
        <v>758</v>
      </c>
      <c r="B82" s="8" t="s">
        <v>740</v>
      </c>
      <c r="C82" s="8" t="s">
        <v>101</v>
      </c>
      <c r="D82" s="8" t="s">
        <v>759</v>
      </c>
      <c r="E82" s="8" t="s">
        <v>760</v>
      </c>
      <c r="F82" s="8">
        <v>9.2924159999999993</v>
      </c>
      <c r="G82" s="8">
        <v>9.7651849999999989</v>
      </c>
      <c r="H82" s="8">
        <v>9.9609280000000009</v>
      </c>
      <c r="I82" s="8">
        <v>10.129205000000001</v>
      </c>
      <c r="J82" s="8">
        <v>10.299552</v>
      </c>
      <c r="K82" s="8">
        <v>10.488562</v>
      </c>
      <c r="L82" s="8">
        <v>10.706431</v>
      </c>
      <c r="M82" s="8">
        <v>10.560881</v>
      </c>
      <c r="N82" s="8">
        <v>10.377283</v>
      </c>
      <c r="O82" s="8">
        <v>10.33535</v>
      </c>
      <c r="P82" s="8">
        <v>10.213473</v>
      </c>
      <c r="Q82" s="8">
        <v>10.084391</v>
      </c>
      <c r="R82" s="8">
        <v>10.001016999999999</v>
      </c>
      <c r="S82" s="8">
        <v>9.8569209999999998</v>
      </c>
      <c r="T82" s="8">
        <v>9.7701230000000105</v>
      </c>
    </row>
    <row r="83" spans="1:20" x14ac:dyDescent="0.3">
      <c r="A83" s="8" t="s">
        <v>758</v>
      </c>
      <c r="B83" s="8" t="s">
        <v>740</v>
      </c>
      <c r="C83" s="8" t="s">
        <v>103</v>
      </c>
      <c r="D83" s="8" t="s">
        <v>759</v>
      </c>
      <c r="E83" s="8" t="s">
        <v>760</v>
      </c>
      <c r="F83" s="8">
        <v>68.862949</v>
      </c>
      <c r="G83" s="8">
        <v>76.809926000000004</v>
      </c>
      <c r="H83" s="8">
        <v>87.189211999999998</v>
      </c>
      <c r="I83" s="8">
        <v>100.058719</v>
      </c>
      <c r="J83" s="8">
        <v>113.67735</v>
      </c>
      <c r="K83" s="8">
        <v>129.565732</v>
      </c>
      <c r="L83" s="8">
        <v>146.425972</v>
      </c>
      <c r="M83" s="8">
        <v>164.095563</v>
      </c>
      <c r="N83" s="8">
        <v>180.56911300000002</v>
      </c>
      <c r="O83" s="8">
        <v>196.527503</v>
      </c>
      <c r="P83" s="8">
        <v>212.544104</v>
      </c>
      <c r="Q83" s="8">
        <v>227.32299600000002</v>
      </c>
      <c r="R83" s="8">
        <v>242.49852600000003</v>
      </c>
      <c r="S83" s="8">
        <v>257.68750299999999</v>
      </c>
      <c r="T83" s="8">
        <v>270.82584600000001</v>
      </c>
    </row>
    <row r="84" spans="1:20" x14ac:dyDescent="0.3">
      <c r="A84" s="8" t="s">
        <v>758</v>
      </c>
      <c r="B84" s="8" t="s">
        <v>740</v>
      </c>
      <c r="C84" s="8" t="s">
        <v>105</v>
      </c>
      <c r="D84" s="8" t="s">
        <v>759</v>
      </c>
      <c r="E84" s="8" t="s">
        <v>760</v>
      </c>
      <c r="F84" s="8">
        <v>353.10427600000003</v>
      </c>
      <c r="G84" s="8">
        <v>394.09498200000002</v>
      </c>
      <c r="H84" s="8">
        <v>440.827788</v>
      </c>
      <c r="I84" s="8">
        <v>494.67738299999996</v>
      </c>
      <c r="J84" s="8">
        <v>551.30573700000002</v>
      </c>
      <c r="K84" s="8">
        <v>616.6033930000001</v>
      </c>
      <c r="L84" s="8">
        <v>688.87465300000008</v>
      </c>
      <c r="M84" s="8">
        <v>771.51967100000002</v>
      </c>
      <c r="N84" s="8">
        <v>861.20474400000001</v>
      </c>
      <c r="O84" s="8">
        <v>954.78549499999997</v>
      </c>
      <c r="P84" s="8">
        <v>1050.0117450000002</v>
      </c>
      <c r="Q84" s="8">
        <v>1145.6387890000001</v>
      </c>
      <c r="R84" s="8">
        <v>1232.085388</v>
      </c>
      <c r="S84" s="8">
        <v>1315.1027900000001</v>
      </c>
      <c r="T84" s="8">
        <v>1389.966394</v>
      </c>
    </row>
    <row r="85" spans="1:20" x14ac:dyDescent="0.3">
      <c r="A85" s="8" t="s">
        <v>758</v>
      </c>
      <c r="B85" s="8" t="s">
        <v>740</v>
      </c>
      <c r="C85" s="8" t="s">
        <v>107</v>
      </c>
      <c r="D85" s="8" t="s">
        <v>759</v>
      </c>
      <c r="E85" s="8" t="s">
        <v>760</v>
      </c>
      <c r="F85" s="8">
        <v>2.8987720000000001</v>
      </c>
      <c r="G85" s="8">
        <v>2.8952590000000002</v>
      </c>
      <c r="H85" s="8">
        <v>2.8162389999999999</v>
      </c>
      <c r="I85" s="8">
        <v>2.8447140000000002</v>
      </c>
      <c r="J85" s="8">
        <v>2.9266529999999999</v>
      </c>
      <c r="K85" s="8">
        <v>3.1339760000000001</v>
      </c>
      <c r="L85" s="8">
        <v>3.3723330000000002</v>
      </c>
      <c r="M85" s="8">
        <v>3.499266</v>
      </c>
      <c r="N85" s="8">
        <v>3.4789020000000002</v>
      </c>
      <c r="O85" s="8">
        <v>3.5663670000000001</v>
      </c>
      <c r="P85" s="8">
        <v>3.74193</v>
      </c>
      <c r="Q85" s="8">
        <v>4.0729490000000004</v>
      </c>
      <c r="R85" s="8">
        <v>4.5143370000000003</v>
      </c>
      <c r="S85" s="8">
        <v>4.6416019999999998</v>
      </c>
      <c r="T85" s="8">
        <v>4.9250759999999998</v>
      </c>
    </row>
    <row r="86" spans="1:20" x14ac:dyDescent="0.3">
      <c r="A86" s="8" t="s">
        <v>758</v>
      </c>
      <c r="B86" s="8" t="s">
        <v>740</v>
      </c>
      <c r="C86" s="8" t="s">
        <v>747</v>
      </c>
      <c r="D86" s="8" t="s">
        <v>759</v>
      </c>
      <c r="E86" s="8" t="s">
        <v>760</v>
      </c>
      <c r="F86" s="8">
        <v>16.640746</v>
      </c>
      <c r="G86" s="8">
        <v>18.649248</v>
      </c>
      <c r="H86" s="8">
        <v>21.098936000000002</v>
      </c>
      <c r="I86" s="8">
        <v>24.300594</v>
      </c>
      <c r="J86" s="8">
        <v>28.039508999999999</v>
      </c>
      <c r="K86" s="8">
        <v>32.362955999999997</v>
      </c>
      <c r="L86" s="8">
        <v>37.844572999999997</v>
      </c>
      <c r="M86" s="8">
        <v>46.445146999999999</v>
      </c>
      <c r="N86" s="8">
        <v>54.409416</v>
      </c>
      <c r="O86" s="8">
        <v>60.400745000000001</v>
      </c>
      <c r="P86" s="8">
        <v>64.979827999999998</v>
      </c>
      <c r="Q86" s="8">
        <v>69.627418999999989</v>
      </c>
      <c r="R86" s="8">
        <v>74.833668000000003</v>
      </c>
      <c r="S86" s="8">
        <v>80.882491000000002</v>
      </c>
      <c r="T86" s="8">
        <v>86.990161000000001</v>
      </c>
    </row>
    <row r="87" spans="1:20" x14ac:dyDescent="0.3">
      <c r="A87" s="8" t="s">
        <v>758</v>
      </c>
      <c r="B87" s="8" t="s">
        <v>740</v>
      </c>
      <c r="C87" s="8" t="s">
        <v>110</v>
      </c>
      <c r="D87" s="8" t="s">
        <v>759</v>
      </c>
      <c r="E87" s="8" t="s">
        <v>760</v>
      </c>
      <c r="F87" s="8">
        <v>5.5966209999999998</v>
      </c>
      <c r="G87" s="8">
        <v>6.3346419999999997</v>
      </c>
      <c r="H87" s="8">
        <v>7.0043900000000008</v>
      </c>
      <c r="I87" s="8">
        <v>8.1308629999999997</v>
      </c>
      <c r="J87" s="8">
        <v>9.6406720000000004</v>
      </c>
      <c r="K87" s="8">
        <v>11.428808999999999</v>
      </c>
      <c r="L87" s="8">
        <v>13.436379000000001</v>
      </c>
      <c r="M87" s="8">
        <v>15.617793000000001</v>
      </c>
      <c r="N87" s="8">
        <v>17.700003000000002</v>
      </c>
      <c r="O87" s="8">
        <v>20.599859000000002</v>
      </c>
      <c r="P87" s="8">
        <v>24.215225</v>
      </c>
      <c r="Q87" s="8">
        <v>28.282101000000001</v>
      </c>
      <c r="R87" s="8">
        <v>30.767146</v>
      </c>
      <c r="S87" s="8">
        <v>37.264752999999999</v>
      </c>
      <c r="T87" s="8">
        <v>42.042955999999997</v>
      </c>
    </row>
    <row r="88" spans="1:20" x14ac:dyDescent="0.3">
      <c r="A88" s="8" t="s">
        <v>758</v>
      </c>
      <c r="B88" s="8" t="s">
        <v>740</v>
      </c>
      <c r="C88" s="8" t="s">
        <v>112</v>
      </c>
      <c r="D88" s="8" t="s">
        <v>759</v>
      </c>
      <c r="E88" s="8" t="s">
        <v>760</v>
      </c>
      <c r="F88" s="8">
        <v>0.141037</v>
      </c>
      <c r="G88" s="8">
        <v>0.156023</v>
      </c>
      <c r="H88" s="8">
        <v>0.173849</v>
      </c>
      <c r="I88" s="8">
        <v>0.19072800000000001</v>
      </c>
      <c r="J88" s="8">
        <v>0.204012</v>
      </c>
      <c r="K88" s="8">
        <v>0.216778</v>
      </c>
      <c r="L88" s="8">
        <v>0.22706899999999999</v>
      </c>
      <c r="M88" s="8">
        <v>0.24077400000000002</v>
      </c>
      <c r="N88" s="8">
        <v>0.25398199999999999</v>
      </c>
      <c r="O88" s="8">
        <v>0.26718599999999998</v>
      </c>
      <c r="P88" s="8">
        <v>0.27929599999999999</v>
      </c>
      <c r="Q88" s="8">
        <v>0.29386700000000004</v>
      </c>
      <c r="R88" s="8">
        <v>0.31792599999999999</v>
      </c>
      <c r="S88" s="8">
        <v>0.329351</v>
      </c>
      <c r="T88" s="8">
        <v>0.36433000000000004</v>
      </c>
    </row>
    <row r="89" spans="1:20" x14ac:dyDescent="0.3">
      <c r="A89" s="8" t="s">
        <v>758</v>
      </c>
      <c r="B89" s="8" t="s">
        <v>740</v>
      </c>
      <c r="C89" s="8" t="s">
        <v>113</v>
      </c>
      <c r="D89" s="8" t="s">
        <v>759</v>
      </c>
      <c r="E89" s="8" t="s">
        <v>760</v>
      </c>
      <c r="F89" s="8">
        <v>1.2579670000000001</v>
      </c>
      <c r="G89" s="8">
        <v>1.5353800000000002</v>
      </c>
      <c r="H89" s="8">
        <v>1.8626750000000001</v>
      </c>
      <c r="I89" s="8">
        <v>2.3083290000000001</v>
      </c>
      <c r="J89" s="8">
        <v>2.8509520000000004</v>
      </c>
      <c r="K89" s="8">
        <v>3.3472849999999998</v>
      </c>
      <c r="L89" s="8">
        <v>3.709508</v>
      </c>
      <c r="M89" s="8">
        <v>4.127713</v>
      </c>
      <c r="N89" s="8">
        <v>4.7336710000000002</v>
      </c>
      <c r="O89" s="8">
        <v>5.4125780000000008</v>
      </c>
      <c r="P89" s="8">
        <v>6.0556360000000007</v>
      </c>
      <c r="Q89" s="8">
        <v>6.6558469999999996</v>
      </c>
      <c r="R89" s="8">
        <v>7.2626140000000001</v>
      </c>
      <c r="S89" s="8">
        <v>7.9333309999999999</v>
      </c>
      <c r="T89" s="8">
        <v>8.6855949999999993</v>
      </c>
    </row>
    <row r="90" spans="1:20" x14ac:dyDescent="0.3">
      <c r="A90" s="8" t="s">
        <v>758</v>
      </c>
      <c r="B90" s="8" t="s">
        <v>740</v>
      </c>
      <c r="C90" s="8" t="s">
        <v>115</v>
      </c>
      <c r="D90" s="8" t="s">
        <v>759</v>
      </c>
      <c r="E90" s="8" t="s">
        <v>760</v>
      </c>
      <c r="F90" s="8">
        <v>46.175128999999998</v>
      </c>
      <c r="G90" s="8">
        <v>47.983453000000004</v>
      </c>
      <c r="H90" s="8">
        <v>49.380044000000005</v>
      </c>
      <c r="I90" s="8">
        <v>51.239694999999998</v>
      </c>
      <c r="J90" s="8">
        <v>53.170620999999997</v>
      </c>
      <c r="K90" s="8">
        <v>54.938300000000005</v>
      </c>
      <c r="L90" s="8">
        <v>56.158529999999999</v>
      </c>
      <c r="M90" s="8">
        <v>56.631745000000002</v>
      </c>
      <c r="N90" s="8">
        <v>56.733409000000002</v>
      </c>
      <c r="O90" s="8">
        <v>56.885837000000002</v>
      </c>
      <c r="P90" s="8">
        <v>56.950733</v>
      </c>
      <c r="Q90" s="8">
        <v>58.078201999999997</v>
      </c>
      <c r="R90" s="8">
        <v>59.695934000000001</v>
      </c>
      <c r="S90" s="8">
        <v>60.297737999999995</v>
      </c>
      <c r="T90" s="8">
        <v>59.639898000000002</v>
      </c>
    </row>
    <row r="91" spans="1:20" x14ac:dyDescent="0.3">
      <c r="A91" s="8" t="s">
        <v>758</v>
      </c>
      <c r="B91" s="8" t="s">
        <v>740</v>
      </c>
      <c r="C91" s="8" t="s">
        <v>117</v>
      </c>
      <c r="D91" s="8" t="s">
        <v>759</v>
      </c>
      <c r="E91" s="8" t="s">
        <v>760</v>
      </c>
      <c r="F91" s="8">
        <v>1.3853230000000001</v>
      </c>
      <c r="G91" s="8">
        <v>1.543844</v>
      </c>
      <c r="H91" s="8">
        <v>1.631192</v>
      </c>
      <c r="I91" s="8">
        <v>1.7361110000000002</v>
      </c>
      <c r="J91" s="8">
        <v>1.846209</v>
      </c>
      <c r="K91" s="8">
        <v>1.989403</v>
      </c>
      <c r="L91" s="8">
        <v>2.120571</v>
      </c>
      <c r="M91" s="8">
        <v>2.2790470000000003</v>
      </c>
      <c r="N91" s="8">
        <v>2.3828800000000001</v>
      </c>
      <c r="O91" s="8">
        <v>2.4968319999999999</v>
      </c>
      <c r="P91" s="8">
        <v>2.6054400000000002</v>
      </c>
      <c r="Q91" s="8">
        <v>2.6706410000000003</v>
      </c>
      <c r="R91" s="8">
        <v>2.7282630000000001</v>
      </c>
      <c r="S91" s="8">
        <v>2.7896520000000002</v>
      </c>
      <c r="T91" s="8">
        <v>2.814476</v>
      </c>
    </row>
    <row r="92" spans="1:20" x14ac:dyDescent="0.3">
      <c r="A92" s="8" t="s">
        <v>758</v>
      </c>
      <c r="B92" s="8" t="s">
        <v>740</v>
      </c>
      <c r="C92" s="8" t="s">
        <v>118</v>
      </c>
      <c r="D92" s="8" t="s">
        <v>759</v>
      </c>
      <c r="E92" s="8" t="s">
        <v>760</v>
      </c>
      <c r="F92" s="8">
        <v>0.42343799999999998</v>
      </c>
      <c r="G92" s="8">
        <v>0.60092100000000004</v>
      </c>
      <c r="H92" s="8">
        <v>0.82555100000000003</v>
      </c>
      <c r="I92" s="8">
        <v>1.057536</v>
      </c>
      <c r="J92" s="8">
        <v>1.514802</v>
      </c>
      <c r="K92" s="8">
        <v>1.857224</v>
      </c>
      <c r="L92" s="8">
        <v>2.1745500000000004</v>
      </c>
      <c r="M92" s="8">
        <v>2.6889509999999999</v>
      </c>
      <c r="N92" s="8">
        <v>3.3913760000000002</v>
      </c>
      <c r="O92" s="8">
        <v>4.375629</v>
      </c>
      <c r="P92" s="8">
        <v>5.0034830000000001</v>
      </c>
      <c r="Q92" s="8">
        <v>5.6059210000000004</v>
      </c>
      <c r="R92" s="8">
        <v>6.8422039999999997</v>
      </c>
      <c r="S92" s="8">
        <v>9.1505040000000015</v>
      </c>
      <c r="T92" s="8">
        <v>10.817082000000001</v>
      </c>
    </row>
    <row r="93" spans="1:20" x14ac:dyDescent="0.3">
      <c r="A93" s="8" t="s">
        <v>758</v>
      </c>
      <c r="B93" s="8" t="s">
        <v>740</v>
      </c>
      <c r="C93" s="8" t="s">
        <v>119</v>
      </c>
      <c r="D93" s="8" t="s">
        <v>759</v>
      </c>
      <c r="E93" s="8" t="s">
        <v>760</v>
      </c>
      <c r="F93" s="8">
        <v>83.65626300000001</v>
      </c>
      <c r="G93" s="8">
        <v>89.598169999999996</v>
      </c>
      <c r="H93" s="8">
        <v>94.023981000000006</v>
      </c>
      <c r="I93" s="8">
        <v>98.87581200000001</v>
      </c>
      <c r="J93" s="8">
        <v>104.749167</v>
      </c>
      <c r="K93" s="8">
        <v>111.78771400000001</v>
      </c>
      <c r="L93" s="8">
        <v>117.220838</v>
      </c>
      <c r="M93" s="8">
        <v>120.806342</v>
      </c>
      <c r="N93" s="8">
        <v>123.493572</v>
      </c>
      <c r="O93" s="8">
        <v>125.29985400000001</v>
      </c>
      <c r="P93" s="8">
        <v>126.66495200000001</v>
      </c>
      <c r="Q93" s="8">
        <v>127.75268200000001</v>
      </c>
      <c r="R93" s="8">
        <v>128.13139999999999</v>
      </c>
      <c r="S93" s="8">
        <v>127.367946</v>
      </c>
      <c r="T93" s="8">
        <v>125.542768</v>
      </c>
    </row>
    <row r="94" spans="1:20" x14ac:dyDescent="0.3">
      <c r="A94" s="8" t="s">
        <v>758</v>
      </c>
      <c r="B94" s="8" t="s">
        <v>740</v>
      </c>
      <c r="C94" s="8" t="s">
        <v>121</v>
      </c>
      <c r="D94" s="8" t="s">
        <v>759</v>
      </c>
      <c r="E94" s="8" t="s">
        <v>760</v>
      </c>
      <c r="F94" s="8">
        <v>6.5408309999999998</v>
      </c>
      <c r="G94" s="8">
        <v>7.7300330000000006</v>
      </c>
      <c r="H94" s="8">
        <v>9.1596860000000007</v>
      </c>
      <c r="I94" s="8">
        <v>10.745394000000001</v>
      </c>
      <c r="J94" s="8">
        <v>12.16647</v>
      </c>
      <c r="K94" s="8">
        <v>13.064483000000001</v>
      </c>
      <c r="L94" s="8">
        <v>14.063103999999999</v>
      </c>
      <c r="M94" s="8">
        <v>15.27914</v>
      </c>
      <c r="N94" s="8">
        <v>16.798672</v>
      </c>
      <c r="O94" s="8">
        <v>16.568612000000002</v>
      </c>
      <c r="P94" s="8">
        <v>15.216405000000002</v>
      </c>
      <c r="Q94" s="8">
        <v>15.581877</v>
      </c>
      <c r="R94" s="8">
        <v>16.509098000000002</v>
      </c>
      <c r="S94" s="8">
        <v>17.715600999999999</v>
      </c>
      <c r="T94" s="8">
        <v>18.861057000000002</v>
      </c>
    </row>
    <row r="95" spans="1:20" x14ac:dyDescent="0.3">
      <c r="A95" s="8" t="s">
        <v>758</v>
      </c>
      <c r="B95" s="8" t="s">
        <v>740</v>
      </c>
      <c r="C95" s="8" t="s">
        <v>123</v>
      </c>
      <c r="D95" s="8" t="s">
        <v>759</v>
      </c>
      <c r="E95" s="8" t="s">
        <v>760</v>
      </c>
      <c r="F95" s="8">
        <v>5.7116740000000004</v>
      </c>
      <c r="G95" s="8">
        <v>6.46082</v>
      </c>
      <c r="H95" s="8">
        <v>7.6087870000000004</v>
      </c>
      <c r="I95" s="8">
        <v>9.2266720000000095</v>
      </c>
      <c r="J95" s="8">
        <v>11.256015</v>
      </c>
      <c r="K95" s="8">
        <v>13.426138999999999</v>
      </c>
      <c r="L95" s="8">
        <v>15.894216</v>
      </c>
      <c r="M95" s="8">
        <v>19.098522000000003</v>
      </c>
      <c r="N95" s="8">
        <v>22.771593000000003</v>
      </c>
      <c r="O95" s="8">
        <v>26.511748000000001</v>
      </c>
      <c r="P95" s="8">
        <v>30.397514000000001</v>
      </c>
      <c r="Q95" s="8">
        <v>35.314084999999999</v>
      </c>
      <c r="R95" s="8">
        <v>40.950114999999997</v>
      </c>
      <c r="S95" s="8">
        <v>46.345992000000003</v>
      </c>
      <c r="T95" s="8">
        <v>51.460216000000003</v>
      </c>
    </row>
    <row r="96" spans="1:20" x14ac:dyDescent="0.3">
      <c r="A96" s="8" t="s">
        <v>758</v>
      </c>
      <c r="B96" s="8" t="s">
        <v>740</v>
      </c>
      <c r="C96" s="8" t="s">
        <v>725</v>
      </c>
      <c r="D96" s="8" t="s">
        <v>759</v>
      </c>
      <c r="E96" s="8" t="s">
        <v>760</v>
      </c>
      <c r="F96" s="8">
        <v>1.733066</v>
      </c>
      <c r="G96" s="8">
        <v>1.923224</v>
      </c>
      <c r="H96" s="8">
        <v>2.1813670000000003</v>
      </c>
      <c r="I96" s="8">
        <v>2.5738539999999999</v>
      </c>
      <c r="J96" s="8">
        <v>2.978561</v>
      </c>
      <c r="K96" s="8">
        <v>3.3221850000000002</v>
      </c>
      <c r="L96" s="8">
        <v>3.6550949999999998</v>
      </c>
      <c r="M96" s="8">
        <v>4.0311970000000006</v>
      </c>
      <c r="N96" s="8">
        <v>4.3642079999999996</v>
      </c>
      <c r="O96" s="8">
        <v>4.5621130000000001</v>
      </c>
      <c r="P96" s="8">
        <v>4.9113999999999995</v>
      </c>
      <c r="Q96" s="8">
        <v>5.1668860000000008</v>
      </c>
      <c r="R96" s="8">
        <v>5.452642</v>
      </c>
      <c r="S96" s="8">
        <v>5.8638509999999995</v>
      </c>
      <c r="T96" s="8">
        <v>6.3723329999999994</v>
      </c>
    </row>
    <row r="97" spans="1:20" x14ac:dyDescent="0.3">
      <c r="A97" s="8" t="s">
        <v>758</v>
      </c>
      <c r="B97" s="8" t="s">
        <v>740</v>
      </c>
      <c r="C97" s="8" t="s">
        <v>126</v>
      </c>
      <c r="D97" s="8" t="s">
        <v>759</v>
      </c>
      <c r="E97" s="8" t="s">
        <v>760</v>
      </c>
      <c r="F97" s="8">
        <v>4.3285100000000005</v>
      </c>
      <c r="G97" s="8">
        <v>4.8718519999999996</v>
      </c>
      <c r="H97" s="8">
        <v>5.4802969999999993</v>
      </c>
      <c r="I97" s="8">
        <v>6.1057899999999998</v>
      </c>
      <c r="J97" s="8">
        <v>6.7432929999999995</v>
      </c>
      <c r="K97" s="8">
        <v>6.9357839999999999</v>
      </c>
      <c r="L97" s="8">
        <v>6.1674420000000003</v>
      </c>
      <c r="M97" s="8">
        <v>7.2448040000000002</v>
      </c>
      <c r="N97" s="8">
        <v>8.738233000000001</v>
      </c>
      <c r="O97" s="8">
        <v>10.786695</v>
      </c>
      <c r="P97" s="8">
        <v>12.010133</v>
      </c>
      <c r="Q97" s="8">
        <v>13.132042</v>
      </c>
      <c r="R97" s="8">
        <v>14.258852000000001</v>
      </c>
      <c r="S97" s="8">
        <v>15.315991</v>
      </c>
      <c r="T97" s="8">
        <v>16.296272999999999</v>
      </c>
    </row>
    <row r="98" spans="1:20" x14ac:dyDescent="0.3">
      <c r="A98" s="8" t="s">
        <v>758</v>
      </c>
      <c r="B98" s="8" t="s">
        <v>740</v>
      </c>
      <c r="C98" s="8" t="s">
        <v>496</v>
      </c>
      <c r="D98" s="8" t="s">
        <v>759</v>
      </c>
      <c r="E98" s="8" t="s">
        <v>760</v>
      </c>
      <c r="F98" s="8">
        <v>3.7463000000000003E-2</v>
      </c>
      <c r="G98" s="8">
        <v>4.1549999999999997E-2</v>
      </c>
      <c r="H98" s="8">
        <v>4.6518999999999998E-2</v>
      </c>
      <c r="I98" s="8">
        <v>5.2755000000000003E-2</v>
      </c>
      <c r="J98" s="8">
        <v>5.6882000000000002E-2</v>
      </c>
      <c r="K98" s="8">
        <v>6.0844000000000002E-2</v>
      </c>
      <c r="L98" s="8">
        <v>6.0292000000000005E-2</v>
      </c>
      <c r="M98" s="8">
        <v>6.5971000000000002E-2</v>
      </c>
      <c r="N98" s="8">
        <v>7.4317999999999995E-2</v>
      </c>
      <c r="O98" s="8">
        <v>8.0851000000000006E-2</v>
      </c>
      <c r="P98" s="8">
        <v>8.8033E-2</v>
      </c>
      <c r="Q98" s="8">
        <v>9.7200000000000009E-2</v>
      </c>
      <c r="R98" s="8">
        <v>0.107017</v>
      </c>
      <c r="S98" s="8">
        <v>0.115815</v>
      </c>
      <c r="T98" s="8">
        <v>0.12525799999999901</v>
      </c>
    </row>
    <row r="99" spans="1:20" x14ac:dyDescent="0.3">
      <c r="A99" s="8" t="s">
        <v>758</v>
      </c>
      <c r="B99" s="8" t="s">
        <v>740</v>
      </c>
      <c r="C99" s="8" t="s">
        <v>748</v>
      </c>
      <c r="D99" s="8" t="s">
        <v>759</v>
      </c>
      <c r="E99" s="8" t="s">
        <v>760</v>
      </c>
      <c r="F99" s="8">
        <v>20.160298999999998</v>
      </c>
      <c r="G99" s="8">
        <v>21.741655999999999</v>
      </c>
      <c r="H99" s="8">
        <v>25.428038000000001</v>
      </c>
      <c r="I99" s="8">
        <v>28.871478</v>
      </c>
      <c r="J99" s="8">
        <v>32.256857000000004</v>
      </c>
      <c r="K99" s="8">
        <v>35.641642999999995</v>
      </c>
      <c r="L99" s="8">
        <v>37.945569000000006</v>
      </c>
      <c r="M99" s="8">
        <v>40.959693000000001</v>
      </c>
      <c r="N99" s="8">
        <v>43.856929999999998</v>
      </c>
      <c r="O99" s="8">
        <v>45.281576999999999</v>
      </c>
      <c r="P99" s="8">
        <v>46.650078000000001</v>
      </c>
      <c r="Q99" s="8">
        <v>47.813953999999995</v>
      </c>
      <c r="R99" s="8">
        <v>48.686484</v>
      </c>
      <c r="S99" s="8">
        <v>50.787841999999998</v>
      </c>
      <c r="T99" s="8">
        <v>51.858125000000001</v>
      </c>
    </row>
    <row r="100" spans="1:20" x14ac:dyDescent="0.3">
      <c r="A100" s="8" t="s">
        <v>758</v>
      </c>
      <c r="B100" s="8" t="s">
        <v>740</v>
      </c>
      <c r="C100" s="8" t="s">
        <v>129</v>
      </c>
      <c r="D100" s="8" t="s">
        <v>759</v>
      </c>
      <c r="E100" s="8" t="s">
        <v>760</v>
      </c>
      <c r="F100" s="8">
        <v>0.15176300000000001</v>
      </c>
      <c r="G100" s="8">
        <v>0.17347000000000001</v>
      </c>
      <c r="H100" s="8">
        <v>0.28931499999999999</v>
      </c>
      <c r="I100" s="8">
        <v>0.48901</v>
      </c>
      <c r="J100" s="8">
        <v>0.77408299999999997</v>
      </c>
      <c r="K100" s="8">
        <v>1.0613910000000002</v>
      </c>
      <c r="L100" s="8">
        <v>1.453859</v>
      </c>
      <c r="M100" s="8">
        <v>1.849586</v>
      </c>
      <c r="N100" s="8">
        <v>2.2508510000000004</v>
      </c>
      <c r="O100" s="8">
        <v>1.6362129999999999</v>
      </c>
      <c r="P100" s="8">
        <v>1.9062970000000001</v>
      </c>
      <c r="Q100" s="8">
        <v>2.1788350000000003</v>
      </c>
      <c r="R100" s="8">
        <v>2.8679290000000002</v>
      </c>
      <c r="S100" s="8">
        <v>3.7505920000000001</v>
      </c>
      <c r="T100" s="8">
        <v>4.4683609999999998</v>
      </c>
    </row>
    <row r="101" spans="1:20" x14ac:dyDescent="0.3">
      <c r="A101" s="8" t="s">
        <v>758</v>
      </c>
      <c r="B101" s="8" t="s">
        <v>740</v>
      </c>
      <c r="C101" s="8" t="s">
        <v>749</v>
      </c>
      <c r="D101" s="8" t="s">
        <v>759</v>
      </c>
      <c r="E101" s="8" t="s">
        <v>760</v>
      </c>
      <c r="F101" s="8">
        <v>1.6641730000000001</v>
      </c>
      <c r="G101" s="8">
        <v>1.8715889999999999</v>
      </c>
      <c r="H101" s="8">
        <v>2.0985800000000001</v>
      </c>
      <c r="I101" s="8">
        <v>2.35202</v>
      </c>
      <c r="J101" s="8">
        <v>2.6431060000000004</v>
      </c>
      <c r="K101" s="8">
        <v>2.981217</v>
      </c>
      <c r="L101" s="8">
        <v>3.2631840000000003</v>
      </c>
      <c r="M101" s="8">
        <v>3.6894430000000003</v>
      </c>
      <c r="N101" s="8">
        <v>4.2535190000000007</v>
      </c>
      <c r="O101" s="8">
        <v>4.8684380000000003</v>
      </c>
      <c r="P101" s="8">
        <v>5.3859409999999999</v>
      </c>
      <c r="Q101" s="8">
        <v>5.8067590000000004</v>
      </c>
      <c r="R101" s="8">
        <v>6.2768269999999999</v>
      </c>
      <c r="S101" s="8">
        <v>6.736389</v>
      </c>
      <c r="T101" s="8">
        <v>7.2656490000000007</v>
      </c>
    </row>
    <row r="102" spans="1:20" x14ac:dyDescent="0.3">
      <c r="A102" s="8" t="s">
        <v>758</v>
      </c>
      <c r="B102" s="8" t="s">
        <v>740</v>
      </c>
      <c r="C102" s="8" t="s">
        <v>131</v>
      </c>
      <c r="D102" s="8" t="s">
        <v>759</v>
      </c>
      <c r="E102" s="8" t="s">
        <v>760</v>
      </c>
      <c r="F102" s="8">
        <v>1.330552</v>
      </c>
      <c r="G102" s="8">
        <v>1.534049</v>
      </c>
      <c r="H102" s="8">
        <v>1.7720089999999999</v>
      </c>
      <c r="I102" s="8">
        <v>2.0593629999999998</v>
      </c>
      <c r="J102" s="8">
        <v>2.3537020000000002</v>
      </c>
      <c r="K102" s="8">
        <v>2.6636160000000002</v>
      </c>
      <c r="L102" s="8">
        <v>2.9314679999999997</v>
      </c>
      <c r="M102" s="8">
        <v>3.1948919999999998</v>
      </c>
      <c r="N102" s="8">
        <v>3.5610369999999998</v>
      </c>
      <c r="O102" s="8">
        <v>3.9224019999999999</v>
      </c>
      <c r="P102" s="8">
        <v>4.2859639999999999</v>
      </c>
      <c r="Q102" s="8">
        <v>4.6102319999999999</v>
      </c>
      <c r="R102" s="8">
        <v>4.9823870000000001</v>
      </c>
      <c r="S102" s="8">
        <v>6.4667560000000002</v>
      </c>
      <c r="T102" s="8">
        <v>5.694528</v>
      </c>
    </row>
    <row r="103" spans="1:20" x14ac:dyDescent="0.3">
      <c r="A103" s="8" t="s">
        <v>758</v>
      </c>
      <c r="B103" s="8" t="s">
        <v>740</v>
      </c>
      <c r="C103" s="8" t="s">
        <v>507</v>
      </c>
      <c r="D103" s="8" t="s">
        <v>759</v>
      </c>
      <c r="E103" s="8" t="s">
        <v>760</v>
      </c>
      <c r="F103" s="8">
        <v>0.90745799999999999</v>
      </c>
      <c r="G103" s="8">
        <v>1.0026040000000001</v>
      </c>
      <c r="H103" s="8">
        <v>1.123321</v>
      </c>
      <c r="I103" s="8">
        <v>1.2709480000000002</v>
      </c>
      <c r="J103" s="8">
        <v>1.4444810000000001</v>
      </c>
      <c r="K103" s="8">
        <v>1.6484920000000001</v>
      </c>
      <c r="L103" s="8">
        <v>1.9034040000000001</v>
      </c>
      <c r="M103" s="8">
        <v>2.2068460000000001</v>
      </c>
      <c r="N103" s="8">
        <v>2.5417010000000002</v>
      </c>
      <c r="O103" s="8">
        <v>2.089394</v>
      </c>
      <c r="P103" s="8">
        <v>2.8551540000000002</v>
      </c>
      <c r="Q103" s="8">
        <v>3.1677440000000003</v>
      </c>
      <c r="R103" s="8">
        <v>3.961935</v>
      </c>
      <c r="S103" s="8">
        <v>4.5633299999999997</v>
      </c>
      <c r="T103" s="8">
        <v>5.034186</v>
      </c>
    </row>
    <row r="104" spans="1:20" x14ac:dyDescent="0.3">
      <c r="A104" s="8" t="s">
        <v>758</v>
      </c>
      <c r="B104" s="8" t="s">
        <v>740</v>
      </c>
      <c r="C104" s="8" t="s">
        <v>133</v>
      </c>
      <c r="D104" s="8" t="s">
        <v>759</v>
      </c>
      <c r="E104" s="8" t="s">
        <v>760</v>
      </c>
      <c r="F104" s="8">
        <v>1.125232</v>
      </c>
      <c r="G104" s="8">
        <v>1.209792</v>
      </c>
      <c r="H104" s="8">
        <v>1.4022140000000001</v>
      </c>
      <c r="I104" s="8">
        <v>1.6792400000000001</v>
      </c>
      <c r="J104" s="8">
        <v>1.8852550000000001</v>
      </c>
      <c r="K104" s="8">
        <v>2.2324310000000001</v>
      </c>
      <c r="L104" s="8">
        <v>2.888944</v>
      </c>
      <c r="M104" s="8">
        <v>3.6252890000000004</v>
      </c>
      <c r="N104" s="8">
        <v>4.1839510000000004</v>
      </c>
      <c r="O104" s="8">
        <v>4.6883670000000004</v>
      </c>
      <c r="P104" s="8">
        <v>5.0963900000000004</v>
      </c>
      <c r="Q104" s="8">
        <v>5.7618540000000005</v>
      </c>
      <c r="R104" s="8">
        <v>6.4253749999999998</v>
      </c>
      <c r="S104" s="8">
        <v>6.1471629999999999</v>
      </c>
      <c r="T104" s="8">
        <v>6.6120200000000002</v>
      </c>
    </row>
    <row r="105" spans="1:20" x14ac:dyDescent="0.3">
      <c r="A105" s="8" t="s">
        <v>758</v>
      </c>
      <c r="B105" s="8" t="s">
        <v>740</v>
      </c>
      <c r="C105" s="8" t="s">
        <v>729</v>
      </c>
      <c r="D105" s="8" t="s">
        <v>759</v>
      </c>
      <c r="E105" s="8" t="s">
        <v>760</v>
      </c>
      <c r="F105" s="8">
        <v>8.6188000000000001E-2</v>
      </c>
      <c r="G105" s="8">
        <v>8.8252999999999998E-2</v>
      </c>
      <c r="H105" s="8">
        <v>9.0994000000000005E-2</v>
      </c>
      <c r="I105" s="8">
        <v>9.648000000000001E-2</v>
      </c>
      <c r="J105" s="8">
        <v>0.102238</v>
      </c>
      <c r="K105" s="8">
        <v>0.11054699999999999</v>
      </c>
      <c r="L105" s="8">
        <v>0.120505</v>
      </c>
      <c r="M105" s="8">
        <v>0.13169900000000001</v>
      </c>
      <c r="N105" s="8">
        <v>0.14133799999999999</v>
      </c>
      <c r="O105" s="8">
        <v>0.15149899999999999</v>
      </c>
      <c r="P105" s="8">
        <v>0.158968</v>
      </c>
      <c r="Q105" s="8">
        <v>0.164829</v>
      </c>
      <c r="R105" s="8">
        <v>0.170262</v>
      </c>
      <c r="S105" s="8">
        <v>0.17521500000000001</v>
      </c>
      <c r="T105" s="8">
        <v>0.17891800000000002</v>
      </c>
    </row>
    <row r="106" spans="1:20" x14ac:dyDescent="0.3">
      <c r="A106" s="8" t="s">
        <v>758</v>
      </c>
      <c r="B106" s="8" t="s">
        <v>740</v>
      </c>
      <c r="C106" s="8" t="s">
        <v>135</v>
      </c>
      <c r="D106" s="8" t="s">
        <v>759</v>
      </c>
      <c r="E106" s="8" t="s">
        <v>760</v>
      </c>
      <c r="F106" s="8">
        <v>7.8755310000000005</v>
      </c>
      <c r="G106" s="8">
        <v>8.6607800000000008</v>
      </c>
      <c r="H106" s="8">
        <v>9.6654940000000007</v>
      </c>
      <c r="I106" s="8">
        <v>10.903720999999999</v>
      </c>
      <c r="J106" s="8">
        <v>12.254084000000001</v>
      </c>
      <c r="K106" s="8">
        <v>13.540143</v>
      </c>
      <c r="L106" s="8">
        <v>14.814512000000001</v>
      </c>
      <c r="M106" s="8">
        <v>15.980717</v>
      </c>
      <c r="N106" s="8">
        <v>17.095925000000001</v>
      </c>
      <c r="O106" s="8">
        <v>18.100249000000002</v>
      </c>
      <c r="P106" s="8">
        <v>18.727357000000001</v>
      </c>
      <c r="Q106" s="8">
        <v>19.580750000000002</v>
      </c>
      <c r="R106" s="8">
        <v>20.576546999999998</v>
      </c>
      <c r="S106" s="8">
        <v>21.290778</v>
      </c>
      <c r="T106" s="8">
        <v>21.683157999999999</v>
      </c>
    </row>
    <row r="107" spans="1:20" x14ac:dyDescent="0.3">
      <c r="A107" s="8" t="s">
        <v>758</v>
      </c>
      <c r="B107" s="8" t="s">
        <v>740</v>
      </c>
      <c r="C107" s="8" t="s">
        <v>525</v>
      </c>
      <c r="D107" s="8" t="s">
        <v>759</v>
      </c>
      <c r="E107" s="8" t="s">
        <v>760</v>
      </c>
      <c r="F107" s="8">
        <v>0.57445500000000005</v>
      </c>
      <c r="G107" s="8">
        <v>0.63404399999999994</v>
      </c>
      <c r="H107" s="8">
        <v>0.72649900000000001</v>
      </c>
      <c r="I107" s="8">
        <v>0.84690300000000007</v>
      </c>
      <c r="J107" s="8">
        <v>1.005533</v>
      </c>
      <c r="K107" s="8">
        <v>1.1956310000000001</v>
      </c>
      <c r="L107" s="8">
        <v>1.38805</v>
      </c>
      <c r="M107" s="8">
        <v>1.594964</v>
      </c>
      <c r="N107" s="8">
        <v>1.7834390000000002</v>
      </c>
      <c r="O107" s="8">
        <v>1.9228779999999999</v>
      </c>
      <c r="P107" s="8">
        <v>1.997449</v>
      </c>
      <c r="Q107" s="8">
        <v>1.9806400000000002</v>
      </c>
      <c r="R107" s="8">
        <v>2.015889</v>
      </c>
      <c r="S107" s="8">
        <v>2.1062959999999999</v>
      </c>
      <c r="T107" s="8">
        <v>2.2396039999999999</v>
      </c>
    </row>
    <row r="108" spans="1:20" x14ac:dyDescent="0.3">
      <c r="A108" s="8" t="s">
        <v>758</v>
      </c>
      <c r="B108" s="8" t="s">
        <v>740</v>
      </c>
      <c r="C108" s="8" t="s">
        <v>137</v>
      </c>
      <c r="D108" s="8" t="s">
        <v>759</v>
      </c>
      <c r="E108" s="8" t="s">
        <v>760</v>
      </c>
      <c r="F108" s="8">
        <v>2.5530410000000003</v>
      </c>
      <c r="G108" s="8">
        <v>2.6841179999999998</v>
      </c>
      <c r="H108" s="8">
        <v>2.85547</v>
      </c>
      <c r="I108" s="8">
        <v>3.037423</v>
      </c>
      <c r="J108" s="8">
        <v>3.1936100000000001</v>
      </c>
      <c r="K108" s="8">
        <v>3.3531660000000003</v>
      </c>
      <c r="L108" s="8">
        <v>3.5067590000000002</v>
      </c>
      <c r="M108" s="8">
        <v>3.6586170000000005</v>
      </c>
      <c r="N108" s="8">
        <v>3.7807200000000001</v>
      </c>
      <c r="O108" s="8">
        <v>3.7594639999999999</v>
      </c>
      <c r="P108" s="8">
        <v>3.6176849999999998</v>
      </c>
      <c r="Q108" s="8">
        <v>3.3987340000000001</v>
      </c>
      <c r="R108" s="8">
        <v>3.1595070000000001</v>
      </c>
      <c r="S108" s="8">
        <v>2.9790929999999998</v>
      </c>
      <c r="T108" s="8">
        <v>2.8359019999999999</v>
      </c>
    </row>
    <row r="109" spans="1:20" x14ac:dyDescent="0.3">
      <c r="A109" s="8" t="s">
        <v>758</v>
      </c>
      <c r="B109" s="8" t="s">
        <v>740</v>
      </c>
      <c r="C109" s="8" t="s">
        <v>139</v>
      </c>
      <c r="D109" s="8" t="s">
        <v>759</v>
      </c>
      <c r="E109" s="8" t="s">
        <v>760</v>
      </c>
      <c r="F109" s="8">
        <v>0.29579300000000003</v>
      </c>
      <c r="G109" s="8">
        <v>0.30455500000000002</v>
      </c>
      <c r="H109" s="8">
        <v>0.31348100000000001</v>
      </c>
      <c r="I109" s="8">
        <v>0.3281</v>
      </c>
      <c r="J109" s="8">
        <v>0.33881099999999997</v>
      </c>
      <c r="K109" s="8">
        <v>0.352493</v>
      </c>
      <c r="L109" s="8">
        <v>0.36332100000000006</v>
      </c>
      <c r="M109" s="8">
        <v>0.36593300000000001</v>
      </c>
      <c r="N109" s="8">
        <v>0.37874599999999997</v>
      </c>
      <c r="O109" s="8">
        <v>0.40471400000000002</v>
      </c>
      <c r="P109" s="8">
        <v>0.43252699999999999</v>
      </c>
      <c r="Q109" s="8">
        <v>0.46092899999999998</v>
      </c>
      <c r="R109" s="8">
        <v>0.50218499999999999</v>
      </c>
      <c r="S109" s="8">
        <v>0.56271900000000008</v>
      </c>
      <c r="T109" s="8">
        <v>0.62607199999999996</v>
      </c>
    </row>
    <row r="110" spans="1:20" x14ac:dyDescent="0.3">
      <c r="A110" s="8" t="s">
        <v>758</v>
      </c>
      <c r="B110" s="8" t="s">
        <v>740</v>
      </c>
      <c r="C110" s="8" t="s">
        <v>141</v>
      </c>
      <c r="D110" s="8" t="s">
        <v>759</v>
      </c>
      <c r="E110" s="8" t="s">
        <v>760</v>
      </c>
      <c r="F110" s="8">
        <v>1.9112639999999999</v>
      </c>
      <c r="G110" s="8">
        <v>2.0213480000000001</v>
      </c>
      <c r="H110" s="8">
        <v>2.1400990000000002</v>
      </c>
      <c r="I110" s="8">
        <v>2.2761550000000002</v>
      </c>
      <c r="J110" s="8">
        <v>2.3869899999999999</v>
      </c>
      <c r="K110" s="8">
        <v>2.4843030000000002</v>
      </c>
      <c r="L110" s="8">
        <v>2.5639910000000001</v>
      </c>
      <c r="M110" s="8">
        <v>2.6487849999999997</v>
      </c>
      <c r="N110" s="8">
        <v>2.6931959999999999</v>
      </c>
      <c r="O110" s="8">
        <v>2.5885569999999998</v>
      </c>
      <c r="P110" s="8">
        <v>2.408954</v>
      </c>
      <c r="Q110" s="8">
        <v>2.2480959999999999</v>
      </c>
      <c r="R110" s="8">
        <v>2.1142020000000001</v>
      </c>
      <c r="S110" s="8">
        <v>2.0012880000000002</v>
      </c>
      <c r="T110" s="8">
        <v>1.907241</v>
      </c>
    </row>
    <row r="111" spans="1:20" x14ac:dyDescent="0.3">
      <c r="A111" s="8" t="s">
        <v>758</v>
      </c>
      <c r="B111" s="8" t="s">
        <v>740</v>
      </c>
      <c r="C111" s="8" t="s">
        <v>750</v>
      </c>
      <c r="D111" s="8" t="s">
        <v>759</v>
      </c>
      <c r="E111" s="8" t="s">
        <v>760</v>
      </c>
      <c r="F111" s="8">
        <v>0.193635</v>
      </c>
      <c r="G111" s="8">
        <v>0.19714400000000001</v>
      </c>
      <c r="H111" s="8">
        <v>0.17898600000000001</v>
      </c>
      <c r="I111" s="8">
        <v>0.20530099999999998</v>
      </c>
      <c r="J111" s="8">
        <v>0.24406700000000001</v>
      </c>
      <c r="K111" s="8">
        <v>0.247062</v>
      </c>
      <c r="L111" s="8">
        <v>0.24537799999999999</v>
      </c>
      <c r="M111" s="8">
        <v>0.28195700000000001</v>
      </c>
      <c r="N111" s="8">
        <v>0.34379199999999999</v>
      </c>
      <c r="O111" s="8">
        <v>0.39275400000000005</v>
      </c>
      <c r="P111" s="8">
        <v>0.428817</v>
      </c>
      <c r="Q111" s="8">
        <v>0.48205300000000001</v>
      </c>
      <c r="R111" s="8">
        <v>0.55008500000000005</v>
      </c>
      <c r="S111" s="8">
        <v>0.60962300000000003</v>
      </c>
      <c r="T111" s="8">
        <v>0.67001700000000008</v>
      </c>
    </row>
    <row r="112" spans="1:20" x14ac:dyDescent="0.3">
      <c r="A112" s="8" t="s">
        <v>758</v>
      </c>
      <c r="B112" s="8" t="s">
        <v>740</v>
      </c>
      <c r="C112" s="8" t="s">
        <v>143</v>
      </c>
      <c r="D112" s="8" t="s">
        <v>759</v>
      </c>
      <c r="E112" s="8" t="s">
        <v>760</v>
      </c>
      <c r="F112" s="8">
        <v>8.8266390000000001</v>
      </c>
      <c r="G112" s="8">
        <v>10.10013</v>
      </c>
      <c r="H112" s="8">
        <v>11.613196</v>
      </c>
      <c r="I112" s="8">
        <v>13.207578</v>
      </c>
      <c r="J112" s="8">
        <v>15.072499000000001</v>
      </c>
      <c r="K112" s="8">
        <v>17.110339</v>
      </c>
      <c r="L112" s="8">
        <v>19.415828000000001</v>
      </c>
      <c r="M112" s="8">
        <v>22.077850999999999</v>
      </c>
      <c r="N112" s="8">
        <v>24.358310000000003</v>
      </c>
      <c r="O112" s="8">
        <v>26.398050999999999</v>
      </c>
      <c r="P112" s="8">
        <v>28.366437000000001</v>
      </c>
      <c r="Q112" s="8">
        <v>30.229542000000002</v>
      </c>
      <c r="R112" s="8">
        <v>32.249254000000001</v>
      </c>
      <c r="S112" s="8">
        <v>34.467568</v>
      </c>
      <c r="T112" s="8">
        <v>36.488841000000001</v>
      </c>
    </row>
    <row r="113" spans="1:20" x14ac:dyDescent="0.3">
      <c r="A113" s="8" t="s">
        <v>758</v>
      </c>
      <c r="B113" s="8" t="s">
        <v>740</v>
      </c>
      <c r="C113" s="8" t="s">
        <v>145</v>
      </c>
      <c r="D113" s="8" t="s">
        <v>759</v>
      </c>
      <c r="E113" s="8" t="s">
        <v>760</v>
      </c>
      <c r="F113" s="8">
        <v>2.341008</v>
      </c>
      <c r="G113" s="8">
        <v>2.674922</v>
      </c>
      <c r="H113" s="8">
        <v>3.0919080000000001</v>
      </c>
      <c r="I113" s="8">
        <v>3.4493870000000002</v>
      </c>
      <c r="J113" s="8">
        <v>3.690763</v>
      </c>
      <c r="K113" s="8">
        <v>3.8928470000000002</v>
      </c>
      <c r="L113" s="8">
        <v>4.0853090000000005</v>
      </c>
      <c r="M113" s="8">
        <v>4.2809669999999995</v>
      </c>
      <c r="N113" s="8">
        <v>4.4721700000000002</v>
      </c>
      <c r="O113" s="8">
        <v>4.4738129999999998</v>
      </c>
      <c r="P113" s="8">
        <v>4.2766459999999995</v>
      </c>
      <c r="Q113" s="8">
        <v>4.0268090000000001</v>
      </c>
      <c r="R113" s="8">
        <v>3.718286</v>
      </c>
      <c r="S113" s="8">
        <v>3.3058260000000002</v>
      </c>
      <c r="T113" s="8">
        <v>3.0950220000000002</v>
      </c>
    </row>
    <row r="114" spans="1:20" x14ac:dyDescent="0.3">
      <c r="A114" s="8" t="s">
        <v>758</v>
      </c>
      <c r="B114" s="8" t="s">
        <v>740</v>
      </c>
      <c r="C114" s="8" t="s">
        <v>540</v>
      </c>
      <c r="D114" s="8" t="s">
        <v>759</v>
      </c>
      <c r="E114" s="8" t="s">
        <v>760</v>
      </c>
      <c r="F114" s="8">
        <v>3.9060250000000001</v>
      </c>
      <c r="G114" s="8">
        <v>4.4118680000000001</v>
      </c>
      <c r="H114" s="8">
        <v>5.0078329999999998</v>
      </c>
      <c r="I114" s="8">
        <v>5.7041469999999999</v>
      </c>
      <c r="J114" s="8">
        <v>6.5424910000000001</v>
      </c>
      <c r="K114" s="8">
        <v>7.6050259999999996</v>
      </c>
      <c r="L114" s="8">
        <v>8.8193199999999994</v>
      </c>
      <c r="M114" s="8">
        <v>10.154222000000001</v>
      </c>
      <c r="N114" s="8">
        <v>11.705333000000001</v>
      </c>
      <c r="O114" s="8">
        <v>13.648398</v>
      </c>
      <c r="P114" s="8">
        <v>15.972674000000001</v>
      </c>
      <c r="Q114" s="8">
        <v>18.517654999999998</v>
      </c>
      <c r="R114" s="8">
        <v>21.422991000000003</v>
      </c>
      <c r="S114" s="8">
        <v>24.531082999999999</v>
      </c>
      <c r="T114" s="8">
        <v>27.879129000000002</v>
      </c>
    </row>
    <row r="115" spans="1:20" x14ac:dyDescent="0.3">
      <c r="A115" s="8" t="s">
        <v>758</v>
      </c>
      <c r="B115" s="8" t="s">
        <v>740</v>
      </c>
      <c r="C115" s="8" t="s">
        <v>542</v>
      </c>
      <c r="D115" s="8" t="s">
        <v>759</v>
      </c>
      <c r="E115" s="8" t="s">
        <v>760</v>
      </c>
      <c r="F115" s="8">
        <v>7.3839000000000002E-2</v>
      </c>
      <c r="G115" s="8">
        <v>8.098699999999999E-2</v>
      </c>
      <c r="H115" s="8">
        <v>9.0517E-2</v>
      </c>
      <c r="I115" s="8">
        <v>0.10247400000000001</v>
      </c>
      <c r="J115" s="8">
        <v>0.121367</v>
      </c>
      <c r="K115" s="8">
        <v>0.14097399999999999</v>
      </c>
      <c r="L115" s="8">
        <v>0.16252800000000001</v>
      </c>
      <c r="M115" s="8">
        <v>0.18706100000000001</v>
      </c>
      <c r="N115" s="8">
        <v>0.22132300000000002</v>
      </c>
      <c r="O115" s="8">
        <v>0.25527300000000003</v>
      </c>
      <c r="P115" s="8">
        <v>0.28017000000000003</v>
      </c>
      <c r="Q115" s="8">
        <v>0.30458100000000005</v>
      </c>
      <c r="R115" s="8">
        <v>0.35521400000000003</v>
      </c>
      <c r="S115" s="8">
        <v>0.426153</v>
      </c>
      <c r="T115" s="8">
        <v>0.51088100000000003</v>
      </c>
    </row>
    <row r="116" spans="1:20" x14ac:dyDescent="0.3">
      <c r="A116" s="8" t="s">
        <v>758</v>
      </c>
      <c r="B116" s="8" t="s">
        <v>740</v>
      </c>
      <c r="C116" s="8" t="s">
        <v>147</v>
      </c>
      <c r="D116" s="8" t="s">
        <v>759</v>
      </c>
      <c r="E116" s="8" t="s">
        <v>760</v>
      </c>
      <c r="F116" s="8">
        <v>27.231560000000002</v>
      </c>
      <c r="G116" s="8">
        <v>31.025611000000001</v>
      </c>
      <c r="H116" s="8">
        <v>35.704512999999999</v>
      </c>
      <c r="I116" s="8">
        <v>42.023049</v>
      </c>
      <c r="J116" s="8">
        <v>49.494100000000003</v>
      </c>
      <c r="K116" s="8">
        <v>57.811389000000005</v>
      </c>
      <c r="L116" s="8">
        <v>66.890129000000002</v>
      </c>
      <c r="M116" s="8">
        <v>74.184959000000006</v>
      </c>
      <c r="N116" s="8">
        <v>80.900795000000002</v>
      </c>
      <c r="O116" s="8">
        <v>89.155152000000001</v>
      </c>
      <c r="P116" s="8">
        <v>97.112121999999999</v>
      </c>
      <c r="Q116" s="8">
        <v>104.713291</v>
      </c>
      <c r="R116" s="8">
        <v>111.73375800000001</v>
      </c>
      <c r="S116" s="8">
        <v>119.472303</v>
      </c>
      <c r="T116" s="8">
        <v>125.61046400000001</v>
      </c>
    </row>
    <row r="117" spans="1:20" x14ac:dyDescent="0.3">
      <c r="A117" s="8" t="s">
        <v>758</v>
      </c>
      <c r="B117" s="8" t="s">
        <v>740</v>
      </c>
      <c r="C117" s="8" t="s">
        <v>149</v>
      </c>
      <c r="D117" s="8" t="s">
        <v>759</v>
      </c>
      <c r="E117" s="8" t="s">
        <v>760</v>
      </c>
      <c r="F117" s="8">
        <v>1.2344110000000001</v>
      </c>
      <c r="G117" s="8">
        <v>1.3711410000000002</v>
      </c>
      <c r="H117" s="8">
        <v>1.4539300000000002</v>
      </c>
      <c r="I117" s="8">
        <v>1.5385630000000001</v>
      </c>
      <c r="J117" s="8">
        <v>1.645213</v>
      </c>
      <c r="K117" s="8">
        <v>1.761528</v>
      </c>
      <c r="L117" s="8">
        <v>1.893181</v>
      </c>
      <c r="M117" s="8">
        <v>1.9954970000000001</v>
      </c>
      <c r="N117" s="8">
        <v>2.0428389999999998</v>
      </c>
      <c r="O117" s="8">
        <v>1.9793130000000001</v>
      </c>
      <c r="P117" s="8">
        <v>2.0304990000000003</v>
      </c>
      <c r="Q117" s="8">
        <v>2.0775419999999998</v>
      </c>
      <c r="R117" s="8">
        <v>2.0917289999999999</v>
      </c>
      <c r="S117" s="8">
        <v>2.1068350000000002</v>
      </c>
      <c r="T117" s="8">
        <v>2.114026</v>
      </c>
    </row>
    <row r="118" spans="1:20" x14ac:dyDescent="0.3">
      <c r="A118" s="8" t="s">
        <v>758</v>
      </c>
      <c r="B118" s="8" t="s">
        <v>740</v>
      </c>
      <c r="C118" s="8" t="s">
        <v>552</v>
      </c>
      <c r="D118" s="8" t="s">
        <v>759</v>
      </c>
      <c r="E118" s="8" t="s">
        <v>760</v>
      </c>
      <c r="F118" s="8">
        <v>4.6621629999999996</v>
      </c>
      <c r="G118" s="8">
        <v>4.9827450000000004</v>
      </c>
      <c r="H118" s="8">
        <v>5.3104019999999998</v>
      </c>
      <c r="I118" s="8">
        <v>5.6862139999999997</v>
      </c>
      <c r="J118" s="8">
        <v>6.1064040000000004</v>
      </c>
      <c r="K118" s="8">
        <v>6.6273599999999995</v>
      </c>
      <c r="L118" s="8">
        <v>7.2928839999999999</v>
      </c>
      <c r="M118" s="8">
        <v>8.1115580000000005</v>
      </c>
      <c r="N118" s="8">
        <v>8.8565220000000018</v>
      </c>
      <c r="O118" s="8">
        <v>9.8173110000000001</v>
      </c>
      <c r="P118" s="8">
        <v>11.072704</v>
      </c>
      <c r="Q118" s="8">
        <v>12.962831</v>
      </c>
      <c r="R118" s="8">
        <v>15.276049</v>
      </c>
      <c r="S118" s="8">
        <v>17.827780999999998</v>
      </c>
      <c r="T118" s="8">
        <v>20.886783000000001</v>
      </c>
    </row>
    <row r="119" spans="1:20" x14ac:dyDescent="0.3">
      <c r="A119" s="8" t="s">
        <v>758</v>
      </c>
      <c r="B119" s="8" t="s">
        <v>740</v>
      </c>
      <c r="C119" s="8" t="s">
        <v>151</v>
      </c>
      <c r="D119" s="8" t="s">
        <v>759</v>
      </c>
      <c r="E119" s="8" t="s">
        <v>760</v>
      </c>
      <c r="F119" s="8">
        <v>0.28873000000000004</v>
      </c>
      <c r="G119" s="8">
        <v>0.320741</v>
      </c>
      <c r="H119" s="8">
        <v>0.33744299999999999</v>
      </c>
      <c r="I119" s="8">
        <v>0.32820299999999997</v>
      </c>
      <c r="J119" s="8">
        <v>0.31573700000000005</v>
      </c>
      <c r="K119" s="8">
        <v>0.31847000000000003</v>
      </c>
      <c r="L119" s="8">
        <v>0.33205299999999999</v>
      </c>
      <c r="M119" s="8">
        <v>0.34762400000000004</v>
      </c>
      <c r="N119" s="8">
        <v>0.36367700000000003</v>
      </c>
      <c r="O119" s="8">
        <v>0.38016899999999998</v>
      </c>
      <c r="P119" s="8">
        <v>0.39766699999999999</v>
      </c>
      <c r="Q119" s="8">
        <v>0.409609</v>
      </c>
      <c r="R119" s="8">
        <v>0.416771</v>
      </c>
      <c r="S119" s="8">
        <v>0.45124300000000001</v>
      </c>
      <c r="T119" s="8">
        <v>0.50958599999999998</v>
      </c>
    </row>
    <row r="120" spans="1:20" x14ac:dyDescent="0.3">
      <c r="A120" s="8" t="s">
        <v>758</v>
      </c>
      <c r="B120" s="8" t="s">
        <v>740</v>
      </c>
      <c r="C120" s="8" t="s">
        <v>152</v>
      </c>
      <c r="D120" s="8" t="s">
        <v>759</v>
      </c>
      <c r="E120" s="8" t="s">
        <v>760</v>
      </c>
      <c r="F120" s="8">
        <v>17.573124</v>
      </c>
      <c r="G120" s="8">
        <v>19.320646</v>
      </c>
      <c r="H120" s="8">
        <v>21.482668</v>
      </c>
      <c r="I120" s="8">
        <v>24.006176</v>
      </c>
      <c r="J120" s="8">
        <v>26.968962000000001</v>
      </c>
      <c r="K120" s="8">
        <v>30.046415000000003</v>
      </c>
      <c r="L120" s="8">
        <v>33.140940999999998</v>
      </c>
      <c r="M120" s="8">
        <v>36.526752999999999</v>
      </c>
      <c r="N120" s="8">
        <v>39.799245000000006</v>
      </c>
      <c r="O120" s="8">
        <v>42.612037000000001</v>
      </c>
      <c r="P120" s="8">
        <v>45.296589999999995</v>
      </c>
      <c r="Q120" s="8">
        <v>47.539188000000003</v>
      </c>
      <c r="R120" s="8">
        <v>49.197199999999995</v>
      </c>
      <c r="S120" s="8">
        <v>51.280307999999998</v>
      </c>
      <c r="T120" s="8">
        <v>53.227974000000003</v>
      </c>
    </row>
    <row r="121" spans="1:20" x14ac:dyDescent="0.3">
      <c r="A121" s="8" t="s">
        <v>758</v>
      </c>
      <c r="B121" s="8" t="s">
        <v>740</v>
      </c>
      <c r="C121" s="8" t="s">
        <v>153</v>
      </c>
      <c r="D121" s="8" t="s">
        <v>759</v>
      </c>
      <c r="E121" s="8" t="s">
        <v>760</v>
      </c>
      <c r="F121" s="8">
        <v>0.39895600000000003</v>
      </c>
      <c r="G121" s="8">
        <v>0.43821800000000005</v>
      </c>
      <c r="H121" s="8">
        <v>0.46992899999999999</v>
      </c>
      <c r="I121" s="8">
        <v>0.50032600000000005</v>
      </c>
      <c r="J121" s="8">
        <v>0.52785500000000007</v>
      </c>
      <c r="K121" s="8">
        <v>0.55626500000000001</v>
      </c>
      <c r="L121" s="8">
        <v>0.586287</v>
      </c>
      <c r="M121" s="8">
        <v>0.60315700000000005</v>
      </c>
      <c r="N121" s="8">
        <v>0.61963699999999999</v>
      </c>
      <c r="O121" s="8">
        <v>0.63149800000000011</v>
      </c>
      <c r="P121" s="8">
        <v>0.63348000000000004</v>
      </c>
      <c r="Q121" s="8">
        <v>0.63290099999999994</v>
      </c>
      <c r="R121" s="8">
        <v>0.63103599999999993</v>
      </c>
      <c r="S121" s="8">
        <v>0.63427500000000003</v>
      </c>
      <c r="T121" s="8">
        <v>0.629888</v>
      </c>
    </row>
    <row r="122" spans="1:20" x14ac:dyDescent="0.3">
      <c r="A122" s="8" t="s">
        <v>758</v>
      </c>
      <c r="B122" s="8" t="s">
        <v>740</v>
      </c>
      <c r="C122" s="8" t="s">
        <v>155</v>
      </c>
      <c r="D122" s="8" t="s">
        <v>759</v>
      </c>
      <c r="E122" s="8" t="s">
        <v>760</v>
      </c>
      <c r="F122" s="8">
        <v>0.77534199999999998</v>
      </c>
      <c r="G122" s="8">
        <v>0.837507</v>
      </c>
      <c r="H122" s="8">
        <v>0.96112300000000006</v>
      </c>
      <c r="I122" s="8">
        <v>1.1185689999999999</v>
      </c>
      <c r="J122" s="8">
        <v>1.277441</v>
      </c>
      <c r="K122" s="8">
        <v>1.4640709999999999</v>
      </c>
      <c r="L122" s="8">
        <v>1.677335</v>
      </c>
      <c r="M122" s="8">
        <v>1.8951359999999999</v>
      </c>
      <c r="N122" s="8">
        <v>2.1416370000000002</v>
      </c>
      <c r="O122" s="8">
        <v>2.3164609999999999</v>
      </c>
      <c r="P122" s="8">
        <v>2.4403609999999998</v>
      </c>
      <c r="Q122" s="8">
        <v>2.5486219999999999</v>
      </c>
      <c r="R122" s="8">
        <v>2.6843400000000002</v>
      </c>
      <c r="S122" s="8">
        <v>2.9328609999999999</v>
      </c>
      <c r="T122" s="8">
        <v>3.2664599999999999</v>
      </c>
    </row>
    <row r="123" spans="1:20" x14ac:dyDescent="0.3">
      <c r="A123" s="8" t="s">
        <v>758</v>
      </c>
      <c r="B123" s="8" t="s">
        <v>740</v>
      </c>
      <c r="C123" s="8" t="s">
        <v>157</v>
      </c>
      <c r="D123" s="8" t="s">
        <v>759</v>
      </c>
      <c r="E123" s="8" t="s">
        <v>760</v>
      </c>
      <c r="F123" s="8">
        <v>5.8784390000000002</v>
      </c>
      <c r="G123" s="8">
        <v>6.2772079999999999</v>
      </c>
      <c r="H123" s="8">
        <v>6.7285699999999995</v>
      </c>
      <c r="I123" s="8">
        <v>7.4415519999999997</v>
      </c>
      <c r="J123" s="8">
        <v>8.3112130000000004</v>
      </c>
      <c r="K123" s="8">
        <v>9.5486360000000001</v>
      </c>
      <c r="L123" s="8">
        <v>11.32099</v>
      </c>
      <c r="M123" s="8">
        <v>12.555598</v>
      </c>
      <c r="N123" s="8">
        <v>13.176188</v>
      </c>
      <c r="O123" s="8">
        <v>15.355381</v>
      </c>
      <c r="P123" s="8">
        <v>17.548017999999999</v>
      </c>
      <c r="Q123" s="8">
        <v>19.952763999999998</v>
      </c>
      <c r="R123" s="8">
        <v>22.740704000000001</v>
      </c>
      <c r="S123" s="8">
        <v>26.435068999999999</v>
      </c>
      <c r="T123" s="8">
        <v>30.720751</v>
      </c>
    </row>
    <row r="124" spans="1:20" x14ac:dyDescent="0.3">
      <c r="A124" s="8" t="s">
        <v>758</v>
      </c>
      <c r="B124" s="8" t="s">
        <v>740</v>
      </c>
      <c r="C124" s="8" t="s">
        <v>563</v>
      </c>
      <c r="D124" s="8" t="s">
        <v>759</v>
      </c>
      <c r="E124" s="8" t="s">
        <v>760</v>
      </c>
      <c r="F124" s="8">
        <v>0.65134300000000001</v>
      </c>
      <c r="G124" s="8">
        <v>0.72969600000000001</v>
      </c>
      <c r="H124" s="8">
        <v>0.82718100000000006</v>
      </c>
      <c r="I124" s="8">
        <v>0.95140200000000008</v>
      </c>
      <c r="J124" s="8">
        <v>1.105307</v>
      </c>
      <c r="K124" s="8">
        <v>1.2831079999999999</v>
      </c>
      <c r="L124" s="8">
        <v>1.4846700000000002</v>
      </c>
      <c r="M124" s="8">
        <v>1.7206700000000001</v>
      </c>
      <c r="N124" s="8">
        <v>1.976413</v>
      </c>
      <c r="O124" s="8">
        <v>2.3543440000000002</v>
      </c>
      <c r="P124" s="8">
        <v>2.6574819999999999</v>
      </c>
      <c r="Q124" s="8">
        <v>2.9787849999999998</v>
      </c>
      <c r="R124" s="8">
        <v>3.3690520000000004</v>
      </c>
      <c r="S124" s="8">
        <v>3.894028</v>
      </c>
      <c r="T124" s="8">
        <v>4.4409279999999987</v>
      </c>
    </row>
    <row r="125" spans="1:20" x14ac:dyDescent="0.3">
      <c r="A125" s="8" t="s">
        <v>758</v>
      </c>
      <c r="B125" s="8" t="s">
        <v>740</v>
      </c>
      <c r="C125" s="8" t="s">
        <v>726</v>
      </c>
      <c r="D125" s="8" t="s">
        <v>759</v>
      </c>
      <c r="E125" s="8" t="s">
        <v>760</v>
      </c>
      <c r="F125" s="8">
        <v>0.22931299999999999</v>
      </c>
      <c r="G125" s="8">
        <v>0.25954500000000003</v>
      </c>
      <c r="H125" s="8">
        <v>0.28719</v>
      </c>
      <c r="I125" s="8">
        <v>0.31170500000000001</v>
      </c>
      <c r="J125" s="8">
        <v>0.32596800000000004</v>
      </c>
      <c r="K125" s="8">
        <v>0.32810700000000004</v>
      </c>
      <c r="L125" s="8">
        <v>0.33354200000000001</v>
      </c>
      <c r="M125" s="8">
        <v>0.346474</v>
      </c>
      <c r="N125" s="8">
        <v>0.37118700000000004</v>
      </c>
      <c r="O125" s="8">
        <v>0.406387</v>
      </c>
      <c r="P125" s="8">
        <v>0.43392700000000001</v>
      </c>
      <c r="Q125" s="8">
        <v>0.40543499999999999</v>
      </c>
      <c r="R125" s="8">
        <v>0.39332299999999998</v>
      </c>
      <c r="S125" s="8">
        <v>0.38510000000000005</v>
      </c>
      <c r="T125" s="8">
        <v>0.37095</v>
      </c>
    </row>
    <row r="126" spans="1:20" x14ac:dyDescent="0.3">
      <c r="A126" s="8" t="s">
        <v>758</v>
      </c>
      <c r="B126" s="8" t="s">
        <v>740</v>
      </c>
      <c r="C126" s="8" t="s">
        <v>159</v>
      </c>
      <c r="D126" s="8" t="s">
        <v>759</v>
      </c>
      <c r="E126" s="8" t="s">
        <v>760</v>
      </c>
      <c r="F126" s="8">
        <v>0.51792399999999994</v>
      </c>
      <c r="G126" s="8">
        <v>0.58973400000000009</v>
      </c>
      <c r="H126" s="8">
        <v>0.66839400000000004</v>
      </c>
      <c r="I126" s="8">
        <v>0.75059000000000009</v>
      </c>
      <c r="J126" s="8">
        <v>0.82377300000000009</v>
      </c>
      <c r="K126" s="8">
        <v>0.88245000000000007</v>
      </c>
      <c r="L126" s="8">
        <v>0.94735000000000003</v>
      </c>
      <c r="M126" s="8">
        <v>1.019001</v>
      </c>
      <c r="N126" s="8">
        <v>1.083361</v>
      </c>
      <c r="O126" s="8">
        <v>1.1539459999999999</v>
      </c>
      <c r="P126" s="8">
        <v>1.2109649999999998</v>
      </c>
      <c r="Q126" s="8">
        <v>1.2543759999999999</v>
      </c>
      <c r="R126" s="8">
        <v>1.281722</v>
      </c>
      <c r="S126" s="8">
        <v>1.2927999999999999</v>
      </c>
      <c r="T126" s="8">
        <v>1.2969710000000001</v>
      </c>
    </row>
    <row r="127" spans="1:20" x14ac:dyDescent="0.3">
      <c r="A127" s="8" t="s">
        <v>758</v>
      </c>
      <c r="B127" s="8" t="s">
        <v>740</v>
      </c>
      <c r="C127" s="8" t="s">
        <v>566</v>
      </c>
      <c r="D127" s="8" t="s">
        <v>759</v>
      </c>
      <c r="E127" s="8" t="s">
        <v>760</v>
      </c>
      <c r="F127" s="8">
        <v>2.9250579999999999</v>
      </c>
      <c r="G127" s="8">
        <v>3.2071730000000001</v>
      </c>
      <c r="H127" s="8">
        <v>3.5784319999999998</v>
      </c>
      <c r="I127" s="8">
        <v>4.0391180000000002</v>
      </c>
      <c r="J127" s="8">
        <v>4.5679350000000003</v>
      </c>
      <c r="K127" s="8">
        <v>5.2052630000000004</v>
      </c>
      <c r="L127" s="8">
        <v>6.144298</v>
      </c>
      <c r="M127" s="8">
        <v>7.4807220000000001</v>
      </c>
      <c r="N127" s="8">
        <v>9.3820080000000008</v>
      </c>
      <c r="O127" s="8">
        <v>10.014128000000001</v>
      </c>
      <c r="P127" s="8">
        <v>11.098801999999999</v>
      </c>
      <c r="Q127" s="8">
        <v>12.578085999999999</v>
      </c>
      <c r="R127" s="8">
        <v>14.506543000000001</v>
      </c>
      <c r="S127" s="8">
        <v>16.706994999999999</v>
      </c>
      <c r="T127" s="8">
        <v>19.120888999999998</v>
      </c>
    </row>
    <row r="128" spans="1:20" x14ac:dyDescent="0.3">
      <c r="A128" s="8" t="s">
        <v>758</v>
      </c>
      <c r="B128" s="8" t="s">
        <v>740</v>
      </c>
      <c r="C128" s="8" t="s">
        <v>160</v>
      </c>
      <c r="D128" s="8" t="s">
        <v>759</v>
      </c>
      <c r="E128" s="8" t="s">
        <v>760</v>
      </c>
      <c r="F128" s="8">
        <v>5.9022479999999993</v>
      </c>
      <c r="G128" s="8">
        <v>6.6932030000000005</v>
      </c>
      <c r="H128" s="8">
        <v>7.7156260000000003</v>
      </c>
      <c r="I128" s="8">
        <v>8.9639150000000019</v>
      </c>
      <c r="J128" s="8">
        <v>10.18256</v>
      </c>
      <c r="K128" s="8">
        <v>11.473626000000001</v>
      </c>
      <c r="L128" s="8">
        <v>13.042191000000001</v>
      </c>
      <c r="M128" s="8">
        <v>14.889276000000001</v>
      </c>
      <c r="N128" s="8">
        <v>17.266773000000001</v>
      </c>
      <c r="O128" s="8">
        <v>19.863075000000002</v>
      </c>
      <c r="P128" s="8">
        <v>22.647180000000002</v>
      </c>
      <c r="Q128" s="8">
        <v>25.630648000000001</v>
      </c>
      <c r="R128" s="8">
        <v>28.488621999999999</v>
      </c>
      <c r="S128" s="8">
        <v>30.842299000000001</v>
      </c>
      <c r="T128" s="8">
        <v>33.003633000000001</v>
      </c>
    </row>
    <row r="129" spans="1:20" x14ac:dyDescent="0.3">
      <c r="A129" s="8" t="s">
        <v>758</v>
      </c>
      <c r="B129" s="8" t="s">
        <v>740</v>
      </c>
      <c r="C129" s="8" t="s">
        <v>727</v>
      </c>
      <c r="D129" s="8" t="s">
        <v>759</v>
      </c>
      <c r="E129" s="8" t="s">
        <v>760</v>
      </c>
      <c r="F129" s="8">
        <v>2.0336E-2</v>
      </c>
      <c r="G129" s="8">
        <v>2.2658999999999999E-2</v>
      </c>
      <c r="H129" s="8">
        <v>2.5808000000000001E-2</v>
      </c>
      <c r="I129" s="8">
        <v>2.9708999999999999E-2</v>
      </c>
      <c r="J129" s="8">
        <v>3.4825000000000002E-2</v>
      </c>
      <c r="K129" s="8">
        <v>4.1308999999999998E-2</v>
      </c>
      <c r="L129" s="8">
        <v>5.0875999999999998E-2</v>
      </c>
      <c r="M129" s="8">
        <v>6.6334999999999991E-2</v>
      </c>
      <c r="N129" s="8">
        <v>8.9854000000000003E-2</v>
      </c>
      <c r="O129" s="8">
        <v>0.121333</v>
      </c>
      <c r="P129" s="8">
        <v>0.15590700000000002</v>
      </c>
      <c r="Q129" s="8">
        <v>0.185333</v>
      </c>
      <c r="R129" s="8">
        <v>0.20905199999999999</v>
      </c>
      <c r="S129" s="8">
        <v>0.24437300000000001</v>
      </c>
      <c r="T129" s="8">
        <v>0.30035400000000001</v>
      </c>
    </row>
    <row r="130" spans="1:20" x14ac:dyDescent="0.3">
      <c r="A130" s="8" t="s">
        <v>758</v>
      </c>
      <c r="B130" s="8" t="s">
        <v>740</v>
      </c>
      <c r="C130" s="8" t="s">
        <v>162</v>
      </c>
      <c r="D130" s="8" t="s">
        <v>759</v>
      </c>
      <c r="E130" s="8" t="s">
        <v>760</v>
      </c>
      <c r="F130" s="8">
        <v>0.511768</v>
      </c>
      <c r="G130" s="8">
        <v>0.54389999999999994</v>
      </c>
      <c r="H130" s="8">
        <v>0.58483600000000002</v>
      </c>
      <c r="I130" s="8">
        <v>0.6496860000000001</v>
      </c>
      <c r="J130" s="8">
        <v>0.74348500000000006</v>
      </c>
      <c r="K130" s="8">
        <v>0.86302500000000004</v>
      </c>
      <c r="L130" s="8">
        <v>0.96927800000000008</v>
      </c>
      <c r="M130" s="8">
        <v>1.076781</v>
      </c>
      <c r="N130" s="8">
        <v>1.344965</v>
      </c>
      <c r="O130" s="8">
        <v>1.5824259999999999</v>
      </c>
      <c r="P130" s="8">
        <v>1.799315</v>
      </c>
      <c r="Q130" s="8">
        <v>1.951173</v>
      </c>
      <c r="R130" s="8">
        <v>2.0831599999999999</v>
      </c>
      <c r="S130" s="8">
        <v>2.2626219999999999</v>
      </c>
      <c r="T130" s="8">
        <v>2.4670779999999999</v>
      </c>
    </row>
    <row r="131" spans="1:20" x14ac:dyDescent="0.3">
      <c r="A131" s="8" t="s">
        <v>758</v>
      </c>
      <c r="B131" s="8" t="s">
        <v>740</v>
      </c>
      <c r="C131" s="8" t="s">
        <v>572</v>
      </c>
      <c r="D131" s="8" t="s">
        <v>759</v>
      </c>
      <c r="E131" s="8" t="s">
        <v>760</v>
      </c>
      <c r="F131" s="8">
        <v>6.3335000000000002E-2</v>
      </c>
      <c r="G131" s="8">
        <v>6.9281000000000009E-2</v>
      </c>
      <c r="H131" s="8">
        <v>7.9875000000000002E-2</v>
      </c>
      <c r="I131" s="8">
        <v>9.3507999999999994E-2</v>
      </c>
      <c r="J131" s="8">
        <v>0.108651</v>
      </c>
      <c r="K131" s="8">
        <v>0.134186</v>
      </c>
      <c r="L131" s="8">
        <v>0.147781</v>
      </c>
      <c r="M131" s="8">
        <v>0.15819999999999998</v>
      </c>
      <c r="N131" s="8">
        <v>0.17508600000000002</v>
      </c>
      <c r="O131" s="8">
        <v>0.19749000000000003</v>
      </c>
      <c r="P131" s="8">
        <v>0.21930600000000003</v>
      </c>
      <c r="Q131" s="8">
        <v>0.24052199999999999</v>
      </c>
      <c r="R131" s="8">
        <v>0.25902400000000003</v>
      </c>
      <c r="S131" s="8">
        <v>0.28263499999999997</v>
      </c>
      <c r="T131" s="8">
        <v>0.28561900000000001</v>
      </c>
    </row>
    <row r="132" spans="1:20" x14ac:dyDescent="0.3">
      <c r="A132" s="8" t="s">
        <v>758</v>
      </c>
      <c r="B132" s="8" t="s">
        <v>740</v>
      </c>
      <c r="C132" s="8" t="s">
        <v>164</v>
      </c>
      <c r="D132" s="8" t="s">
        <v>759</v>
      </c>
      <c r="E132" s="8" t="s">
        <v>760</v>
      </c>
      <c r="F132" s="8">
        <v>2.5237479999999999</v>
      </c>
      <c r="G132" s="8">
        <v>2.973265</v>
      </c>
      <c r="H132" s="8">
        <v>3.4457820000000003</v>
      </c>
      <c r="I132" s="8">
        <v>3.9947789999999999</v>
      </c>
      <c r="J132" s="8">
        <v>4.6059109999999999</v>
      </c>
      <c r="K132" s="8">
        <v>5.2664</v>
      </c>
      <c r="L132" s="8">
        <v>6.0782860000000003</v>
      </c>
      <c r="M132" s="8">
        <v>7.078919</v>
      </c>
      <c r="N132" s="8">
        <v>8.2404159999999997</v>
      </c>
      <c r="O132" s="8">
        <v>9.6473790000000008</v>
      </c>
      <c r="P132" s="8">
        <v>11.422084999999999</v>
      </c>
      <c r="Q132" s="8">
        <v>13.60561</v>
      </c>
      <c r="R132" s="8">
        <v>16.335720999999999</v>
      </c>
      <c r="S132" s="8">
        <v>19.739585999999999</v>
      </c>
      <c r="T132" s="8">
        <v>23.881689999999999</v>
      </c>
    </row>
    <row r="133" spans="1:20" x14ac:dyDescent="0.3">
      <c r="A133" s="8" t="s">
        <v>758</v>
      </c>
      <c r="B133" s="8" t="s">
        <v>740</v>
      </c>
      <c r="C133" s="8" t="s">
        <v>166</v>
      </c>
      <c r="D133" s="8" t="s">
        <v>759</v>
      </c>
      <c r="E133" s="8" t="s">
        <v>760</v>
      </c>
      <c r="F133" s="8">
        <v>36.835614</v>
      </c>
      <c r="G133" s="8">
        <v>40.455152000000005</v>
      </c>
      <c r="H133" s="8">
        <v>44.475826000000005</v>
      </c>
      <c r="I133" s="8">
        <v>49.381059</v>
      </c>
      <c r="J133" s="8">
        <v>54.944571000000003</v>
      </c>
      <c r="K133" s="8">
        <v>61.971369000000003</v>
      </c>
      <c r="L133" s="8">
        <v>71.827861999999996</v>
      </c>
      <c r="M133" s="8">
        <v>82.472309999999993</v>
      </c>
      <c r="N133" s="8">
        <v>93.963392000000013</v>
      </c>
      <c r="O133" s="8">
        <v>106.819805</v>
      </c>
      <c r="P133" s="8">
        <v>121.235485</v>
      </c>
      <c r="Q133" s="8">
        <v>138.60326999999998</v>
      </c>
      <c r="R133" s="8">
        <v>158.733204</v>
      </c>
      <c r="S133" s="8">
        <v>181.70266100000001</v>
      </c>
      <c r="T133" s="8">
        <v>205.78060000000002</v>
      </c>
    </row>
    <row r="134" spans="1:20" x14ac:dyDescent="0.3">
      <c r="A134" s="8" t="s">
        <v>758</v>
      </c>
      <c r="B134" s="8" t="s">
        <v>740</v>
      </c>
      <c r="C134" s="8" t="s">
        <v>167</v>
      </c>
      <c r="D134" s="8" t="s">
        <v>759</v>
      </c>
      <c r="E134" s="8" t="s">
        <v>760</v>
      </c>
      <c r="F134" s="8">
        <v>1.310837</v>
      </c>
      <c r="G134" s="8">
        <v>1.5166740000000001</v>
      </c>
      <c r="H134" s="8">
        <v>1.7627220000000001</v>
      </c>
      <c r="I134" s="8">
        <v>2.05186</v>
      </c>
      <c r="J134" s="8">
        <v>2.4049989999999997</v>
      </c>
      <c r="K134" s="8">
        <v>2.8128640000000003</v>
      </c>
      <c r="L134" s="8">
        <v>3.2560439999999997</v>
      </c>
      <c r="M134" s="8">
        <v>3.7188510000000004</v>
      </c>
      <c r="N134" s="8">
        <v>4.1784179999999997</v>
      </c>
      <c r="O134" s="8">
        <v>4.6741299999999999</v>
      </c>
      <c r="P134" s="8">
        <v>5.0875219999999999</v>
      </c>
      <c r="Q134" s="8">
        <v>5.4177280000000003</v>
      </c>
      <c r="R134" s="8">
        <v>5.8127010000000006</v>
      </c>
      <c r="S134" s="8">
        <v>6.2534669999999997</v>
      </c>
      <c r="T134" s="8">
        <v>6.7097039999999986</v>
      </c>
    </row>
    <row r="135" spans="1:20" x14ac:dyDescent="0.3">
      <c r="A135" s="8" t="s">
        <v>758</v>
      </c>
      <c r="B135" s="8" t="s">
        <v>740</v>
      </c>
      <c r="C135" s="8" t="s">
        <v>169</v>
      </c>
      <c r="D135" s="8" t="s">
        <v>759</v>
      </c>
      <c r="E135" s="8" t="s">
        <v>760</v>
      </c>
      <c r="F135" s="8">
        <v>10.027047000000001</v>
      </c>
      <c r="G135" s="8">
        <v>10.699266</v>
      </c>
      <c r="H135" s="8">
        <v>11.418143000000001</v>
      </c>
      <c r="I135" s="8">
        <v>12.199101000000001</v>
      </c>
      <c r="J135" s="8">
        <v>12.960941999999999</v>
      </c>
      <c r="K135" s="8">
        <v>13.615283</v>
      </c>
      <c r="L135" s="8">
        <v>14.085317</v>
      </c>
      <c r="M135" s="8">
        <v>14.47845</v>
      </c>
      <c r="N135" s="8">
        <v>14.894311999999999</v>
      </c>
      <c r="O135" s="8">
        <v>15.399771000000001</v>
      </c>
      <c r="P135" s="8">
        <v>15.855928</v>
      </c>
      <c r="Q135" s="8">
        <v>16.230064000000002</v>
      </c>
      <c r="R135" s="8">
        <v>16.575583999999999</v>
      </c>
      <c r="S135" s="8">
        <v>16.999762</v>
      </c>
      <c r="T135" s="8">
        <v>17.402279</v>
      </c>
    </row>
    <row r="136" spans="1:20" x14ac:dyDescent="0.3">
      <c r="A136" s="8" t="s">
        <v>758</v>
      </c>
      <c r="B136" s="8" t="s">
        <v>740</v>
      </c>
      <c r="C136" s="8" t="s">
        <v>171</v>
      </c>
      <c r="D136" s="8" t="s">
        <v>759</v>
      </c>
      <c r="E136" s="8" t="s">
        <v>760</v>
      </c>
      <c r="F136" s="8">
        <v>3.2821419999999999</v>
      </c>
      <c r="G136" s="8">
        <v>3.4114390000000001</v>
      </c>
      <c r="H136" s="8">
        <v>3.5681069999999999</v>
      </c>
      <c r="I136" s="8">
        <v>3.7089569999999998</v>
      </c>
      <c r="J136" s="8">
        <v>3.8630400000000003</v>
      </c>
      <c r="K136" s="8">
        <v>3.9976669999999999</v>
      </c>
      <c r="L136" s="8">
        <v>4.079053</v>
      </c>
      <c r="M136" s="8">
        <v>4.1459799999999998</v>
      </c>
      <c r="N136" s="8">
        <v>4.2332900000000002</v>
      </c>
      <c r="O136" s="8">
        <v>4.348529000000001</v>
      </c>
      <c r="P136" s="8">
        <v>4.4787169999999996</v>
      </c>
      <c r="Q136" s="8">
        <v>4.6067460000000002</v>
      </c>
      <c r="R136" s="8">
        <v>4.8587009999999999</v>
      </c>
      <c r="S136" s="8">
        <v>5.1662809999999997</v>
      </c>
      <c r="T136" s="8">
        <v>5.3679480000000002</v>
      </c>
    </row>
    <row r="137" spans="1:20" x14ac:dyDescent="0.3">
      <c r="A137" s="8" t="s">
        <v>758</v>
      </c>
      <c r="B137" s="8" t="s">
        <v>740</v>
      </c>
      <c r="C137" s="8" t="s">
        <v>173</v>
      </c>
      <c r="D137" s="8" t="s">
        <v>759</v>
      </c>
      <c r="E137" s="8" t="s">
        <v>760</v>
      </c>
      <c r="F137" s="8">
        <v>8.3085679999999993</v>
      </c>
      <c r="G137" s="8">
        <v>9.1980390000000014</v>
      </c>
      <c r="H137" s="8">
        <v>10.071769</v>
      </c>
      <c r="I137" s="8">
        <v>11.115459999999999</v>
      </c>
      <c r="J137" s="8">
        <v>12.364129999999999</v>
      </c>
      <c r="K137" s="8">
        <v>13.773818</v>
      </c>
      <c r="L137" s="8">
        <v>15.416235</v>
      </c>
      <c r="M137" s="8">
        <v>17.341203</v>
      </c>
      <c r="N137" s="8">
        <v>19.367158</v>
      </c>
      <c r="O137" s="8">
        <v>22.063395</v>
      </c>
      <c r="P137" s="8">
        <v>24.358301000000001</v>
      </c>
      <c r="Q137" s="8">
        <v>26.155027</v>
      </c>
      <c r="R137" s="8">
        <v>27.095355000000001</v>
      </c>
      <c r="S137" s="8">
        <v>27.517470000000003</v>
      </c>
      <c r="T137" s="8">
        <v>28.999223000000001</v>
      </c>
    </row>
    <row r="138" spans="1:20" x14ac:dyDescent="0.3">
      <c r="A138" s="8" t="s">
        <v>758</v>
      </c>
      <c r="B138" s="8" t="s">
        <v>740</v>
      </c>
      <c r="C138" s="8" t="s">
        <v>175</v>
      </c>
      <c r="D138" s="8" t="s">
        <v>759</v>
      </c>
      <c r="E138" s="8" t="s">
        <v>760</v>
      </c>
      <c r="F138" s="8">
        <v>1.8926880000000001</v>
      </c>
      <c r="G138" s="8">
        <v>2.1189110000000002</v>
      </c>
      <c r="H138" s="8">
        <v>2.3578870000000003</v>
      </c>
      <c r="I138" s="8">
        <v>2.6151230000000001</v>
      </c>
      <c r="J138" s="8">
        <v>2.803058</v>
      </c>
      <c r="K138" s="8">
        <v>3.0733960000000002</v>
      </c>
      <c r="L138" s="8">
        <v>3.1426640000000003</v>
      </c>
      <c r="M138" s="8">
        <v>3.262893</v>
      </c>
      <c r="N138" s="8">
        <v>3.3448829999999998</v>
      </c>
      <c r="O138" s="8">
        <v>3.646118</v>
      </c>
      <c r="P138" s="8">
        <v>3.8433560000000004</v>
      </c>
      <c r="Q138" s="8">
        <v>4.1081210000000006</v>
      </c>
      <c r="R138" s="8">
        <v>4.3257690000000002</v>
      </c>
      <c r="S138" s="8">
        <v>4.552041</v>
      </c>
      <c r="T138" s="8">
        <v>5.0264850000000001</v>
      </c>
    </row>
    <row r="139" spans="1:20" x14ac:dyDescent="0.3">
      <c r="A139" s="8" t="s">
        <v>758</v>
      </c>
      <c r="B139" s="8" t="s">
        <v>740</v>
      </c>
      <c r="C139" s="8" t="s">
        <v>177</v>
      </c>
      <c r="D139" s="8" t="s">
        <v>759</v>
      </c>
      <c r="E139" s="8" t="s">
        <v>760</v>
      </c>
      <c r="F139" s="8">
        <v>0.45418200000000003</v>
      </c>
      <c r="G139" s="8">
        <v>0.48848700000000006</v>
      </c>
      <c r="H139" s="8">
        <v>0.53181</v>
      </c>
      <c r="I139" s="8">
        <v>0.58713199999999999</v>
      </c>
      <c r="J139" s="8">
        <v>0.66191999999999995</v>
      </c>
      <c r="K139" s="8">
        <v>0.77010599999999996</v>
      </c>
      <c r="L139" s="8">
        <v>0.98957100000000009</v>
      </c>
      <c r="M139" s="8">
        <v>1.308068</v>
      </c>
      <c r="N139" s="8">
        <v>1.7591289999999999</v>
      </c>
      <c r="O139" s="8">
        <v>2.1536140000000001</v>
      </c>
      <c r="P139" s="8">
        <v>2.3287370000000003</v>
      </c>
      <c r="Q139" s="8">
        <v>2.4922900000000001</v>
      </c>
      <c r="R139" s="8">
        <v>2.7212130000000001</v>
      </c>
      <c r="S139" s="8">
        <v>4.0852079999999997</v>
      </c>
      <c r="T139" s="8">
        <v>4.5891350000000006</v>
      </c>
    </row>
    <row r="140" spans="1:20" x14ac:dyDescent="0.3">
      <c r="A140" s="8" t="s">
        <v>758</v>
      </c>
      <c r="B140" s="8" t="s">
        <v>740</v>
      </c>
      <c r="C140" s="8" t="s">
        <v>179</v>
      </c>
      <c r="D140" s="8" t="s">
        <v>759</v>
      </c>
      <c r="E140" s="8" t="s">
        <v>760</v>
      </c>
      <c r="F140" s="8">
        <v>37.459000000000003</v>
      </c>
      <c r="G140" s="8">
        <v>40.607236</v>
      </c>
      <c r="H140" s="8">
        <v>45.383345999999996</v>
      </c>
      <c r="I140" s="8">
        <v>51.182042000000003</v>
      </c>
      <c r="J140" s="8">
        <v>58.466090999999999</v>
      </c>
      <c r="K140" s="8">
        <v>67.104312000000007</v>
      </c>
      <c r="L140" s="8">
        <v>78.826071999999996</v>
      </c>
      <c r="M140" s="8">
        <v>95.385024000000001</v>
      </c>
      <c r="N140" s="8">
        <v>113.528316</v>
      </c>
      <c r="O140" s="8">
        <v>131.04009099999999</v>
      </c>
      <c r="P140" s="8">
        <v>151.82248999999999</v>
      </c>
      <c r="Q140" s="8">
        <v>172.55139700000001</v>
      </c>
      <c r="R140" s="8">
        <v>192.28440499999999</v>
      </c>
      <c r="S140" s="8">
        <v>209.65896700000002</v>
      </c>
      <c r="T140" s="8">
        <v>225.11285900000001</v>
      </c>
    </row>
    <row r="141" spans="1:20" x14ac:dyDescent="0.3">
      <c r="A141" s="8" t="s">
        <v>758</v>
      </c>
      <c r="B141" s="8" t="s">
        <v>740</v>
      </c>
      <c r="C141" s="8" t="s">
        <v>181</v>
      </c>
      <c r="D141" s="8" t="s">
        <v>759</v>
      </c>
      <c r="E141" s="8" t="s">
        <v>760</v>
      </c>
      <c r="F141" s="8">
        <v>0.85060000000000002</v>
      </c>
      <c r="G141" s="8">
        <v>0.96689499999999995</v>
      </c>
      <c r="H141" s="8">
        <v>1.1104749999999999</v>
      </c>
      <c r="I141" s="8">
        <v>1.2908060000000001</v>
      </c>
      <c r="J141" s="8">
        <v>1.4949459999999999</v>
      </c>
      <c r="K141" s="8">
        <v>1.712771</v>
      </c>
      <c r="L141" s="8">
        <v>1.9342000000000001</v>
      </c>
      <c r="M141" s="8">
        <v>2.172237</v>
      </c>
      <c r="N141" s="8">
        <v>2.4238620000000002</v>
      </c>
      <c r="O141" s="8">
        <v>2.68852</v>
      </c>
      <c r="P141" s="8">
        <v>2.9722730000000004</v>
      </c>
      <c r="Q141" s="8">
        <v>3.2745290000000002</v>
      </c>
      <c r="R141" s="8">
        <v>3.5914200000000003</v>
      </c>
      <c r="S141" s="8">
        <v>3.9226640000000002</v>
      </c>
      <c r="T141" s="8">
        <v>4.2655420000000008</v>
      </c>
    </row>
    <row r="142" spans="1:20" x14ac:dyDescent="0.3">
      <c r="A142" s="8" t="s">
        <v>758</v>
      </c>
      <c r="B142" s="8" t="s">
        <v>740</v>
      </c>
      <c r="C142" s="8" t="s">
        <v>183</v>
      </c>
      <c r="D142" s="8" t="s">
        <v>759</v>
      </c>
      <c r="E142" s="8" t="s">
        <v>760</v>
      </c>
      <c r="F142" s="8">
        <v>7.571186</v>
      </c>
      <c r="G142" s="8">
        <v>8.7025710000000007</v>
      </c>
      <c r="H142" s="8">
        <v>10.022346000000001</v>
      </c>
      <c r="I142" s="8">
        <v>11.609335</v>
      </c>
      <c r="J142" s="8">
        <v>13.402077999999999</v>
      </c>
      <c r="K142" s="8">
        <v>15.248381999999999</v>
      </c>
      <c r="L142" s="8">
        <v>17.271626000000001</v>
      </c>
      <c r="M142" s="8">
        <v>19.514721000000002</v>
      </c>
      <c r="N142" s="8">
        <v>21.865371</v>
      </c>
      <c r="O142" s="8">
        <v>24.22006</v>
      </c>
      <c r="P142" s="8">
        <v>26.462243000000001</v>
      </c>
      <c r="Q142" s="8">
        <v>28.026964</v>
      </c>
      <c r="R142" s="8">
        <v>29.112470000000002</v>
      </c>
      <c r="S142" s="8">
        <v>30.520693999999999</v>
      </c>
      <c r="T142" s="8">
        <v>33.090275000000005</v>
      </c>
    </row>
    <row r="143" spans="1:20" x14ac:dyDescent="0.3">
      <c r="A143" s="8" t="s">
        <v>758</v>
      </c>
      <c r="B143" s="8" t="s">
        <v>740</v>
      </c>
      <c r="C143" s="8" t="s">
        <v>185</v>
      </c>
      <c r="D143" s="8" t="s">
        <v>759</v>
      </c>
      <c r="E143" s="8" t="s">
        <v>760</v>
      </c>
      <c r="F143" s="8">
        <v>18.062056000000002</v>
      </c>
      <c r="G143" s="8">
        <v>22.514403999999999</v>
      </c>
      <c r="H143" s="8">
        <v>28.049970000000002</v>
      </c>
      <c r="I143" s="8">
        <v>32.356729999999999</v>
      </c>
      <c r="J143" s="8">
        <v>36.942957</v>
      </c>
      <c r="K143" s="8">
        <v>41.873860999999998</v>
      </c>
      <c r="L143" s="8">
        <v>47.786287999999999</v>
      </c>
      <c r="M143" s="8">
        <v>54.161737000000002</v>
      </c>
      <c r="N143" s="8">
        <v>60.817097000000004</v>
      </c>
      <c r="O143" s="8">
        <v>68.442172999999997</v>
      </c>
      <c r="P143" s="8">
        <v>77.120792000000009</v>
      </c>
      <c r="Q143" s="8">
        <v>85.443956999999997</v>
      </c>
      <c r="R143" s="8">
        <v>93.786878000000002</v>
      </c>
      <c r="S143" s="8">
        <v>102.125514</v>
      </c>
      <c r="T143" s="8">
        <v>111.28762399999999</v>
      </c>
    </row>
    <row r="144" spans="1:20" x14ac:dyDescent="0.3">
      <c r="A144" s="8" t="s">
        <v>758</v>
      </c>
      <c r="B144" s="8" t="s">
        <v>740</v>
      </c>
      <c r="C144" s="8" t="s">
        <v>594</v>
      </c>
      <c r="D144" s="8" t="s">
        <v>759</v>
      </c>
      <c r="E144" s="8" t="s">
        <v>760</v>
      </c>
      <c r="F144" s="8">
        <v>1.526961</v>
      </c>
      <c r="G144" s="8">
        <v>1.71191</v>
      </c>
      <c r="H144" s="8">
        <v>1.9590380000000001</v>
      </c>
      <c r="I144" s="8">
        <v>2.1984490000000001</v>
      </c>
      <c r="J144" s="8">
        <v>2.4593539999999998</v>
      </c>
      <c r="K144" s="8">
        <v>2.7638730000000002</v>
      </c>
      <c r="L144" s="8">
        <v>3.0731120000000001</v>
      </c>
      <c r="M144" s="8">
        <v>3.4104190000000001</v>
      </c>
      <c r="N144" s="8">
        <v>3.808516</v>
      </c>
      <c r="O144" s="8">
        <v>4.5329350000000002</v>
      </c>
      <c r="P144" s="8">
        <v>5.4141490000000001</v>
      </c>
      <c r="Q144" s="8">
        <v>6.3950320000000005</v>
      </c>
      <c r="R144" s="8">
        <v>7.4701060000000004</v>
      </c>
      <c r="S144" s="8">
        <v>8.5732999999999997</v>
      </c>
      <c r="T144" s="8">
        <v>9.6488160000000001</v>
      </c>
    </row>
    <row r="145" spans="1:20" x14ac:dyDescent="0.3">
      <c r="A145" s="8" t="s">
        <v>758</v>
      </c>
      <c r="B145" s="8" t="s">
        <v>740</v>
      </c>
      <c r="C145" s="8" t="s">
        <v>187</v>
      </c>
      <c r="D145" s="8" t="s">
        <v>759</v>
      </c>
      <c r="E145" s="8" t="s">
        <v>760</v>
      </c>
      <c r="F145" s="8">
        <v>24.563596</v>
      </c>
      <c r="G145" s="8">
        <v>26.857794999999999</v>
      </c>
      <c r="H145" s="8">
        <v>29.296983000000001</v>
      </c>
      <c r="I145" s="8">
        <v>31.079307</v>
      </c>
      <c r="J145" s="8">
        <v>32.381491000000004</v>
      </c>
      <c r="K145" s="8">
        <v>33.739052999999998</v>
      </c>
      <c r="L145" s="8">
        <v>35.359553999999996</v>
      </c>
      <c r="M145" s="8">
        <v>37.039241000000004</v>
      </c>
      <c r="N145" s="8">
        <v>38.008178999999998</v>
      </c>
      <c r="O145" s="8">
        <v>38.402445</v>
      </c>
      <c r="P145" s="8">
        <v>38.340883999999996</v>
      </c>
      <c r="Q145" s="8">
        <v>38.586229000000003</v>
      </c>
      <c r="R145" s="8">
        <v>38.579785000000001</v>
      </c>
      <c r="S145" s="8">
        <v>38.574014000000005</v>
      </c>
      <c r="T145" s="8">
        <v>38.477961000000001</v>
      </c>
    </row>
    <row r="146" spans="1:20" x14ac:dyDescent="0.3">
      <c r="A146" s="8" t="s">
        <v>758</v>
      </c>
      <c r="B146" s="8" t="s">
        <v>740</v>
      </c>
      <c r="C146" s="8" t="s">
        <v>728</v>
      </c>
      <c r="D146" s="8" t="s">
        <v>759</v>
      </c>
      <c r="E146" s="8" t="s">
        <v>760</v>
      </c>
      <c r="F146" s="8">
        <v>2.2193960000000001</v>
      </c>
      <c r="G146" s="8">
        <v>2.3040959999999999</v>
      </c>
      <c r="H146" s="8">
        <v>2.347353</v>
      </c>
      <c r="I146" s="8">
        <v>2.5454940000000001</v>
      </c>
      <c r="J146" s="8">
        <v>2.7166840000000003</v>
      </c>
      <c r="K146" s="8">
        <v>2.9482370000000002</v>
      </c>
      <c r="L146" s="8">
        <v>3.1912030000000002</v>
      </c>
      <c r="M146" s="8">
        <v>3.3913159999999998</v>
      </c>
      <c r="N146" s="8">
        <v>3.5266690000000001</v>
      </c>
      <c r="O146" s="8">
        <v>3.6907040000000002</v>
      </c>
      <c r="P146" s="8">
        <v>3.8223539999999998</v>
      </c>
      <c r="Q146" s="8">
        <v>3.8119650000000003</v>
      </c>
      <c r="R146" s="8">
        <v>3.729555</v>
      </c>
      <c r="S146" s="8">
        <v>3.5290219999999999</v>
      </c>
      <c r="T146" s="8">
        <v>3.2802189999999989</v>
      </c>
    </row>
    <row r="147" spans="1:20" x14ac:dyDescent="0.3">
      <c r="A147" s="8" t="s">
        <v>758</v>
      </c>
      <c r="B147" s="8" t="s">
        <v>740</v>
      </c>
      <c r="C147" s="8" t="s">
        <v>751</v>
      </c>
      <c r="D147" s="8" t="s">
        <v>759</v>
      </c>
      <c r="E147" s="8" t="s">
        <v>760</v>
      </c>
      <c r="F147" s="8">
        <v>11.394743</v>
      </c>
      <c r="G147" s="8">
        <v>10.269489999999999</v>
      </c>
      <c r="H147" s="8">
        <v>11.519933000000002</v>
      </c>
      <c r="I147" s="8">
        <v>12.943955000000001</v>
      </c>
      <c r="J147" s="8">
        <v>14.801011000000001</v>
      </c>
      <c r="K147" s="8">
        <v>16.583981999999999</v>
      </c>
      <c r="L147" s="8">
        <v>17.845115000000003</v>
      </c>
      <c r="M147" s="8">
        <v>19.183536</v>
      </c>
      <c r="N147" s="8">
        <v>20.644151999999998</v>
      </c>
      <c r="O147" s="8">
        <v>22.268225999999999</v>
      </c>
      <c r="P147" s="8">
        <v>23.290620999999998</v>
      </c>
      <c r="Q147" s="8">
        <v>24.029722000000003</v>
      </c>
      <c r="R147" s="8">
        <v>24.638656000000001</v>
      </c>
      <c r="S147" s="8">
        <v>25.190799999999999</v>
      </c>
      <c r="T147" s="8">
        <v>25.813238000000002</v>
      </c>
    </row>
    <row r="148" spans="1:20" x14ac:dyDescent="0.3">
      <c r="A148" s="8" t="s">
        <v>758</v>
      </c>
      <c r="B148" s="8" t="s">
        <v>740</v>
      </c>
      <c r="C148" s="8" t="s">
        <v>189</v>
      </c>
      <c r="D148" s="8" t="s">
        <v>759</v>
      </c>
      <c r="E148" s="8" t="s">
        <v>760</v>
      </c>
      <c r="F148" s="8">
        <v>8.3863570000000003</v>
      </c>
      <c r="G148" s="8">
        <v>8.6411830000000016</v>
      </c>
      <c r="H148" s="8">
        <v>8.8726839999999996</v>
      </c>
      <c r="I148" s="8">
        <v>8.9050080000000005</v>
      </c>
      <c r="J148" s="8">
        <v>8.7360100000000003</v>
      </c>
      <c r="K148" s="8">
        <v>9.1400349999999992</v>
      </c>
      <c r="L148" s="8">
        <v>9.7388209999999997</v>
      </c>
      <c r="M148" s="8">
        <v>9.989021000000001</v>
      </c>
      <c r="N148" s="8">
        <v>10.017127</v>
      </c>
      <c r="O148" s="8">
        <v>10.034224</v>
      </c>
      <c r="P148" s="8">
        <v>10.261987999999999</v>
      </c>
      <c r="Q148" s="8">
        <v>10.513809</v>
      </c>
      <c r="R148" s="8">
        <v>10.596794000000001</v>
      </c>
      <c r="S148" s="8">
        <v>10.382201999999999</v>
      </c>
      <c r="T148" s="8">
        <v>10.298401</v>
      </c>
    </row>
    <row r="149" spans="1:20" x14ac:dyDescent="0.3">
      <c r="A149" s="8" t="s">
        <v>758</v>
      </c>
      <c r="B149" s="8" t="s">
        <v>740</v>
      </c>
      <c r="C149" s="8" t="s">
        <v>191</v>
      </c>
      <c r="D149" s="8" t="s">
        <v>759</v>
      </c>
      <c r="E149" s="8" t="s">
        <v>760</v>
      </c>
      <c r="F149" s="8">
        <v>1.487827</v>
      </c>
      <c r="G149" s="8">
        <v>1.6664269999999999</v>
      </c>
      <c r="H149" s="8">
        <v>1.8720830000000002</v>
      </c>
      <c r="I149" s="8">
        <v>2.1168080000000002</v>
      </c>
      <c r="J149" s="8">
        <v>2.3818239999999999</v>
      </c>
      <c r="K149" s="8">
        <v>2.681057</v>
      </c>
      <c r="L149" s="8">
        <v>3.037973</v>
      </c>
      <c r="M149" s="8">
        <v>3.4858420000000003</v>
      </c>
      <c r="N149" s="8">
        <v>4.0049029999999997</v>
      </c>
      <c r="O149" s="8">
        <v>4.5497969999999999</v>
      </c>
      <c r="P149" s="8">
        <v>5.0764670000000001</v>
      </c>
      <c r="Q149" s="8">
        <v>5.4472529999999999</v>
      </c>
      <c r="R149" s="8">
        <v>5.7322950000000006</v>
      </c>
      <c r="S149" s="8">
        <v>6.1338350000000004</v>
      </c>
      <c r="T149" s="8">
        <v>6.5730360000000001</v>
      </c>
    </row>
    <row r="150" spans="1:20" x14ac:dyDescent="0.3">
      <c r="A150" s="8" t="s">
        <v>758</v>
      </c>
      <c r="B150" s="8" t="s">
        <v>740</v>
      </c>
      <c r="C150" s="8" t="s">
        <v>762</v>
      </c>
      <c r="D150" s="8" t="s">
        <v>759</v>
      </c>
      <c r="E150" s="8" t="s">
        <v>760</v>
      </c>
      <c r="F150" s="8">
        <v>0.94073099999999998</v>
      </c>
      <c r="G150" s="8">
        <v>0.99067800000000006</v>
      </c>
      <c r="H150" s="8">
        <v>1.0650440000000001</v>
      </c>
      <c r="I150" s="8">
        <v>1.14622</v>
      </c>
      <c r="J150" s="8">
        <v>1.113005</v>
      </c>
      <c r="K150" s="8">
        <v>1.2448140000000001</v>
      </c>
      <c r="L150" s="8">
        <v>1.4324239999999999</v>
      </c>
      <c r="M150" s="8">
        <v>1.7120760000000002</v>
      </c>
      <c r="N150" s="8">
        <v>2.0813410000000001</v>
      </c>
      <c r="O150" s="8">
        <v>2.568368</v>
      </c>
      <c r="P150" s="8">
        <v>3.0914830000000002</v>
      </c>
      <c r="Q150" s="8">
        <v>3.4991100000000004</v>
      </c>
      <c r="R150" s="8">
        <v>3.944855</v>
      </c>
      <c r="S150" s="8">
        <v>4.4298950000000001</v>
      </c>
      <c r="T150" s="8">
        <v>4.9619840000000002</v>
      </c>
    </row>
    <row r="151" spans="1:20" x14ac:dyDescent="0.3">
      <c r="A151" s="8" t="s">
        <v>758</v>
      </c>
      <c r="B151" s="8" t="s">
        <v>740</v>
      </c>
      <c r="C151" s="8" t="s">
        <v>611</v>
      </c>
      <c r="D151" s="8" t="s">
        <v>759</v>
      </c>
      <c r="E151" s="8" t="s">
        <v>760</v>
      </c>
      <c r="F151" s="8">
        <v>6.3591999999999996E-2</v>
      </c>
      <c r="G151" s="8">
        <v>7.3322999999999999E-2</v>
      </c>
      <c r="H151" s="8">
        <v>8.3833000000000005E-2</v>
      </c>
      <c r="I151" s="8">
        <v>9.6901000000000001E-2</v>
      </c>
      <c r="J151" s="8">
        <v>0.11581900000000001</v>
      </c>
      <c r="K151" s="8">
        <v>0.13759299999999999</v>
      </c>
      <c r="L151" s="8">
        <v>0.16101099999999999</v>
      </c>
      <c r="M151" s="8">
        <v>0.185282</v>
      </c>
      <c r="N151" s="8">
        <v>0.20885599999999999</v>
      </c>
      <c r="O151" s="8">
        <v>0.22961300000000001</v>
      </c>
      <c r="P151" s="8">
        <v>0.24885100000000002</v>
      </c>
      <c r="Q151" s="8">
        <v>0.26909899999999998</v>
      </c>
      <c r="R151" s="8">
        <v>0.28302100000000002</v>
      </c>
      <c r="S151" s="8">
        <v>0.29087400000000002</v>
      </c>
      <c r="T151" s="8">
        <v>1.0096240000000001</v>
      </c>
    </row>
    <row r="152" spans="1:20" x14ac:dyDescent="0.3">
      <c r="A152" s="8" t="s">
        <v>758</v>
      </c>
      <c r="B152" s="8" t="s">
        <v>740</v>
      </c>
      <c r="C152" s="8" t="s">
        <v>193</v>
      </c>
      <c r="D152" s="8" t="s">
        <v>759</v>
      </c>
      <c r="E152" s="8" t="s">
        <v>760</v>
      </c>
      <c r="F152" s="8">
        <v>2.3899999999999998E-2</v>
      </c>
      <c r="G152" s="8">
        <v>2.8173E-2</v>
      </c>
      <c r="H152" s="8">
        <v>3.4951999999999997E-2</v>
      </c>
      <c r="I152" s="8">
        <v>6.1002000000000001E-2</v>
      </c>
      <c r="J152" s="8">
        <v>0.110503</v>
      </c>
      <c r="K152" s="8">
        <v>0.18712500000000001</v>
      </c>
      <c r="L152" s="8">
        <v>0.26882200000000001</v>
      </c>
      <c r="M152" s="8">
        <v>0.35709500000000005</v>
      </c>
      <c r="N152" s="8">
        <v>0.43427399999999999</v>
      </c>
      <c r="O152" s="8">
        <v>0.50797300000000001</v>
      </c>
      <c r="P152" s="8">
        <v>0.629552</v>
      </c>
      <c r="Q152" s="8">
        <v>0.78986699999999999</v>
      </c>
      <c r="R152" s="8">
        <v>1.673214</v>
      </c>
      <c r="S152" s="8">
        <v>2.3146979999999999</v>
      </c>
      <c r="T152" s="8">
        <v>2.8286289999999998</v>
      </c>
    </row>
    <row r="153" spans="1:20" x14ac:dyDescent="0.3">
      <c r="A153" s="8" t="s">
        <v>758</v>
      </c>
      <c r="B153" s="8" t="s">
        <v>740</v>
      </c>
      <c r="C153" s="8" t="s">
        <v>763</v>
      </c>
      <c r="D153" s="8" t="s">
        <v>759</v>
      </c>
      <c r="E153" s="8" t="s">
        <v>760</v>
      </c>
      <c r="F153" s="8">
        <v>0.24452600000000002</v>
      </c>
      <c r="G153" s="8">
        <v>0.29532999999999998</v>
      </c>
      <c r="H153" s="8">
        <v>0.35900200000000004</v>
      </c>
      <c r="I153" s="8">
        <v>0.42286800000000002</v>
      </c>
      <c r="J153" s="8">
        <v>0.46921400000000002</v>
      </c>
      <c r="K153" s="8">
        <v>0.51183299999999998</v>
      </c>
      <c r="L153" s="8">
        <v>0.54799100000000001</v>
      </c>
      <c r="M153" s="8">
        <v>0.59345500000000007</v>
      </c>
      <c r="N153" s="8">
        <v>0.65233000000000008</v>
      </c>
      <c r="O153" s="8">
        <v>0.7196570000000001</v>
      </c>
      <c r="P153" s="8">
        <v>0.78027599999999997</v>
      </c>
      <c r="Q153" s="8">
        <v>0.82911900000000005</v>
      </c>
      <c r="R153" s="8">
        <v>0.88692100000000007</v>
      </c>
      <c r="S153" s="8">
        <v>0.92015999999999998</v>
      </c>
      <c r="T153" s="8">
        <v>0.95352000000000003</v>
      </c>
    </row>
    <row r="154" spans="1:20" x14ac:dyDescent="0.3">
      <c r="A154" s="8" t="s">
        <v>758</v>
      </c>
      <c r="B154" s="8" t="s">
        <v>740</v>
      </c>
      <c r="C154" s="8" t="s">
        <v>194</v>
      </c>
      <c r="D154" s="8" t="s">
        <v>759</v>
      </c>
      <c r="E154" s="8" t="s">
        <v>760</v>
      </c>
      <c r="F154" s="8">
        <v>16.281956000000001</v>
      </c>
      <c r="G154" s="8">
        <v>17.355432</v>
      </c>
      <c r="H154" s="8">
        <v>18.374092000000001</v>
      </c>
      <c r="I154" s="8">
        <v>19.066579000000001</v>
      </c>
      <c r="J154" s="8">
        <v>19.814519000000001</v>
      </c>
      <c r="K154" s="8">
        <v>21.027383999999998</v>
      </c>
      <c r="L154" s="8">
        <v>22.064212000000001</v>
      </c>
      <c r="M154" s="8">
        <v>22.495973000000003</v>
      </c>
      <c r="N154" s="8">
        <v>22.825617999999999</v>
      </c>
      <c r="O154" s="8">
        <v>22.586051000000001</v>
      </c>
      <c r="P154" s="8">
        <v>21.979080999999997</v>
      </c>
      <c r="Q154" s="8">
        <v>21.188487000000002</v>
      </c>
      <c r="R154" s="8">
        <v>20.403317000000001</v>
      </c>
      <c r="S154" s="8">
        <v>19.959350000000001</v>
      </c>
      <c r="T154" s="8">
        <v>19.489725</v>
      </c>
    </row>
    <row r="155" spans="1:20" x14ac:dyDescent="0.3">
      <c r="A155" s="8" t="s">
        <v>758</v>
      </c>
      <c r="B155" s="8" t="s">
        <v>740</v>
      </c>
      <c r="C155" s="8" t="s">
        <v>196</v>
      </c>
      <c r="D155" s="8" t="s">
        <v>759</v>
      </c>
      <c r="E155" s="8" t="s">
        <v>760</v>
      </c>
      <c r="F155" s="8">
        <v>101.80062100000001</v>
      </c>
      <c r="G155" s="8">
        <v>110.092202</v>
      </c>
      <c r="H155" s="8">
        <v>118.87321300000001</v>
      </c>
      <c r="I155" s="8">
        <v>125.94125</v>
      </c>
      <c r="J155" s="8">
        <v>129.82968300000002</v>
      </c>
      <c r="K155" s="8">
        <v>133.387505</v>
      </c>
      <c r="L155" s="8">
        <v>137.89374100000001</v>
      </c>
      <c r="M155" s="8">
        <v>142.388206</v>
      </c>
      <c r="N155" s="8">
        <v>147.68991299999999</v>
      </c>
      <c r="O155" s="8">
        <v>148.72557800000001</v>
      </c>
      <c r="P155" s="8">
        <v>147.12976500000002</v>
      </c>
      <c r="Q155" s="8">
        <v>144.082953</v>
      </c>
      <c r="R155" s="8">
        <v>143.22938200000002</v>
      </c>
      <c r="S155" s="8">
        <v>144.44186300000001</v>
      </c>
      <c r="T155" s="8">
        <v>145.761661</v>
      </c>
    </row>
    <row r="156" spans="1:20" x14ac:dyDescent="0.3">
      <c r="A156" s="8" t="s">
        <v>758</v>
      </c>
      <c r="B156" s="8" t="s">
        <v>740</v>
      </c>
      <c r="C156" s="8" t="s">
        <v>616</v>
      </c>
      <c r="D156" s="8" t="s">
        <v>759</v>
      </c>
      <c r="E156" s="8" t="s">
        <v>760</v>
      </c>
      <c r="F156" s="8">
        <v>2.117998</v>
      </c>
      <c r="G156" s="8">
        <v>2.4970650000000001</v>
      </c>
      <c r="H156" s="8">
        <v>2.9245050000000004</v>
      </c>
      <c r="I156" s="8">
        <v>3.3034160000000004</v>
      </c>
      <c r="J156" s="8">
        <v>3.836465</v>
      </c>
      <c r="K156" s="8">
        <v>4.4503909999999998</v>
      </c>
      <c r="L156" s="8">
        <v>5.1560540000000001</v>
      </c>
      <c r="M156" s="8">
        <v>6.1555410000000004</v>
      </c>
      <c r="N156" s="8">
        <v>7.2300119999999994</v>
      </c>
      <c r="O156" s="8">
        <v>5.4088159999999998</v>
      </c>
      <c r="P156" s="8">
        <v>8.0573060000000005</v>
      </c>
      <c r="Q156" s="8">
        <v>8.9071230000000003</v>
      </c>
      <c r="R156" s="8">
        <v>10.175163000000001</v>
      </c>
      <c r="S156" s="8">
        <v>11.503907</v>
      </c>
      <c r="T156" s="8">
        <v>12.987328999999999</v>
      </c>
    </row>
    <row r="157" spans="1:20" x14ac:dyDescent="0.3">
      <c r="A157" s="8" t="s">
        <v>758</v>
      </c>
      <c r="B157" s="8" t="s">
        <v>740</v>
      </c>
      <c r="C157" s="8" t="s">
        <v>198</v>
      </c>
      <c r="D157" s="8" t="s">
        <v>759</v>
      </c>
      <c r="E157" s="8" t="s">
        <v>760</v>
      </c>
      <c r="F157" s="8">
        <v>3.0431500000000002</v>
      </c>
      <c r="G157" s="8">
        <v>3.5287910000000005</v>
      </c>
      <c r="H157" s="8">
        <v>4.0985680000000002</v>
      </c>
      <c r="I157" s="8">
        <v>4.8844440000000002</v>
      </c>
      <c r="J157" s="8">
        <v>5.9695010000000002</v>
      </c>
      <c r="K157" s="8">
        <v>7.6875780000000002</v>
      </c>
      <c r="L157" s="8">
        <v>9.9217130000000004</v>
      </c>
      <c r="M157" s="8">
        <v>12.596275</v>
      </c>
      <c r="N157" s="8">
        <v>15.676137000000001</v>
      </c>
      <c r="O157" s="8">
        <v>18.629668000000002</v>
      </c>
      <c r="P157" s="8">
        <v>21.278401000000002</v>
      </c>
      <c r="Q157" s="8">
        <v>23.913270000000001</v>
      </c>
      <c r="R157" s="8">
        <v>29.009302000000002</v>
      </c>
      <c r="S157" s="8">
        <v>32.441885999999997</v>
      </c>
      <c r="T157" s="8">
        <v>36.229968999999997</v>
      </c>
    </row>
    <row r="158" spans="1:20" x14ac:dyDescent="0.3">
      <c r="A158" s="8" t="s">
        <v>758</v>
      </c>
      <c r="B158" s="8" t="s">
        <v>740</v>
      </c>
      <c r="C158" s="8" t="s">
        <v>200</v>
      </c>
      <c r="D158" s="8" t="s">
        <v>759</v>
      </c>
      <c r="E158" s="8" t="s">
        <v>760</v>
      </c>
      <c r="F158" s="8">
        <v>6.0986540000000007</v>
      </c>
      <c r="G158" s="8">
        <v>7.0841670000000008</v>
      </c>
      <c r="H158" s="8">
        <v>8.2035970000000002</v>
      </c>
      <c r="I158" s="8">
        <v>9.5602479999999996</v>
      </c>
      <c r="J158" s="8">
        <v>11.131803</v>
      </c>
      <c r="K158" s="8">
        <v>13.218029000000001</v>
      </c>
      <c r="L158" s="8">
        <v>16.313936999999999</v>
      </c>
      <c r="M158" s="8">
        <v>19.345510999999998</v>
      </c>
      <c r="N158" s="8">
        <v>20.904819</v>
      </c>
      <c r="O158" s="8">
        <v>23.01041</v>
      </c>
      <c r="P158" s="8">
        <v>25.965057000000002</v>
      </c>
      <c r="Q158" s="8">
        <v>29.163762999999999</v>
      </c>
      <c r="R158" s="8">
        <v>33.399608999999998</v>
      </c>
      <c r="S158" s="8">
        <v>37.585673999999997</v>
      </c>
      <c r="T158" s="8">
        <v>43.828060000000001</v>
      </c>
    </row>
    <row r="159" spans="1:20" x14ac:dyDescent="0.3">
      <c r="A159" s="8" t="s">
        <v>758</v>
      </c>
      <c r="B159" s="8" t="s">
        <v>740</v>
      </c>
      <c r="C159" s="8" t="s">
        <v>201</v>
      </c>
      <c r="D159" s="8" t="s">
        <v>759</v>
      </c>
      <c r="E159" s="8" t="s">
        <v>760</v>
      </c>
      <c r="F159" s="8">
        <v>2.464083</v>
      </c>
      <c r="G159" s="8">
        <v>2.8084259999999999</v>
      </c>
      <c r="H159" s="8">
        <v>3.226909</v>
      </c>
      <c r="I159" s="8">
        <v>3.7165909999999998</v>
      </c>
      <c r="J159" s="8">
        <v>4.3033029999999997</v>
      </c>
      <c r="K159" s="8">
        <v>4.9806210000000002</v>
      </c>
      <c r="L159" s="8">
        <v>5.6319219999999994</v>
      </c>
      <c r="M159" s="8">
        <v>6.4283970000000004</v>
      </c>
      <c r="N159" s="8">
        <v>7.4273090000000002</v>
      </c>
      <c r="O159" s="8">
        <v>8.5260319999999989</v>
      </c>
      <c r="P159" s="8">
        <v>9.5896350000000012</v>
      </c>
      <c r="Q159" s="8">
        <v>10.833157</v>
      </c>
      <c r="R159" s="8">
        <v>12.360120999999999</v>
      </c>
      <c r="S159" s="8">
        <v>14.161512</v>
      </c>
      <c r="T159" s="8">
        <v>16.215468000000001</v>
      </c>
    </row>
    <row r="160" spans="1:20" x14ac:dyDescent="0.3">
      <c r="A160" s="8" t="s">
        <v>758</v>
      </c>
      <c r="B160" s="8" t="s">
        <v>740</v>
      </c>
      <c r="C160" s="8" t="s">
        <v>203</v>
      </c>
      <c r="D160" s="8" t="s">
        <v>759</v>
      </c>
      <c r="E160" s="8" t="s">
        <v>760</v>
      </c>
      <c r="F160" s="8">
        <v>0.9867490000000001</v>
      </c>
      <c r="G160" s="8">
        <v>1.236175</v>
      </c>
      <c r="H160" s="8">
        <v>1.5719380000000001</v>
      </c>
      <c r="I160" s="8">
        <v>1.836854</v>
      </c>
      <c r="J160" s="8">
        <v>2.0447929999999999</v>
      </c>
      <c r="K160" s="8">
        <v>2.2181299999999999</v>
      </c>
      <c r="L160" s="8">
        <v>2.3771360000000001</v>
      </c>
      <c r="M160" s="8">
        <v>2.6545120000000004</v>
      </c>
      <c r="N160" s="8">
        <v>2.9778850000000001</v>
      </c>
      <c r="O160" s="8">
        <v>3.49072</v>
      </c>
      <c r="P160" s="8">
        <v>4.0149020000000002</v>
      </c>
      <c r="Q160" s="8">
        <v>4.2911919999999997</v>
      </c>
      <c r="R160" s="8">
        <v>5.0960320000000001</v>
      </c>
      <c r="S160" s="8">
        <v>5.6153620000000002</v>
      </c>
      <c r="T160" s="8">
        <v>5.8935209999999998</v>
      </c>
    </row>
    <row r="161" spans="1:20" x14ac:dyDescent="0.3">
      <c r="A161" s="8" t="s">
        <v>758</v>
      </c>
      <c r="B161" s="8" t="s">
        <v>740</v>
      </c>
      <c r="C161" s="8" t="s">
        <v>624</v>
      </c>
      <c r="D161" s="8" t="s">
        <v>759</v>
      </c>
      <c r="E161" s="8" t="s">
        <v>760</v>
      </c>
      <c r="F161" s="8">
        <v>0.10433100000000001</v>
      </c>
      <c r="G161" s="8">
        <v>0.115842</v>
      </c>
      <c r="H161" s="8">
        <v>0.131801</v>
      </c>
      <c r="I161" s="8">
        <v>0.14951700000000001</v>
      </c>
      <c r="J161" s="8">
        <v>0.17063</v>
      </c>
      <c r="K161" s="8">
        <v>0.194938</v>
      </c>
      <c r="L161" s="8">
        <v>0.229654</v>
      </c>
      <c r="M161" s="8">
        <v>0.27246399999999998</v>
      </c>
      <c r="N161" s="8">
        <v>0.31932199999999999</v>
      </c>
      <c r="O161" s="8">
        <v>0.36978300000000003</v>
      </c>
      <c r="P161" s="8">
        <v>0.42472500000000002</v>
      </c>
      <c r="Q161" s="8">
        <v>0.47710000000000002</v>
      </c>
      <c r="R161" s="8">
        <v>0.53391600000000006</v>
      </c>
      <c r="S161" s="8">
        <v>0.60497500000000004</v>
      </c>
      <c r="T161" s="8">
        <v>0.68289700000000009</v>
      </c>
    </row>
    <row r="162" spans="1:20" x14ac:dyDescent="0.3">
      <c r="A162" s="8" t="s">
        <v>758</v>
      </c>
      <c r="B162" s="8" t="s">
        <v>740</v>
      </c>
      <c r="C162" s="8" t="s">
        <v>626</v>
      </c>
      <c r="D162" s="8" t="s">
        <v>759</v>
      </c>
      <c r="E162" s="8" t="s">
        <v>760</v>
      </c>
      <c r="F162" s="8">
        <v>1.9879380000000002</v>
      </c>
      <c r="G162" s="8">
        <v>2.1207449999999999</v>
      </c>
      <c r="H162" s="8">
        <v>2.2820169999999997</v>
      </c>
      <c r="I162" s="8">
        <v>2.4961739999999999</v>
      </c>
      <c r="J162" s="8">
        <v>2.7513570000000001</v>
      </c>
      <c r="K162" s="8">
        <v>3.0272730000000001</v>
      </c>
      <c r="L162" s="8">
        <v>3.3329460000000002</v>
      </c>
      <c r="M162" s="8">
        <v>3.7071649999999998</v>
      </c>
      <c r="N162" s="8">
        <v>4.2074669999999994</v>
      </c>
      <c r="O162" s="8">
        <v>4.3286290000000003</v>
      </c>
      <c r="P162" s="8">
        <v>4.4853239999999994</v>
      </c>
      <c r="Q162" s="8">
        <v>5.6136869999999996</v>
      </c>
      <c r="R162" s="8">
        <v>6.3497240000000001</v>
      </c>
      <c r="S162" s="8">
        <v>7.2277370000000003</v>
      </c>
      <c r="T162" s="8">
        <v>8.1402070000000002</v>
      </c>
    </row>
    <row r="163" spans="1:20" x14ac:dyDescent="0.3">
      <c r="A163" s="8" t="s">
        <v>758</v>
      </c>
      <c r="B163" s="8" t="s">
        <v>740</v>
      </c>
      <c r="C163" s="8" t="s">
        <v>205</v>
      </c>
      <c r="D163" s="8" t="s">
        <v>759</v>
      </c>
      <c r="E163" s="8" t="s">
        <v>760</v>
      </c>
      <c r="F163" s="8">
        <v>2.1574960000000001</v>
      </c>
      <c r="G163" s="8">
        <v>2.4190510000000001</v>
      </c>
      <c r="H163" s="8">
        <v>2.7407650000000001</v>
      </c>
      <c r="I163" s="8">
        <v>3.1363080000000001</v>
      </c>
      <c r="J163" s="8">
        <v>3.5744670000000003</v>
      </c>
      <c r="K163" s="8">
        <v>4.0307310000000003</v>
      </c>
      <c r="L163" s="8">
        <v>4.4754290000000001</v>
      </c>
      <c r="M163" s="8">
        <v>4.8290950000000006</v>
      </c>
      <c r="N163" s="8">
        <v>5.3180100000000001</v>
      </c>
      <c r="O163" s="8">
        <v>5.7227200000000007</v>
      </c>
      <c r="P163" s="8">
        <v>5.9422070000000007</v>
      </c>
      <c r="Q163" s="8">
        <v>6.0387310000000003</v>
      </c>
      <c r="R163" s="8">
        <v>6.1024700000000003</v>
      </c>
      <c r="S163" s="8">
        <v>6.2212480000000001</v>
      </c>
      <c r="T163" s="8">
        <v>6.2809160000000004</v>
      </c>
    </row>
    <row r="164" spans="1:20" x14ac:dyDescent="0.3">
      <c r="A164" s="8" t="s">
        <v>758</v>
      </c>
      <c r="B164" s="8" t="s">
        <v>740</v>
      </c>
      <c r="C164" s="8" t="s">
        <v>631</v>
      </c>
      <c r="D164" s="8" t="s">
        <v>759</v>
      </c>
      <c r="E164" s="8" t="s">
        <v>760</v>
      </c>
      <c r="F164" s="8">
        <v>2.1813670000000003</v>
      </c>
      <c r="G164" s="8">
        <v>2.4974750000000001</v>
      </c>
      <c r="H164" s="8">
        <v>2.83379</v>
      </c>
      <c r="I164" s="8">
        <v>3.2248429999999999</v>
      </c>
      <c r="J164" s="8">
        <v>3.6723210000000002</v>
      </c>
      <c r="K164" s="8">
        <v>4.1762700000000006</v>
      </c>
      <c r="L164" s="8">
        <v>5.773981</v>
      </c>
      <c r="M164" s="8">
        <v>6.4972129999999995</v>
      </c>
      <c r="N164" s="8">
        <v>7.0127449999999998</v>
      </c>
      <c r="O164" s="8">
        <v>7.0545249999999999</v>
      </c>
      <c r="P164" s="8">
        <v>8.5462950000000006</v>
      </c>
      <c r="Q164" s="8">
        <v>10.295494000000001</v>
      </c>
      <c r="R164" s="8">
        <v>11.875663000000001</v>
      </c>
      <c r="S164" s="8">
        <v>13.538114</v>
      </c>
      <c r="T164" s="8">
        <v>16.272863000000001</v>
      </c>
    </row>
    <row r="165" spans="1:20" x14ac:dyDescent="0.3">
      <c r="A165" s="8" t="s">
        <v>758</v>
      </c>
      <c r="B165" s="8" t="s">
        <v>740</v>
      </c>
      <c r="C165" s="8" t="s">
        <v>207</v>
      </c>
      <c r="D165" s="8" t="s">
        <v>759</v>
      </c>
      <c r="E165" s="8" t="s">
        <v>760</v>
      </c>
      <c r="F165" s="8">
        <v>5.9804650000000006</v>
      </c>
      <c r="G165" s="8">
        <v>6.3219320000000003</v>
      </c>
      <c r="H165" s="8">
        <v>6.551831</v>
      </c>
      <c r="I165" s="8">
        <v>6.870768</v>
      </c>
      <c r="J165" s="8">
        <v>7.1681980000000003</v>
      </c>
      <c r="K165" s="8">
        <v>7.4478280000000003</v>
      </c>
      <c r="L165" s="8">
        <v>7.7538549999999997</v>
      </c>
      <c r="M165" s="8">
        <v>7.9013800000000005</v>
      </c>
      <c r="N165" s="8">
        <v>7.9834149999999999</v>
      </c>
      <c r="O165" s="8">
        <v>7.9754939999999994</v>
      </c>
      <c r="P165" s="8">
        <v>7.9460630000000005</v>
      </c>
      <c r="Q165" s="8">
        <v>7.8487939999999998</v>
      </c>
      <c r="R165" s="8">
        <v>7.6703400000000004</v>
      </c>
      <c r="S165" s="8">
        <v>7.5325879999999996</v>
      </c>
      <c r="T165" s="8">
        <v>7.3840630000000003</v>
      </c>
    </row>
    <row r="166" spans="1:20" x14ac:dyDescent="0.3">
      <c r="A166" s="8" t="s">
        <v>758</v>
      </c>
      <c r="B166" s="8" t="s">
        <v>740</v>
      </c>
      <c r="C166" s="8" t="s">
        <v>636</v>
      </c>
      <c r="D166" s="8" t="s">
        <v>759</v>
      </c>
      <c r="E166" s="8" t="s">
        <v>760</v>
      </c>
      <c r="F166" s="8">
        <v>2.4760149999999999</v>
      </c>
      <c r="G166" s="8">
        <v>2.6714690000000001</v>
      </c>
      <c r="H166" s="8">
        <v>2.887575</v>
      </c>
      <c r="I166" s="8">
        <v>3.1194310000000001</v>
      </c>
      <c r="J166" s="8">
        <v>3.3214510000000002</v>
      </c>
      <c r="K166" s="8">
        <v>3.673467</v>
      </c>
      <c r="L166" s="8">
        <v>4.1417099999999998</v>
      </c>
      <c r="M166" s="8">
        <v>4.6521729999999994</v>
      </c>
      <c r="N166" s="8">
        <v>4.6935529999999996</v>
      </c>
      <c r="O166" s="8">
        <v>5.2370299999999999</v>
      </c>
      <c r="P166" s="8">
        <v>5.9775060000000009</v>
      </c>
      <c r="Q166" s="8">
        <v>7.4842129999999996</v>
      </c>
      <c r="R166" s="8">
        <v>9.4283830000000002</v>
      </c>
      <c r="S166" s="8">
        <v>11.132072000000001</v>
      </c>
      <c r="T166" s="8">
        <v>10.545439</v>
      </c>
    </row>
    <row r="167" spans="1:20" x14ac:dyDescent="0.3">
      <c r="A167" s="8" t="s">
        <v>758</v>
      </c>
      <c r="B167" s="8" t="s">
        <v>740</v>
      </c>
      <c r="C167" s="8" t="s">
        <v>642</v>
      </c>
      <c r="D167" s="8" t="s">
        <v>759</v>
      </c>
      <c r="E167" s="8" t="s">
        <v>760</v>
      </c>
      <c r="F167" s="8">
        <v>6.0426000000000001E-2</v>
      </c>
      <c r="G167" s="8">
        <v>6.4968999999999999E-2</v>
      </c>
      <c r="H167" s="8">
        <v>6.7801E-2</v>
      </c>
      <c r="I167" s="8">
        <v>7.1345000000000006E-2</v>
      </c>
      <c r="J167" s="8">
        <v>7.6749999999999999E-2</v>
      </c>
      <c r="K167" s="8">
        <v>8.5068000000000005E-2</v>
      </c>
      <c r="L167" s="8">
        <v>9.6167000000000002E-2</v>
      </c>
      <c r="M167" s="8">
        <v>0.10547100000000001</v>
      </c>
      <c r="N167" s="8">
        <v>0.118893</v>
      </c>
      <c r="O167" s="8">
        <v>0.13188900000000001</v>
      </c>
      <c r="P167" s="8">
        <v>0.142789</v>
      </c>
      <c r="Q167" s="8">
        <v>0.15967599999999998</v>
      </c>
      <c r="R167" s="8">
        <v>0.180174</v>
      </c>
      <c r="S167" s="8">
        <v>0.19934299999999999</v>
      </c>
      <c r="T167" s="8">
        <v>0.21622000000000002</v>
      </c>
    </row>
    <row r="168" spans="1:20" x14ac:dyDescent="0.3">
      <c r="A168" s="8" t="s">
        <v>758</v>
      </c>
      <c r="B168" s="8" t="s">
        <v>740</v>
      </c>
      <c r="C168" s="8" t="s">
        <v>209</v>
      </c>
      <c r="D168" s="8" t="s">
        <v>759</v>
      </c>
      <c r="E168" s="8" t="s">
        <v>760</v>
      </c>
      <c r="F168" s="8">
        <v>0.193525</v>
      </c>
      <c r="G168" s="8">
        <v>0.223555</v>
      </c>
      <c r="H168" s="8">
        <v>0.26371600000000001</v>
      </c>
      <c r="I168" s="8">
        <v>0.31563400000000003</v>
      </c>
      <c r="J168" s="8">
        <v>0.37375700000000001</v>
      </c>
      <c r="K168" s="8">
        <v>0.39346100000000001</v>
      </c>
      <c r="L168" s="8">
        <v>0.37492899999999996</v>
      </c>
      <c r="M168" s="8">
        <v>0.38456900000000005</v>
      </c>
      <c r="N168" s="8">
        <v>0.41120400000000001</v>
      </c>
      <c r="O168" s="8">
        <v>0.42973200000000006</v>
      </c>
      <c r="P168" s="8">
        <v>0.47476999999999997</v>
      </c>
      <c r="Q168" s="8">
        <v>0.51335600000000003</v>
      </c>
      <c r="R168" s="8">
        <v>0.54302800000000007</v>
      </c>
      <c r="S168" s="8">
        <v>0.57252999999999998</v>
      </c>
      <c r="T168" s="8">
        <v>0.60380699999999998</v>
      </c>
    </row>
    <row r="169" spans="1:20" x14ac:dyDescent="0.3">
      <c r="A169" s="8" t="s">
        <v>758</v>
      </c>
      <c r="B169" s="8" t="s">
        <v>740</v>
      </c>
      <c r="C169" s="8" t="s">
        <v>752</v>
      </c>
      <c r="D169" s="8" t="s">
        <v>759</v>
      </c>
      <c r="E169" s="8" t="s">
        <v>760</v>
      </c>
      <c r="F169" s="8">
        <v>3.4383859999999999</v>
      </c>
      <c r="G169" s="8">
        <v>3.7612589999999999</v>
      </c>
      <c r="H169" s="8">
        <v>4.0936579999999996</v>
      </c>
      <c r="I169" s="8">
        <v>4.3442560000000006</v>
      </c>
      <c r="J169" s="8">
        <v>4.5065489999999997</v>
      </c>
      <c r="K169" s="8">
        <v>4.7128750000000004</v>
      </c>
      <c r="L169" s="8">
        <v>4.9546609999999998</v>
      </c>
      <c r="M169" s="8">
        <v>5.1311689999999999</v>
      </c>
      <c r="N169" s="8">
        <v>5.2539199999999999</v>
      </c>
      <c r="O169" s="8">
        <v>5.3459250000000003</v>
      </c>
      <c r="P169" s="8">
        <v>5.3762280000000002</v>
      </c>
      <c r="Q169" s="8">
        <v>5.3757619999999999</v>
      </c>
      <c r="R169" s="8">
        <v>5.3935959999999996</v>
      </c>
      <c r="S169" s="8">
        <v>5.4221199999999996</v>
      </c>
      <c r="T169" s="8">
        <v>5.4575420000000001</v>
      </c>
    </row>
    <row r="170" spans="1:20" x14ac:dyDescent="0.3">
      <c r="A170" s="8" t="s">
        <v>758</v>
      </c>
      <c r="B170" s="8" t="s">
        <v>740</v>
      </c>
      <c r="C170" s="8" t="s">
        <v>211</v>
      </c>
      <c r="D170" s="8" t="s">
        <v>759</v>
      </c>
      <c r="E170" s="8" t="s">
        <v>760</v>
      </c>
      <c r="F170" s="8">
        <v>1.4382600000000001</v>
      </c>
      <c r="G170" s="8">
        <v>1.5136010000000002</v>
      </c>
      <c r="H170" s="8">
        <v>1.59243</v>
      </c>
      <c r="I170" s="8">
        <v>1.662123</v>
      </c>
      <c r="J170" s="8">
        <v>1.7348320000000002</v>
      </c>
      <c r="K170" s="8">
        <v>1.808902</v>
      </c>
      <c r="L170" s="8">
        <v>1.8932739999999999</v>
      </c>
      <c r="M170" s="8">
        <v>1.9489529999999999</v>
      </c>
      <c r="N170" s="8">
        <v>1.9833460000000001</v>
      </c>
      <c r="O170" s="8">
        <v>1.9913160000000001</v>
      </c>
      <c r="P170" s="8">
        <v>1.9851830000000001</v>
      </c>
      <c r="Q170" s="8">
        <v>2.0006750000000002</v>
      </c>
      <c r="R170" s="8">
        <v>2.0512910000000004</v>
      </c>
      <c r="S170" s="8">
        <v>2.076171</v>
      </c>
      <c r="T170" s="8">
        <v>2.1162559999999999</v>
      </c>
    </row>
    <row r="171" spans="1:20" x14ac:dyDescent="0.3">
      <c r="A171" s="8" t="s">
        <v>758</v>
      </c>
      <c r="B171" s="8" t="s">
        <v>740</v>
      </c>
      <c r="C171" s="8" t="s">
        <v>213</v>
      </c>
      <c r="D171" s="8" t="s">
        <v>759</v>
      </c>
      <c r="E171" s="8" t="s">
        <v>760</v>
      </c>
      <c r="F171" s="8">
        <v>6.9861509999999996</v>
      </c>
      <c r="G171" s="8">
        <v>7.240361</v>
      </c>
      <c r="H171" s="8">
        <v>7.4724319999999995</v>
      </c>
      <c r="I171" s="8">
        <v>7.7237910000000003</v>
      </c>
      <c r="J171" s="8">
        <v>8.0045760000000001</v>
      </c>
      <c r="K171" s="8">
        <v>8.2110490000000009</v>
      </c>
      <c r="L171" s="8">
        <v>8.3037309999999991</v>
      </c>
      <c r="M171" s="8">
        <v>8.3802310000000002</v>
      </c>
      <c r="N171" s="8">
        <v>8.5256910000000001</v>
      </c>
      <c r="O171" s="8">
        <v>8.7434349999999998</v>
      </c>
      <c r="P171" s="8">
        <v>8.8587930000000004</v>
      </c>
      <c r="Q171" s="8">
        <v>9.0273330000000005</v>
      </c>
      <c r="R171" s="8">
        <v>9.3395340000000004</v>
      </c>
      <c r="S171" s="8">
        <v>9.7982759999999995</v>
      </c>
      <c r="T171" s="8">
        <v>10.321414000000001</v>
      </c>
    </row>
    <row r="172" spans="1:20" x14ac:dyDescent="0.3">
      <c r="A172" s="8" t="s">
        <v>758</v>
      </c>
      <c r="B172" s="8" t="s">
        <v>740</v>
      </c>
      <c r="C172" s="8" t="s">
        <v>648</v>
      </c>
      <c r="D172" s="8" t="s">
        <v>759</v>
      </c>
      <c r="E172" s="8" t="s">
        <v>760</v>
      </c>
      <c r="F172" s="8">
        <v>0.26820100000000002</v>
      </c>
      <c r="G172" s="8">
        <v>0.303421</v>
      </c>
      <c r="H172" s="8">
        <v>0.34114699999999998</v>
      </c>
      <c r="I172" s="8">
        <v>0.383187</v>
      </c>
      <c r="J172" s="8">
        <v>0.43698700000000001</v>
      </c>
      <c r="K172" s="8">
        <v>0.50185400000000002</v>
      </c>
      <c r="L172" s="8">
        <v>0.588669</v>
      </c>
      <c r="M172" s="8">
        <v>0.68851300000000004</v>
      </c>
      <c r="N172" s="8">
        <v>0.83635999999999999</v>
      </c>
      <c r="O172" s="8">
        <v>0.94314200000000004</v>
      </c>
      <c r="P172" s="8">
        <v>1.0247219999999999</v>
      </c>
      <c r="Q172" s="8">
        <v>1.069029</v>
      </c>
      <c r="R172" s="8">
        <v>1.097323</v>
      </c>
      <c r="S172" s="8">
        <v>1.1297539999999999</v>
      </c>
      <c r="T172" s="8">
        <v>1.17422</v>
      </c>
    </row>
    <row r="173" spans="1:20" x14ac:dyDescent="0.3">
      <c r="A173" s="8" t="s">
        <v>758</v>
      </c>
      <c r="B173" s="8" t="s">
        <v>740</v>
      </c>
      <c r="C173" s="8" t="s">
        <v>652</v>
      </c>
      <c r="D173" s="8" t="s">
        <v>759</v>
      </c>
      <c r="E173" s="8" t="s">
        <v>760</v>
      </c>
      <c r="F173" s="8">
        <v>3.8037999999999995E-2</v>
      </c>
      <c r="G173" s="8">
        <v>3.9532999999999999E-2</v>
      </c>
      <c r="H173" s="8">
        <v>4.2741000000000001E-2</v>
      </c>
      <c r="I173" s="8">
        <v>4.7566999999999998E-2</v>
      </c>
      <c r="J173" s="8">
        <v>5.3737E-2</v>
      </c>
      <c r="K173" s="8">
        <v>6.0261000000000002E-2</v>
      </c>
      <c r="L173" s="8">
        <v>6.4961000000000005E-2</v>
      </c>
      <c r="M173" s="8">
        <v>6.7602999999999996E-2</v>
      </c>
      <c r="N173" s="8">
        <v>7.0721000000000006E-2</v>
      </c>
      <c r="O173" s="8">
        <v>7.4329999999999993E-2</v>
      </c>
      <c r="P173" s="8">
        <v>7.9440999999999998E-2</v>
      </c>
      <c r="Q173" s="8">
        <v>8.5266999999999996E-2</v>
      </c>
      <c r="R173" s="8">
        <v>9.1733999999999996E-2</v>
      </c>
      <c r="S173" s="8">
        <v>9.8621E-2</v>
      </c>
      <c r="T173" s="8">
        <v>0.10501099999999999</v>
      </c>
    </row>
    <row r="174" spans="1:20" x14ac:dyDescent="0.3">
      <c r="A174" s="8" t="s">
        <v>758</v>
      </c>
      <c r="B174" s="8" t="s">
        <v>740</v>
      </c>
      <c r="C174" s="8" t="s">
        <v>764</v>
      </c>
      <c r="D174" s="8" t="s">
        <v>759</v>
      </c>
      <c r="E174" s="8" t="s">
        <v>760</v>
      </c>
      <c r="F174" s="8">
        <v>3.5060990000000003</v>
      </c>
      <c r="G174" s="8">
        <v>3.9355579999999999</v>
      </c>
      <c r="H174" s="8">
        <v>4.5399330000000004</v>
      </c>
      <c r="I174" s="8">
        <v>5.2836119999999998</v>
      </c>
      <c r="J174" s="8">
        <v>6.2131959999999999</v>
      </c>
      <c r="K174" s="8">
        <v>7.3688130000000003</v>
      </c>
      <c r="L174" s="8">
        <v>8.747777000000001</v>
      </c>
      <c r="M174" s="8">
        <v>10.359724</v>
      </c>
      <c r="N174" s="8">
        <v>12.221755</v>
      </c>
      <c r="O174" s="8">
        <v>14.115619000000001</v>
      </c>
      <c r="P174" s="8">
        <v>16.102833</v>
      </c>
      <c r="Q174" s="8">
        <v>18.329923999999998</v>
      </c>
      <c r="R174" s="8">
        <v>22.085506000000002</v>
      </c>
      <c r="S174" s="8">
        <v>19.492131000000001</v>
      </c>
      <c r="T174" s="8">
        <v>20.486035000000001</v>
      </c>
    </row>
    <row r="175" spans="1:20" x14ac:dyDescent="0.3">
      <c r="A175" s="8" t="s">
        <v>758</v>
      </c>
      <c r="B175" s="8" t="s">
        <v>740</v>
      </c>
      <c r="C175" s="8" t="s">
        <v>657</v>
      </c>
      <c r="D175" s="8" t="s">
        <v>759</v>
      </c>
      <c r="E175" s="8" t="s">
        <v>760</v>
      </c>
      <c r="F175" s="8">
        <v>2.4888279999999998</v>
      </c>
      <c r="G175" s="8">
        <v>2.7306330000000001</v>
      </c>
      <c r="H175" s="8">
        <v>2.9996239999999998</v>
      </c>
      <c r="I175" s="8">
        <v>3.305167</v>
      </c>
      <c r="J175" s="8">
        <v>3.630274</v>
      </c>
      <c r="K175" s="8">
        <v>4.0435559999999997</v>
      </c>
      <c r="L175" s="8">
        <v>4.4545900000000005</v>
      </c>
      <c r="M175" s="8">
        <v>4.9118410000000008</v>
      </c>
      <c r="N175" s="8">
        <v>5.763884</v>
      </c>
      <c r="O175" s="8">
        <v>6.7006860000000001</v>
      </c>
      <c r="P175" s="8">
        <v>8.1237410000000008</v>
      </c>
      <c r="Q175" s="8">
        <v>9.8279359999999993</v>
      </c>
      <c r="R175" s="8">
        <v>11.69125</v>
      </c>
      <c r="S175" s="8">
        <v>13.933273</v>
      </c>
      <c r="T175" s="8">
        <v>16.379190000000001</v>
      </c>
    </row>
    <row r="176" spans="1:20" x14ac:dyDescent="0.3">
      <c r="A176" s="8" t="s">
        <v>758</v>
      </c>
      <c r="B176" s="8" t="s">
        <v>740</v>
      </c>
      <c r="C176" s="8" t="s">
        <v>216</v>
      </c>
      <c r="D176" s="8" t="s">
        <v>759</v>
      </c>
      <c r="E176" s="8" t="s">
        <v>760</v>
      </c>
      <c r="F176" s="8">
        <v>1.387394</v>
      </c>
      <c r="G176" s="8">
        <v>1.5062059999999999</v>
      </c>
      <c r="H176" s="8">
        <v>1.6377300000000001</v>
      </c>
      <c r="I176" s="8">
        <v>1.7930200000000001</v>
      </c>
      <c r="J176" s="8">
        <v>2.160625</v>
      </c>
      <c r="K176" s="8">
        <v>2.479978</v>
      </c>
      <c r="L176" s="8">
        <v>2.7970390000000003</v>
      </c>
      <c r="M176" s="8">
        <v>3.2853530000000002</v>
      </c>
      <c r="N176" s="8">
        <v>3.8192520000000001</v>
      </c>
      <c r="O176" s="8">
        <v>4.1930889999999996</v>
      </c>
      <c r="P176" s="8">
        <v>4.9386640000000002</v>
      </c>
      <c r="Q176" s="8">
        <v>5.6380650000000001</v>
      </c>
      <c r="R176" s="8">
        <v>6.4840070000000001</v>
      </c>
      <c r="S176" s="8">
        <v>7.3799350000000006</v>
      </c>
      <c r="T176" s="8">
        <v>8.3422340000000101</v>
      </c>
    </row>
    <row r="177" spans="1:20" x14ac:dyDescent="0.3">
      <c r="A177" s="8" t="s">
        <v>758</v>
      </c>
      <c r="B177" s="8" t="s">
        <v>740</v>
      </c>
      <c r="C177" s="8" t="s">
        <v>218</v>
      </c>
      <c r="D177" s="8" t="s">
        <v>759</v>
      </c>
      <c r="E177" s="8" t="s">
        <v>760</v>
      </c>
      <c r="F177" s="8">
        <v>20.167324000000001</v>
      </c>
      <c r="G177" s="8">
        <v>22.864901999999997</v>
      </c>
      <c r="H177" s="8">
        <v>26.206860000000002</v>
      </c>
      <c r="I177" s="8">
        <v>30.469628</v>
      </c>
      <c r="J177" s="8">
        <v>35.282538000000002</v>
      </c>
      <c r="K177" s="8">
        <v>40.409493000000005</v>
      </c>
      <c r="L177" s="8">
        <v>45.237549000000001</v>
      </c>
      <c r="M177" s="8">
        <v>50.116373000000003</v>
      </c>
      <c r="N177" s="8">
        <v>54.773760000000003</v>
      </c>
      <c r="O177" s="8">
        <v>59.029226999999999</v>
      </c>
      <c r="P177" s="8">
        <v>62.771335000000001</v>
      </c>
      <c r="Q177" s="8">
        <v>65.575665000000001</v>
      </c>
      <c r="R177" s="8">
        <v>68.052340999999998</v>
      </c>
      <c r="S177" s="8">
        <v>70.141672999999997</v>
      </c>
      <c r="T177" s="8">
        <v>71.389373000000006</v>
      </c>
    </row>
    <row r="178" spans="1:20" x14ac:dyDescent="0.3">
      <c r="A178" s="8" t="s">
        <v>758</v>
      </c>
      <c r="B178" s="8" t="s">
        <v>740</v>
      </c>
      <c r="C178" s="8" t="s">
        <v>219</v>
      </c>
      <c r="D178" s="8" t="s">
        <v>759</v>
      </c>
      <c r="E178" s="8" t="s">
        <v>760</v>
      </c>
      <c r="F178" s="8">
        <v>1.4975070000000001</v>
      </c>
      <c r="G178" s="8">
        <v>1.776459</v>
      </c>
      <c r="H178" s="8">
        <v>2.0948420000000003</v>
      </c>
      <c r="I178" s="8">
        <v>2.4950569999999996</v>
      </c>
      <c r="J178" s="8">
        <v>2.9467210000000001</v>
      </c>
      <c r="K178" s="8">
        <v>3.4288580000000004</v>
      </c>
      <c r="L178" s="8">
        <v>3.9893380000000005</v>
      </c>
      <c r="M178" s="8">
        <v>4.5949160000000004</v>
      </c>
      <c r="N178" s="8">
        <v>5.3509289999999998</v>
      </c>
      <c r="O178" s="8">
        <v>5.8569700000000005</v>
      </c>
      <c r="P178" s="8">
        <v>6.2038339999999996</v>
      </c>
      <c r="Q178" s="8">
        <v>6.8654770000000003</v>
      </c>
      <c r="R178" s="8">
        <v>7.5426970000000004</v>
      </c>
      <c r="S178" s="8">
        <v>8.4234619999999989</v>
      </c>
      <c r="T178" s="8">
        <v>9.4428140000000091</v>
      </c>
    </row>
    <row r="179" spans="1:20" x14ac:dyDescent="0.3">
      <c r="A179" s="8" t="s">
        <v>758</v>
      </c>
      <c r="B179" s="8" t="s">
        <v>740</v>
      </c>
      <c r="C179" s="8" t="s">
        <v>221</v>
      </c>
      <c r="D179" s="8" t="s">
        <v>759</v>
      </c>
      <c r="E179" s="8" t="s">
        <v>760</v>
      </c>
      <c r="F179" s="8">
        <v>1.2031430000000001</v>
      </c>
      <c r="G179" s="8">
        <v>1.344106</v>
      </c>
      <c r="H179" s="8">
        <v>1.5743199999999999</v>
      </c>
      <c r="I179" s="8">
        <v>1.866849</v>
      </c>
      <c r="J179" s="8">
        <v>2.1702270000000001</v>
      </c>
      <c r="K179" s="8">
        <v>2.492518</v>
      </c>
      <c r="L179" s="8">
        <v>2.8286120000000001</v>
      </c>
      <c r="M179" s="8">
        <v>3.203198</v>
      </c>
      <c r="N179" s="8">
        <v>3.67042</v>
      </c>
      <c r="O179" s="8">
        <v>4.1819889999999997</v>
      </c>
      <c r="P179" s="8">
        <v>4.5355400000000001</v>
      </c>
      <c r="Q179" s="8">
        <v>4.8520820000000002</v>
      </c>
      <c r="R179" s="8">
        <v>5.2229470000000005</v>
      </c>
      <c r="S179" s="8">
        <v>5.7148479999999999</v>
      </c>
      <c r="T179" s="8">
        <v>6.2043619999999899</v>
      </c>
    </row>
    <row r="180" spans="1:20" x14ac:dyDescent="0.3">
      <c r="A180" s="8" t="s">
        <v>758</v>
      </c>
      <c r="B180" s="8" t="s">
        <v>740</v>
      </c>
      <c r="C180" s="8" t="s">
        <v>669</v>
      </c>
      <c r="D180" s="8" t="s">
        <v>759</v>
      </c>
      <c r="E180" s="8" t="s">
        <v>760</v>
      </c>
      <c r="F180" s="8">
        <v>0.41323300000000002</v>
      </c>
      <c r="G180" s="8">
        <v>0.434699</v>
      </c>
      <c r="H180" s="8">
        <v>0.46503699999999998</v>
      </c>
      <c r="I180" s="8">
        <v>0.50320200000000004</v>
      </c>
      <c r="J180" s="8">
        <v>0.54909299999999994</v>
      </c>
      <c r="K180" s="8">
        <v>0.595553</v>
      </c>
      <c r="L180" s="8">
        <v>0.63776900000000003</v>
      </c>
      <c r="M180" s="8">
        <v>0.67632399999999993</v>
      </c>
      <c r="N180" s="8">
        <v>0.74900599999999995</v>
      </c>
      <c r="O180" s="8">
        <v>0.81317499999999998</v>
      </c>
      <c r="P180" s="8">
        <v>0.87189899999999998</v>
      </c>
      <c r="Q180" s="8">
        <v>0.95662900000000006</v>
      </c>
      <c r="R180" s="8">
        <v>1.0765199999999999</v>
      </c>
      <c r="S180" s="8">
        <v>1.196402</v>
      </c>
      <c r="T180" s="8">
        <v>1.289747</v>
      </c>
    </row>
    <row r="181" spans="1:20" x14ac:dyDescent="0.3">
      <c r="A181" s="8" t="s">
        <v>758</v>
      </c>
      <c r="B181" s="8" t="s">
        <v>740</v>
      </c>
      <c r="C181" s="8" t="s">
        <v>673</v>
      </c>
      <c r="D181" s="8" t="s">
        <v>759</v>
      </c>
      <c r="E181" s="8" t="s">
        <v>760</v>
      </c>
      <c r="F181" s="8">
        <v>4.9121000000000005E-2</v>
      </c>
      <c r="G181" s="8">
        <v>5.7088E-2</v>
      </c>
      <c r="H181" s="8">
        <v>6.6452999999999998E-2</v>
      </c>
      <c r="I181" s="8">
        <v>7.6605999999999994E-2</v>
      </c>
      <c r="J181" s="8">
        <v>8.5763000000000006E-2</v>
      </c>
      <c r="K181" s="8">
        <v>9.2741000000000004E-2</v>
      </c>
      <c r="L181" s="8">
        <v>9.6625000000000003E-2</v>
      </c>
      <c r="M181" s="8">
        <v>9.7045000000000006E-2</v>
      </c>
      <c r="N181" s="8">
        <v>9.857500000000001E-2</v>
      </c>
      <c r="O181" s="8">
        <v>9.9861000000000005E-2</v>
      </c>
      <c r="P181" s="8">
        <v>0.10229600000000001</v>
      </c>
      <c r="Q181" s="8">
        <v>0.10534900000000001</v>
      </c>
      <c r="R181" s="8">
        <v>0.107237</v>
      </c>
      <c r="S181" s="8">
        <v>0.10638599999999999</v>
      </c>
      <c r="T181" s="8">
        <v>0.10487600000000001</v>
      </c>
    </row>
    <row r="182" spans="1:20" x14ac:dyDescent="0.3">
      <c r="A182" s="8" t="s">
        <v>758</v>
      </c>
      <c r="B182" s="8" t="s">
        <v>740</v>
      </c>
      <c r="C182" s="8" t="s">
        <v>222</v>
      </c>
      <c r="D182" s="8" t="s">
        <v>759</v>
      </c>
      <c r="E182" s="8" t="s">
        <v>760</v>
      </c>
      <c r="F182" s="8">
        <v>0.64049199999999995</v>
      </c>
      <c r="G182" s="8">
        <v>0.73196000000000006</v>
      </c>
      <c r="H182" s="8">
        <v>0.83745899999999995</v>
      </c>
      <c r="I182" s="8">
        <v>0.92113400000000001</v>
      </c>
      <c r="J182" s="8">
        <v>0.98384000000000005</v>
      </c>
      <c r="K182" s="8">
        <v>1.0471969999999999</v>
      </c>
      <c r="L182" s="8">
        <v>1.1203109999999998</v>
      </c>
      <c r="M182" s="8">
        <v>1.191233</v>
      </c>
      <c r="N182" s="8">
        <v>1.261638</v>
      </c>
      <c r="O182" s="8">
        <v>1.3047940000000002</v>
      </c>
      <c r="P182" s="8">
        <v>1.3293050000000002</v>
      </c>
      <c r="Q182" s="8">
        <v>1.3651420000000001</v>
      </c>
      <c r="R182" s="8">
        <v>1.4056679999999999</v>
      </c>
      <c r="S182" s="8">
        <v>1.4555</v>
      </c>
      <c r="T182" s="8">
        <v>1.5139010000000002</v>
      </c>
    </row>
    <row r="183" spans="1:20" x14ac:dyDescent="0.3">
      <c r="A183" s="8" t="s">
        <v>758</v>
      </c>
      <c r="B183" s="8" t="s">
        <v>740</v>
      </c>
      <c r="C183" s="8" t="s">
        <v>223</v>
      </c>
      <c r="D183" s="8" t="s">
        <v>759</v>
      </c>
      <c r="E183" s="8" t="s">
        <v>760</v>
      </c>
      <c r="F183" s="8">
        <v>3.5730920000000004</v>
      </c>
      <c r="G183" s="8">
        <v>3.933932</v>
      </c>
      <c r="H183" s="8">
        <v>4.1757219999999995</v>
      </c>
      <c r="I183" s="8">
        <v>4.4189089999999993</v>
      </c>
      <c r="J183" s="8">
        <v>4.9805700000000002</v>
      </c>
      <c r="K183" s="8">
        <v>5.6893840000000004</v>
      </c>
      <c r="L183" s="8">
        <v>6.4969380000000001</v>
      </c>
      <c r="M183" s="8">
        <v>7.3769730000000004</v>
      </c>
      <c r="N183" s="8">
        <v>8.3480319999999999</v>
      </c>
      <c r="O183" s="8">
        <v>9.2233260000000001</v>
      </c>
      <c r="P183" s="8">
        <v>9.8415110000000006</v>
      </c>
      <c r="Q183" s="8">
        <v>10.340847999999999</v>
      </c>
      <c r="R183" s="8">
        <v>10.837762000000001</v>
      </c>
      <c r="S183" s="8">
        <v>11.493401</v>
      </c>
      <c r="T183" s="8">
        <v>12.106245000000001</v>
      </c>
    </row>
    <row r="184" spans="1:20" x14ac:dyDescent="0.3">
      <c r="A184" s="8" t="s">
        <v>758</v>
      </c>
      <c r="B184" s="8" t="s">
        <v>740</v>
      </c>
      <c r="C184" s="8" t="s">
        <v>731</v>
      </c>
      <c r="D184" s="8" t="s">
        <v>759</v>
      </c>
      <c r="E184" s="8" t="s">
        <v>760</v>
      </c>
      <c r="F184" s="8">
        <v>20.715337000000002</v>
      </c>
      <c r="G184" s="8">
        <v>23.544613000000002</v>
      </c>
      <c r="H184" s="8">
        <v>27.149198000000002</v>
      </c>
      <c r="I184" s="8">
        <v>30.999939999999999</v>
      </c>
      <c r="J184" s="8">
        <v>35.132373000000001</v>
      </c>
      <c r="K184" s="8">
        <v>39.276131999999997</v>
      </c>
      <c r="L184" s="8">
        <v>43.630906000000003</v>
      </c>
      <c r="M184" s="8">
        <v>48.644137000000001</v>
      </c>
      <c r="N184" s="8">
        <v>53.818432000000001</v>
      </c>
      <c r="O184" s="8">
        <v>58.820056000000001</v>
      </c>
      <c r="P184" s="8">
        <v>63.645023999999999</v>
      </c>
      <c r="Q184" s="8">
        <v>68.250854000000004</v>
      </c>
      <c r="R184" s="8">
        <v>72.703473000000002</v>
      </c>
      <c r="S184" s="8">
        <v>78.966299000000006</v>
      </c>
      <c r="T184" s="8">
        <v>83.811677000000003</v>
      </c>
    </row>
    <row r="185" spans="1:20" x14ac:dyDescent="0.3">
      <c r="A185" s="8" t="s">
        <v>758</v>
      </c>
      <c r="B185" s="8" t="s">
        <v>740</v>
      </c>
      <c r="C185" s="8" t="s">
        <v>753</v>
      </c>
      <c r="D185" s="8" t="s">
        <v>759</v>
      </c>
      <c r="E185" s="8" t="s">
        <v>760</v>
      </c>
      <c r="F185" s="8">
        <v>7.4684420000000005</v>
      </c>
      <c r="G185" s="8">
        <v>9.061808000000001</v>
      </c>
      <c r="H185" s="8">
        <v>10.793543</v>
      </c>
      <c r="I185" s="8">
        <v>12.848748000000001</v>
      </c>
      <c r="J185" s="8">
        <v>14.788778000000001</v>
      </c>
      <c r="K185" s="8">
        <v>16.397780000000001</v>
      </c>
      <c r="L185" s="8">
        <v>17.948252</v>
      </c>
      <c r="M185" s="8">
        <v>19.383239000000003</v>
      </c>
      <c r="N185" s="8">
        <v>20.494844000000001</v>
      </c>
      <c r="O185" s="8">
        <v>21.376148000000001</v>
      </c>
      <c r="P185" s="8">
        <v>22.127390999999999</v>
      </c>
      <c r="Q185" s="8">
        <v>22.753889000000001</v>
      </c>
      <c r="R185" s="8">
        <v>23.064914000000002</v>
      </c>
      <c r="S185" s="8">
        <v>23.467585</v>
      </c>
      <c r="T185" s="8">
        <v>23.800895000000001</v>
      </c>
    </row>
    <row r="186" spans="1:20" x14ac:dyDescent="0.3">
      <c r="A186" s="8" t="s">
        <v>758</v>
      </c>
      <c r="B186" s="8" t="s">
        <v>740</v>
      </c>
      <c r="C186" s="8" t="s">
        <v>226</v>
      </c>
      <c r="D186" s="8" t="s">
        <v>759</v>
      </c>
      <c r="E186" s="8" t="s">
        <v>760</v>
      </c>
      <c r="F186" s="8">
        <v>7.5333160000000001</v>
      </c>
      <c r="G186" s="8">
        <v>8.6056550000000005</v>
      </c>
      <c r="H186" s="8">
        <v>9.8989080000000005</v>
      </c>
      <c r="I186" s="8">
        <v>11.458259</v>
      </c>
      <c r="J186" s="8">
        <v>13.387290000000002</v>
      </c>
      <c r="K186" s="8">
        <v>15.951677999999999</v>
      </c>
      <c r="L186" s="8">
        <v>19.004651000000003</v>
      </c>
      <c r="M186" s="8">
        <v>22.181567000000001</v>
      </c>
      <c r="N186" s="8">
        <v>25.865476999999998</v>
      </c>
      <c r="O186" s="8">
        <v>30.184794999999998</v>
      </c>
      <c r="P186" s="8">
        <v>33.972122000000006</v>
      </c>
      <c r="Q186" s="8">
        <v>38.887332000000001</v>
      </c>
      <c r="R186" s="8">
        <v>44.474669000000006</v>
      </c>
      <c r="S186" s="8">
        <v>51.608413999999996</v>
      </c>
      <c r="T186" s="8">
        <v>60.771966999999997</v>
      </c>
    </row>
    <row r="187" spans="1:20" x14ac:dyDescent="0.3">
      <c r="A187" s="8" t="s">
        <v>758</v>
      </c>
      <c r="B187" s="8" t="s">
        <v>740</v>
      </c>
      <c r="C187" s="8" t="s">
        <v>685</v>
      </c>
      <c r="D187" s="8" t="s">
        <v>759</v>
      </c>
      <c r="E187" s="8" t="s">
        <v>760</v>
      </c>
      <c r="F187" s="8">
        <v>5.671964</v>
      </c>
      <c r="G187" s="8">
        <v>6.5093329999999998</v>
      </c>
      <c r="H187" s="8">
        <v>7.5095390000000002</v>
      </c>
      <c r="I187" s="8">
        <v>8.6942120000000003</v>
      </c>
      <c r="J187" s="8">
        <v>10.16159</v>
      </c>
      <c r="K187" s="8">
        <v>11.576438</v>
      </c>
      <c r="L187" s="8">
        <v>13.152554</v>
      </c>
      <c r="M187" s="8">
        <v>14.826513</v>
      </c>
      <c r="N187" s="8">
        <v>17.304577000000002</v>
      </c>
      <c r="O187" s="8">
        <v>20.452871999999999</v>
      </c>
      <c r="P187" s="8">
        <v>23.646692999999999</v>
      </c>
      <c r="Q187" s="8">
        <v>27.540927</v>
      </c>
      <c r="R187" s="8">
        <v>31.870718</v>
      </c>
      <c r="S187" s="8">
        <v>36.893791</v>
      </c>
      <c r="T187" s="8">
        <v>43.685862</v>
      </c>
    </row>
    <row r="188" spans="1:20" x14ac:dyDescent="0.3">
      <c r="A188" s="8" t="s">
        <v>758</v>
      </c>
      <c r="B188" s="8" t="s">
        <v>740</v>
      </c>
      <c r="C188" s="8" t="s">
        <v>228</v>
      </c>
      <c r="D188" s="8" t="s">
        <v>759</v>
      </c>
      <c r="E188" s="8" t="s">
        <v>760</v>
      </c>
      <c r="F188" s="8">
        <v>37.063068000000001</v>
      </c>
      <c r="G188" s="8">
        <v>39.558768000000001</v>
      </c>
      <c r="H188" s="8">
        <v>42.462762000000005</v>
      </c>
      <c r="I188" s="8">
        <v>45.181820000000002</v>
      </c>
      <c r="J188" s="8">
        <v>47.156246000000003</v>
      </c>
      <c r="K188" s="8">
        <v>48.757080000000002</v>
      </c>
      <c r="L188" s="8">
        <v>49.859322999999996</v>
      </c>
      <c r="M188" s="8">
        <v>50.847730000000006</v>
      </c>
      <c r="N188" s="8">
        <v>51.550797000000003</v>
      </c>
      <c r="O188" s="8">
        <v>51.271419999999999</v>
      </c>
      <c r="P188" s="8">
        <v>49.106096000000001</v>
      </c>
      <c r="Q188" s="8">
        <v>47.090055999999997</v>
      </c>
      <c r="R188" s="8">
        <v>45.778083000000002</v>
      </c>
      <c r="S188" s="8">
        <v>45.050091999999999</v>
      </c>
      <c r="T188" s="8">
        <v>44.090697999999996</v>
      </c>
    </row>
    <row r="189" spans="1:20" x14ac:dyDescent="0.3">
      <c r="A189" s="8" t="s">
        <v>758</v>
      </c>
      <c r="B189" s="8" t="s">
        <v>740</v>
      </c>
      <c r="C189" s="8" t="s">
        <v>230</v>
      </c>
      <c r="D189" s="8" t="s">
        <v>759</v>
      </c>
      <c r="E189" s="8" t="s">
        <v>760</v>
      </c>
      <c r="F189" s="8">
        <v>2.223894</v>
      </c>
      <c r="G189" s="8">
        <v>2.3509520000000004</v>
      </c>
      <c r="H189" s="8">
        <v>2.5127470000000001</v>
      </c>
      <c r="I189" s="8">
        <v>2.66675</v>
      </c>
      <c r="J189" s="8">
        <v>2.7828189999999999</v>
      </c>
      <c r="K189" s="8">
        <v>2.8624260000000001</v>
      </c>
      <c r="L189" s="8">
        <v>2.9477100000000003</v>
      </c>
      <c r="M189" s="8">
        <v>3.0159419999999999</v>
      </c>
      <c r="N189" s="8">
        <v>3.1079150000000002</v>
      </c>
      <c r="O189" s="8">
        <v>3.1992210000000001</v>
      </c>
      <c r="P189" s="8">
        <v>3.28681</v>
      </c>
      <c r="Q189" s="8">
        <v>3.3158400000000001</v>
      </c>
      <c r="R189" s="8">
        <v>3.3482880000000002</v>
      </c>
      <c r="S189" s="8">
        <v>3.3969659999999999</v>
      </c>
      <c r="T189" s="8">
        <v>3.428267</v>
      </c>
    </row>
    <row r="190" spans="1:20" x14ac:dyDescent="0.3">
      <c r="A190" s="8" t="s">
        <v>758</v>
      </c>
      <c r="B190" s="8" t="s">
        <v>740</v>
      </c>
      <c r="C190" s="8" t="s">
        <v>231</v>
      </c>
      <c r="D190" s="8" t="s">
        <v>759</v>
      </c>
      <c r="E190" s="8" t="s">
        <v>760</v>
      </c>
      <c r="F190" s="8">
        <v>147.095867</v>
      </c>
      <c r="G190" s="8">
        <v>159.663129</v>
      </c>
      <c r="H190" s="8">
        <v>174.73620199999999</v>
      </c>
      <c r="I190" s="8">
        <v>188.55702400000001</v>
      </c>
      <c r="J190" s="8">
        <v>198.98427100000001</v>
      </c>
      <c r="K190" s="8">
        <v>210.25976300000002</v>
      </c>
      <c r="L190" s="8">
        <v>221.787432</v>
      </c>
      <c r="M190" s="8">
        <v>233.94005600000003</v>
      </c>
      <c r="N190" s="8">
        <v>246.36563899999999</v>
      </c>
      <c r="O190" s="8">
        <v>264.01979399999999</v>
      </c>
      <c r="P190" s="8">
        <v>280.81662699999998</v>
      </c>
      <c r="Q190" s="8">
        <v>295.41612800000001</v>
      </c>
      <c r="R190" s="8">
        <v>309.88406400000002</v>
      </c>
      <c r="S190" s="8">
        <v>323.34864600000003</v>
      </c>
      <c r="T190" s="8">
        <v>335.38823600000001</v>
      </c>
    </row>
    <row r="191" spans="1:20" x14ac:dyDescent="0.3">
      <c r="A191" s="8" t="s">
        <v>758</v>
      </c>
      <c r="B191" s="8" t="s">
        <v>740</v>
      </c>
      <c r="C191" s="8" t="s">
        <v>233</v>
      </c>
      <c r="D191" s="8" t="s">
        <v>759</v>
      </c>
      <c r="E191" s="8" t="s">
        <v>760</v>
      </c>
      <c r="F191" s="8">
        <v>6.1680000000000001</v>
      </c>
      <c r="G191" s="8">
        <v>7.0381739999999997</v>
      </c>
      <c r="H191" s="8">
        <v>8.2217690000000001</v>
      </c>
      <c r="I191" s="8">
        <v>9.9423220000000008</v>
      </c>
      <c r="J191" s="8">
        <v>11.831076999999999</v>
      </c>
      <c r="K191" s="8">
        <v>13.691456000000001</v>
      </c>
      <c r="L191" s="8">
        <v>15.755048</v>
      </c>
      <c r="M191" s="8">
        <v>17.822226000000001</v>
      </c>
      <c r="N191" s="8">
        <v>20.344249000000001</v>
      </c>
      <c r="O191" s="8">
        <v>22.799247999999999</v>
      </c>
      <c r="P191" s="8">
        <v>24.767756000000002</v>
      </c>
      <c r="Q191" s="8">
        <v>26.402560000000001</v>
      </c>
      <c r="R191" s="8">
        <v>28.391943000000001</v>
      </c>
      <c r="S191" s="8">
        <v>30.694330999999998</v>
      </c>
      <c r="T191" s="8">
        <v>33.243472000000004</v>
      </c>
    </row>
    <row r="192" spans="1:20" x14ac:dyDescent="0.3">
      <c r="A192" s="8" t="s">
        <v>758</v>
      </c>
      <c r="B192" s="8" t="s">
        <v>740</v>
      </c>
      <c r="C192" s="8" t="s">
        <v>730</v>
      </c>
      <c r="D192" s="8" t="s">
        <v>759</v>
      </c>
      <c r="E192" s="8" t="s">
        <v>760</v>
      </c>
      <c r="F192" s="8">
        <v>6.0627E-2</v>
      </c>
      <c r="G192" s="8">
        <v>7.0701E-2</v>
      </c>
      <c r="H192" s="8">
        <v>8.3376999999999993E-2</v>
      </c>
      <c r="I192" s="8">
        <v>9.0768000000000001E-2</v>
      </c>
      <c r="J192" s="8">
        <v>9.7806000000000004E-2</v>
      </c>
      <c r="K192" s="8">
        <v>0.103453</v>
      </c>
      <c r="L192" s="8">
        <v>0.107178</v>
      </c>
      <c r="M192" s="8">
        <v>0.11063800000000001</v>
      </c>
      <c r="N192" s="8">
        <v>0.112426</v>
      </c>
      <c r="O192" s="8">
        <v>0.114077</v>
      </c>
      <c r="P192" s="8">
        <v>0.113903</v>
      </c>
      <c r="Q192" s="8">
        <v>0.11233799999999999</v>
      </c>
      <c r="R192" s="8">
        <v>0.10959000000000001</v>
      </c>
      <c r="S192" s="8">
        <v>0.10671</v>
      </c>
      <c r="T192" s="8">
        <v>0.104708</v>
      </c>
    </row>
    <row r="193" spans="1:20" x14ac:dyDescent="0.3">
      <c r="A193" s="8" t="s">
        <v>758</v>
      </c>
      <c r="B193" s="8" t="s">
        <v>740</v>
      </c>
      <c r="C193" s="8" t="s">
        <v>765</v>
      </c>
      <c r="D193" s="8" t="s">
        <v>759</v>
      </c>
      <c r="E193" s="8" t="s">
        <v>760</v>
      </c>
      <c r="F193" s="8">
        <v>5.3680829999999995</v>
      </c>
      <c r="G193" s="8">
        <v>6.6195890000000004</v>
      </c>
      <c r="H193" s="8">
        <v>8.0103109999999997</v>
      </c>
      <c r="I193" s="8">
        <v>9.5282739999999997</v>
      </c>
      <c r="J193" s="8">
        <v>11.181691000000001</v>
      </c>
      <c r="K193" s="8">
        <v>12.983984000000001</v>
      </c>
      <c r="L193" s="8">
        <v>14.998197000000001</v>
      </c>
      <c r="M193" s="8">
        <v>17.17642</v>
      </c>
      <c r="N193" s="8">
        <v>19.512799999999999</v>
      </c>
      <c r="O193" s="8">
        <v>21.874317999999999</v>
      </c>
      <c r="P193" s="8">
        <v>24.197435000000002</v>
      </c>
      <c r="Q193" s="8">
        <v>26.449270000000002</v>
      </c>
      <c r="R193" s="8">
        <v>28.522450000000003</v>
      </c>
      <c r="S193" s="8">
        <v>30.366602</v>
      </c>
      <c r="T193" s="8">
        <v>28.628829000000003</v>
      </c>
    </row>
    <row r="194" spans="1:20" x14ac:dyDescent="0.3">
      <c r="A194" s="8" t="s">
        <v>758</v>
      </c>
      <c r="B194" s="8" t="s">
        <v>740</v>
      </c>
      <c r="C194" s="8" t="s">
        <v>732</v>
      </c>
      <c r="D194" s="8" t="s">
        <v>759</v>
      </c>
      <c r="E194" s="8" t="s">
        <v>760</v>
      </c>
      <c r="F194" s="8">
        <v>2.6658000000000001E-2</v>
      </c>
      <c r="G194" s="8">
        <v>2.9065999999999998E-2</v>
      </c>
      <c r="H194" s="8">
        <v>3.1934999999999998E-2</v>
      </c>
      <c r="I194" s="8">
        <v>4.4590000000000005E-2</v>
      </c>
      <c r="J194" s="8">
        <v>6.1688000000000007E-2</v>
      </c>
      <c r="K194" s="8">
        <v>7.9680000000000015E-2</v>
      </c>
      <c r="L194" s="8">
        <v>9.5784999999999995E-2</v>
      </c>
      <c r="M194" s="8">
        <v>0.10179200000000001</v>
      </c>
      <c r="N194" s="8">
        <v>0.10063200000000001</v>
      </c>
      <c r="O194" s="8">
        <v>0.102867</v>
      </c>
      <c r="P194" s="8">
        <v>0.108265</v>
      </c>
      <c r="Q194" s="8">
        <v>0.10645399999999999</v>
      </c>
      <c r="R194" s="8">
        <v>0.106462</v>
      </c>
      <c r="S194" s="8">
        <v>0.103059</v>
      </c>
      <c r="T194" s="8">
        <v>0.10054399999999999</v>
      </c>
    </row>
    <row r="195" spans="1:20" x14ac:dyDescent="0.3">
      <c r="A195" s="8" t="s">
        <v>758</v>
      </c>
      <c r="B195" s="8" t="s">
        <v>740</v>
      </c>
      <c r="C195" s="8" t="s">
        <v>234</v>
      </c>
      <c r="D195" s="8" t="s">
        <v>759</v>
      </c>
      <c r="E195" s="8" t="s">
        <v>760</v>
      </c>
      <c r="F195" s="8">
        <v>24.829987000000003</v>
      </c>
      <c r="G195" s="8">
        <v>27.885737000000002</v>
      </c>
      <c r="H195" s="8">
        <v>32.229838999999998</v>
      </c>
      <c r="I195" s="8">
        <v>36.995773</v>
      </c>
      <c r="J195" s="8">
        <v>41.466245999999998</v>
      </c>
      <c r="K195" s="8">
        <v>46.385072999999998</v>
      </c>
      <c r="L195" s="8">
        <v>52.323173000000004</v>
      </c>
      <c r="M195" s="8">
        <v>59.107722000000003</v>
      </c>
      <c r="N195" s="8">
        <v>66.191958</v>
      </c>
      <c r="O195" s="8">
        <v>73.142486000000005</v>
      </c>
      <c r="P195" s="8">
        <v>78.590623999999991</v>
      </c>
      <c r="Q195" s="8">
        <v>82.731527</v>
      </c>
      <c r="R195" s="8">
        <v>86.944960999999992</v>
      </c>
      <c r="S195" s="8">
        <v>91.717010999999999</v>
      </c>
      <c r="T195" s="8">
        <v>96.203591000000003</v>
      </c>
    </row>
    <row r="196" spans="1:20" x14ac:dyDescent="0.3">
      <c r="A196" s="8" t="s">
        <v>758</v>
      </c>
      <c r="B196" s="8" t="s">
        <v>740</v>
      </c>
      <c r="C196" s="8" t="s">
        <v>702</v>
      </c>
      <c r="D196" s="8" t="s">
        <v>759</v>
      </c>
      <c r="E196" s="8" t="s">
        <v>760</v>
      </c>
      <c r="F196" s="8">
        <v>5.1124000000000003E-2</v>
      </c>
      <c r="G196" s="8">
        <v>5.6140000000000002E-2</v>
      </c>
      <c r="H196" s="8">
        <v>6.3699000000000006E-2</v>
      </c>
      <c r="I196" s="8">
        <v>7.3562000000000002E-2</v>
      </c>
      <c r="J196" s="8">
        <v>8.5659000000000013E-2</v>
      </c>
      <c r="K196" s="8">
        <v>0.100368</v>
      </c>
      <c r="L196" s="8">
        <v>0.11682500000000001</v>
      </c>
      <c r="M196" s="8">
        <v>0.131469</v>
      </c>
      <c r="N196" s="8">
        <v>0.14901300000000001</v>
      </c>
      <c r="O196" s="8">
        <v>0.168575</v>
      </c>
      <c r="P196" s="8">
        <v>0.18964900000000001</v>
      </c>
      <c r="Q196" s="8">
        <v>0.21500899999999998</v>
      </c>
      <c r="R196" s="8">
        <v>0.24257200000000001</v>
      </c>
      <c r="S196" s="8">
        <v>0.27316000000000001</v>
      </c>
      <c r="T196" s="8">
        <v>0.30798000000000003</v>
      </c>
    </row>
    <row r="197" spans="1:20" x14ac:dyDescent="0.3">
      <c r="A197" s="8" t="s">
        <v>758</v>
      </c>
      <c r="B197" s="8" t="s">
        <v>740</v>
      </c>
      <c r="C197" s="8" t="s">
        <v>706</v>
      </c>
      <c r="D197" s="8" t="s">
        <v>759</v>
      </c>
      <c r="E197" s="8" t="s">
        <v>760</v>
      </c>
      <c r="F197" s="8">
        <v>8.7016999999999997E-2</v>
      </c>
      <c r="G197" s="8">
        <v>9.7007999999999997E-2</v>
      </c>
      <c r="H197" s="8">
        <v>0.111568</v>
      </c>
      <c r="I197" s="8">
        <v>0.12812200000000001</v>
      </c>
      <c r="J197" s="8">
        <v>0.14161600000000002</v>
      </c>
      <c r="K197" s="8">
        <v>0.15376699999999999</v>
      </c>
      <c r="L197" s="8">
        <v>0.164212</v>
      </c>
      <c r="M197" s="8">
        <v>0.16665700000000003</v>
      </c>
      <c r="N197" s="8">
        <v>0.16805900000000001</v>
      </c>
      <c r="O197" s="8">
        <v>0.17400000000000002</v>
      </c>
      <c r="P197" s="8">
        <v>0.183117</v>
      </c>
      <c r="Q197" s="8">
        <v>0.18836600000000001</v>
      </c>
      <c r="R197" s="8">
        <v>0.19386300000000001</v>
      </c>
      <c r="S197" s="8">
        <v>0.20266200000000001</v>
      </c>
      <c r="T197" s="8">
        <v>0.21306200000000003</v>
      </c>
    </row>
    <row r="198" spans="1:20" x14ac:dyDescent="0.3">
      <c r="A198" s="8" t="s">
        <v>758</v>
      </c>
      <c r="B198" s="8" t="s">
        <v>740</v>
      </c>
      <c r="C198" s="8" t="s">
        <v>734</v>
      </c>
      <c r="D198" s="8" t="s">
        <v>759</v>
      </c>
      <c r="E198" s="8" t="s">
        <v>760</v>
      </c>
      <c r="F198" s="8">
        <v>4.6786580000000004</v>
      </c>
      <c r="G198" s="8">
        <v>5.0504949999999997</v>
      </c>
      <c r="H198" s="8">
        <v>5.4917100000000003</v>
      </c>
      <c r="I198" s="8">
        <v>6.0338580000000004</v>
      </c>
      <c r="J198" s="8">
        <v>6.7560590000000005</v>
      </c>
      <c r="K198" s="8">
        <v>7.7393400000000003</v>
      </c>
      <c r="L198" s="8">
        <v>9.0476069999999993</v>
      </c>
      <c r="M198" s="8">
        <v>10.825234</v>
      </c>
      <c r="N198" s="8">
        <v>13.119088</v>
      </c>
      <c r="O198" s="8">
        <v>15.837243000000001</v>
      </c>
      <c r="P198" s="8">
        <v>18.370981</v>
      </c>
      <c r="Q198" s="8">
        <v>21.010025000000002</v>
      </c>
      <c r="R198" s="8">
        <v>24.382966</v>
      </c>
      <c r="S198" s="8">
        <v>28.139089999999999</v>
      </c>
      <c r="T198" s="8">
        <v>31.927133999999999</v>
      </c>
    </row>
    <row r="199" spans="1:20" x14ac:dyDescent="0.3">
      <c r="A199" s="8" t="s">
        <v>758</v>
      </c>
      <c r="B199" s="8" t="s">
        <v>740</v>
      </c>
      <c r="C199" s="8" t="s">
        <v>236</v>
      </c>
      <c r="D199" s="8" t="s">
        <v>759</v>
      </c>
      <c r="E199" s="8" t="s">
        <v>760</v>
      </c>
      <c r="F199" s="8">
        <v>12.907715</v>
      </c>
      <c r="G199" s="8">
        <v>14.420944</v>
      </c>
      <c r="H199" s="8">
        <v>16.300875999999999</v>
      </c>
      <c r="I199" s="8">
        <v>18.889108</v>
      </c>
      <c r="J199" s="8">
        <v>22.03444</v>
      </c>
      <c r="K199" s="8">
        <v>25.425311000000001</v>
      </c>
      <c r="L199" s="8">
        <v>29.076830999999999</v>
      </c>
      <c r="M199" s="8">
        <v>33.236040000000003</v>
      </c>
      <c r="N199" s="8">
        <v>39.302548999999999</v>
      </c>
      <c r="O199" s="8">
        <v>43.637266000000004</v>
      </c>
      <c r="P199" s="8">
        <v>46.606822000000001</v>
      </c>
      <c r="Q199" s="8">
        <v>48.787355000000005</v>
      </c>
      <c r="R199" s="8">
        <v>51.465550999999998</v>
      </c>
      <c r="S199" s="8">
        <v>55.219577000000001</v>
      </c>
      <c r="T199" s="8">
        <v>58.466146000000002</v>
      </c>
    </row>
    <row r="200" spans="1:20" x14ac:dyDescent="0.3">
      <c r="A200" s="8" t="s">
        <v>758</v>
      </c>
      <c r="B200" s="8" t="s">
        <v>740</v>
      </c>
      <c r="C200" s="8" t="s">
        <v>238</v>
      </c>
      <c r="D200" s="8" t="s">
        <v>759</v>
      </c>
      <c r="E200" s="8" t="s">
        <v>760</v>
      </c>
      <c r="F200" s="8">
        <v>2.2857179999999997</v>
      </c>
      <c r="G200" s="8">
        <v>2.6375590000000004</v>
      </c>
      <c r="H200" s="8">
        <v>3.0704160000000003</v>
      </c>
      <c r="I200" s="8">
        <v>3.5991590000000002</v>
      </c>
      <c r="J200" s="8">
        <v>4.223776</v>
      </c>
      <c r="K200" s="8">
        <v>4.8583869999999996</v>
      </c>
      <c r="L200" s="8">
        <v>5.6355690000000003</v>
      </c>
      <c r="M200" s="8">
        <v>6.5859810000000003</v>
      </c>
      <c r="N200" s="8">
        <v>7.5892550000000005</v>
      </c>
      <c r="O200" s="8">
        <v>8.5778880000000015</v>
      </c>
      <c r="P200" s="8">
        <v>9.750273</v>
      </c>
      <c r="Q200" s="8">
        <v>11.364793000000001</v>
      </c>
      <c r="R200" s="8">
        <v>13.5562</v>
      </c>
      <c r="S200" s="8">
        <v>15.991295000000001</v>
      </c>
      <c r="T200" s="8">
        <v>18.654917000000001</v>
      </c>
    </row>
    <row r="201" spans="1:20" x14ac:dyDescent="0.3">
      <c r="A201" s="8" t="s">
        <v>758</v>
      </c>
      <c r="B201" s="8" t="s">
        <v>740</v>
      </c>
      <c r="C201" s="8" t="s">
        <v>239</v>
      </c>
      <c r="D201" s="8" t="s">
        <v>759</v>
      </c>
      <c r="E201" s="8" t="s">
        <v>760</v>
      </c>
      <c r="F201" s="8">
        <v>2.7463960000000003</v>
      </c>
      <c r="G201" s="8">
        <v>3.2134899999999997</v>
      </c>
      <c r="H201" s="8">
        <v>3.7474720000000001</v>
      </c>
      <c r="I201" s="8">
        <v>4.377599</v>
      </c>
      <c r="J201" s="8">
        <v>5.1246620000000007</v>
      </c>
      <c r="K201" s="8">
        <v>6.0016499999999997</v>
      </c>
      <c r="L201" s="8">
        <v>6.7347979999999996</v>
      </c>
      <c r="M201" s="8">
        <v>8.5441350000000007</v>
      </c>
      <c r="N201" s="8">
        <v>9.9809990000000006</v>
      </c>
      <c r="O201" s="8">
        <v>10.901511000000001</v>
      </c>
      <c r="P201" s="8">
        <v>11.791214</v>
      </c>
      <c r="Q201" s="8">
        <v>12.195577999999999</v>
      </c>
      <c r="R201" s="8">
        <v>12.753007999999999</v>
      </c>
      <c r="S201" s="8">
        <v>14.006288000000001</v>
      </c>
      <c r="T201" s="8">
        <v>15.505219</v>
      </c>
    </row>
  </sheetData>
  <autoFilter ref="A1:T201" xr:uid="{2AEB66C0-72C0-4145-AB6A-D6B699D1DB5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9C8D-A25B-4682-8E72-12F4CCFDCC5C}">
  <dimension ref="A1:N193"/>
  <sheetViews>
    <sheetView workbookViewId="0">
      <selection activeCell="C1" sqref="C1"/>
    </sheetView>
  </sheetViews>
  <sheetFormatPr defaultColWidth="8.77734375" defaultRowHeight="15.6" x14ac:dyDescent="0.3"/>
  <cols>
    <col min="1" max="16384" width="8.77734375" style="8"/>
  </cols>
  <sheetData>
    <row r="1" spans="1:14" x14ac:dyDescent="0.3">
      <c r="A1" s="8" t="s">
        <v>735</v>
      </c>
      <c r="B1" s="8" t="s">
        <v>736</v>
      </c>
      <c r="C1" s="8" t="s">
        <v>737</v>
      </c>
      <c r="D1" s="8" t="s">
        <v>738</v>
      </c>
      <c r="E1" s="8" t="s">
        <v>718</v>
      </c>
      <c r="F1" s="8" t="s">
        <v>272</v>
      </c>
      <c r="G1" s="8" t="s">
        <v>277</v>
      </c>
      <c r="H1" s="8" t="s">
        <v>282</v>
      </c>
      <c r="I1" s="8" t="s">
        <v>287</v>
      </c>
      <c r="J1" s="8" t="s">
        <v>292</v>
      </c>
      <c r="K1" s="8" t="s">
        <v>297</v>
      </c>
      <c r="L1" s="8" t="s">
        <v>302</v>
      </c>
      <c r="M1" s="8" t="s">
        <v>307</v>
      </c>
      <c r="N1" s="8" t="s">
        <v>312</v>
      </c>
    </row>
    <row r="2" spans="1:14" x14ac:dyDescent="0.3">
      <c r="A2" s="8" t="s">
        <v>739</v>
      </c>
      <c r="B2" s="8" t="s">
        <v>740</v>
      </c>
      <c r="C2" s="8" t="s">
        <v>317</v>
      </c>
      <c r="D2" s="8" t="s">
        <v>754</v>
      </c>
      <c r="E2" s="8" t="s">
        <v>755</v>
      </c>
      <c r="F2" s="8" t="s">
        <v>743</v>
      </c>
      <c r="G2" s="8" t="s">
        <v>743</v>
      </c>
      <c r="H2" s="8">
        <v>2.1167699999999998</v>
      </c>
      <c r="I2" s="8">
        <v>2.88042</v>
      </c>
      <c r="J2" s="8">
        <v>3.4746299999999999</v>
      </c>
      <c r="K2" s="8">
        <v>3.8749700000000002</v>
      </c>
      <c r="L2" s="8">
        <v>3.5345200000000001</v>
      </c>
      <c r="M2" s="8">
        <v>3.98373</v>
      </c>
      <c r="N2" s="8">
        <v>3.1160600000000001</v>
      </c>
    </row>
    <row r="3" spans="1:14" x14ac:dyDescent="0.3">
      <c r="A3" s="8" t="s">
        <v>739</v>
      </c>
      <c r="B3" s="8" t="s">
        <v>740</v>
      </c>
      <c r="C3" s="8" t="s">
        <v>2</v>
      </c>
      <c r="D3" s="8" t="s">
        <v>754</v>
      </c>
      <c r="E3" s="8" t="s">
        <v>755</v>
      </c>
      <c r="F3" s="8" t="s">
        <v>743</v>
      </c>
      <c r="G3" s="8" t="s">
        <v>743</v>
      </c>
      <c r="H3" s="8">
        <v>68.524299999999997</v>
      </c>
      <c r="I3" s="8">
        <v>58.637700000000002</v>
      </c>
      <c r="J3" s="8">
        <v>77.118200000000002</v>
      </c>
      <c r="K3" s="8">
        <v>120.066</v>
      </c>
      <c r="L3" s="8">
        <v>179.52</v>
      </c>
      <c r="M3" s="8">
        <v>223.90799999999999</v>
      </c>
      <c r="N3" s="8">
        <v>201.39500000000001</v>
      </c>
    </row>
    <row r="4" spans="1:14" x14ac:dyDescent="0.3">
      <c r="A4" s="8" t="s">
        <v>739</v>
      </c>
      <c r="B4" s="8" t="s">
        <v>740</v>
      </c>
      <c r="C4" s="8" t="s">
        <v>4</v>
      </c>
      <c r="D4" s="8" t="s">
        <v>754</v>
      </c>
      <c r="E4" s="8" t="s">
        <v>755</v>
      </c>
      <c r="F4" s="8">
        <v>14.8499</v>
      </c>
      <c r="G4" s="8">
        <v>16.405999999999999</v>
      </c>
      <c r="H4" s="8">
        <v>16.7455</v>
      </c>
      <c r="I4" s="8">
        <v>14.609500000000001</v>
      </c>
      <c r="J4" s="8">
        <v>18.654699999999998</v>
      </c>
      <c r="K4" s="8">
        <v>24.814399999999999</v>
      </c>
      <c r="L4" s="8">
        <v>32.091700000000003</v>
      </c>
      <c r="M4" s="8">
        <v>35.068899999999999</v>
      </c>
      <c r="N4" s="8">
        <v>38.618600000000001</v>
      </c>
    </row>
    <row r="5" spans="1:14" x14ac:dyDescent="0.3">
      <c r="A5" s="8" t="s">
        <v>739</v>
      </c>
      <c r="B5" s="8" t="s">
        <v>740</v>
      </c>
      <c r="C5" s="8" t="s">
        <v>6</v>
      </c>
      <c r="D5" s="8" t="s">
        <v>754</v>
      </c>
      <c r="E5" s="8" t="s">
        <v>755</v>
      </c>
      <c r="F5" s="8">
        <v>169.91200000000001</v>
      </c>
      <c r="G5" s="8">
        <v>164.34200000000001</v>
      </c>
      <c r="H5" s="8">
        <v>194.55</v>
      </c>
      <c r="I5" s="8">
        <v>235.524</v>
      </c>
      <c r="J5" s="8">
        <v>317.06900000000002</v>
      </c>
      <c r="K5" s="8">
        <v>411.65</v>
      </c>
      <c r="L5" s="8">
        <v>480.29399999999998</v>
      </c>
      <c r="M5" s="8">
        <v>607.03399999999999</v>
      </c>
      <c r="N5" s="8">
        <v>628.45500000000004</v>
      </c>
    </row>
    <row r="6" spans="1:14" x14ac:dyDescent="0.3">
      <c r="A6" s="8" t="s">
        <v>739</v>
      </c>
      <c r="B6" s="8" t="s">
        <v>740</v>
      </c>
      <c r="C6" s="8" t="s">
        <v>8</v>
      </c>
      <c r="D6" s="8" t="s">
        <v>754</v>
      </c>
      <c r="E6" s="8" t="s">
        <v>755</v>
      </c>
      <c r="F6" s="8">
        <v>513.07000000000005</v>
      </c>
      <c r="G6" s="8">
        <v>461.13</v>
      </c>
      <c r="H6" s="8">
        <v>461.3</v>
      </c>
      <c r="I6" s="8">
        <v>604.596</v>
      </c>
      <c r="J6" s="8">
        <v>576.77</v>
      </c>
      <c r="K6" s="8">
        <v>634.572</v>
      </c>
      <c r="L6" s="8">
        <v>805.77800000000002</v>
      </c>
      <c r="M6" s="8">
        <v>867.02099999999996</v>
      </c>
      <c r="N6" s="8">
        <v>750.58</v>
      </c>
    </row>
    <row r="7" spans="1:14" x14ac:dyDescent="0.3">
      <c r="A7" s="8" t="s">
        <v>739</v>
      </c>
      <c r="B7" s="8" t="s">
        <v>740</v>
      </c>
      <c r="C7" s="8" t="s">
        <v>10</v>
      </c>
      <c r="D7" s="8" t="s">
        <v>754</v>
      </c>
      <c r="E7" s="8" t="s">
        <v>755</v>
      </c>
      <c r="F7" s="8" t="s">
        <v>743</v>
      </c>
      <c r="G7" s="8" t="s">
        <v>743</v>
      </c>
      <c r="H7" s="8">
        <v>18.3279</v>
      </c>
      <c r="I7" s="8">
        <v>9.6871299999999998</v>
      </c>
      <c r="J7" s="8">
        <v>12.224299999999999</v>
      </c>
      <c r="K7" s="8">
        <v>22.088799999999999</v>
      </c>
      <c r="L7" s="8">
        <v>26.688400000000001</v>
      </c>
      <c r="M7" s="8">
        <v>33.117800000000003</v>
      </c>
      <c r="N7" s="8">
        <v>37.516599999999997</v>
      </c>
    </row>
    <row r="8" spans="1:14" x14ac:dyDescent="0.3">
      <c r="A8" s="8" t="s">
        <v>739</v>
      </c>
      <c r="B8" s="8" t="s">
        <v>740</v>
      </c>
      <c r="C8" s="8" t="s">
        <v>336</v>
      </c>
      <c r="D8" s="8" t="s">
        <v>754</v>
      </c>
      <c r="E8" s="8" t="s">
        <v>755</v>
      </c>
      <c r="F8" s="8">
        <v>0.54986000000000002</v>
      </c>
      <c r="G8" s="8">
        <v>0.71291099999999996</v>
      </c>
      <c r="H8" s="8">
        <v>0.96673699999999996</v>
      </c>
      <c r="I8" s="8">
        <v>1.0731200000000001</v>
      </c>
      <c r="J8" s="8">
        <v>1.39171</v>
      </c>
      <c r="K8" s="8">
        <v>1.6033300000000001</v>
      </c>
      <c r="L8" s="8">
        <v>1.6027499999999999</v>
      </c>
      <c r="M8" s="8">
        <v>1.7397800000000001</v>
      </c>
      <c r="N8" s="8">
        <v>1.7409400000000002</v>
      </c>
    </row>
    <row r="9" spans="1:14" x14ac:dyDescent="0.3">
      <c r="A9" s="8" t="s">
        <v>739</v>
      </c>
      <c r="B9" s="8" t="s">
        <v>740</v>
      </c>
      <c r="C9" s="8" t="s">
        <v>12</v>
      </c>
      <c r="D9" s="8" t="s">
        <v>754</v>
      </c>
      <c r="E9" s="8" t="s">
        <v>755</v>
      </c>
      <c r="F9" s="8">
        <v>390.08699999999999</v>
      </c>
      <c r="G9" s="8">
        <v>452.53100000000001</v>
      </c>
      <c r="H9" s="8">
        <v>536.00099999999998</v>
      </c>
      <c r="I9" s="8">
        <v>612.702</v>
      </c>
      <c r="J9" s="8">
        <v>718.50099999999998</v>
      </c>
      <c r="K9" s="8">
        <v>848.06600000000003</v>
      </c>
      <c r="L9" s="8">
        <v>972.93600000000004</v>
      </c>
      <c r="M9" s="8">
        <v>1111.68</v>
      </c>
      <c r="N9" s="8">
        <v>1202.79</v>
      </c>
    </row>
    <row r="10" spans="1:14" x14ac:dyDescent="0.3">
      <c r="A10" s="8" t="s">
        <v>739</v>
      </c>
      <c r="B10" s="8" t="s">
        <v>740</v>
      </c>
      <c r="C10" s="8" t="s">
        <v>14</v>
      </c>
      <c r="D10" s="8" t="s">
        <v>754</v>
      </c>
      <c r="E10" s="8" t="s">
        <v>755</v>
      </c>
      <c r="F10" s="8">
        <v>229.744</v>
      </c>
      <c r="G10" s="8">
        <v>247.13200000000001</v>
      </c>
      <c r="H10" s="8">
        <v>286.93599999999998</v>
      </c>
      <c r="I10" s="8">
        <v>320.26100000000002</v>
      </c>
      <c r="J10" s="8">
        <v>350.226</v>
      </c>
      <c r="K10" s="8">
        <v>382.17599999999999</v>
      </c>
      <c r="L10" s="8">
        <v>407.96100000000001</v>
      </c>
      <c r="M10" s="8">
        <v>431.00200000000001</v>
      </c>
      <c r="N10" s="8">
        <v>435.834</v>
      </c>
    </row>
    <row r="11" spans="1:14" x14ac:dyDescent="0.3">
      <c r="A11" s="8" t="s">
        <v>739</v>
      </c>
      <c r="B11" s="8" t="s">
        <v>740</v>
      </c>
      <c r="C11" s="8" t="s">
        <v>16</v>
      </c>
      <c r="D11" s="8" t="s">
        <v>754</v>
      </c>
      <c r="E11" s="8" t="s">
        <v>755</v>
      </c>
      <c r="F11" s="8" t="s">
        <v>743</v>
      </c>
      <c r="G11" s="8" t="s">
        <v>743</v>
      </c>
      <c r="H11" s="8">
        <v>54.652900000000002</v>
      </c>
      <c r="I11" s="8">
        <v>24.019500000000001</v>
      </c>
      <c r="J11" s="8">
        <v>33.637799999999999</v>
      </c>
      <c r="K11" s="8">
        <v>59.658099999999997</v>
      </c>
      <c r="L11" s="8">
        <v>127.42400000000001</v>
      </c>
      <c r="M11" s="8">
        <v>143.33099999999999</v>
      </c>
      <c r="N11" s="8">
        <v>138.624</v>
      </c>
    </row>
    <row r="12" spans="1:14" x14ac:dyDescent="0.3">
      <c r="A12" s="8" t="s">
        <v>739</v>
      </c>
      <c r="B12" s="8" t="s">
        <v>740</v>
      </c>
      <c r="C12" s="8" t="s">
        <v>341</v>
      </c>
      <c r="D12" s="8" t="s">
        <v>754</v>
      </c>
      <c r="E12" s="8" t="s">
        <v>755</v>
      </c>
      <c r="F12" s="8">
        <v>3.7272099999999999</v>
      </c>
      <c r="G12" s="8">
        <v>4.80321</v>
      </c>
      <c r="H12" s="8">
        <v>5.7622200000000001</v>
      </c>
      <c r="I12" s="8">
        <v>5.1120700000000001</v>
      </c>
      <c r="J12" s="8">
        <v>5.0936199999999996</v>
      </c>
      <c r="K12" s="8">
        <v>5.8819800000000004</v>
      </c>
      <c r="L12" s="8">
        <v>7.3406000000000002</v>
      </c>
      <c r="M12" s="8">
        <v>8.3836200000000005</v>
      </c>
      <c r="N12" s="8">
        <v>8.6956699999999998</v>
      </c>
    </row>
    <row r="13" spans="1:14" x14ac:dyDescent="0.3">
      <c r="A13" s="8" t="s">
        <v>739</v>
      </c>
      <c r="B13" s="8" t="s">
        <v>740</v>
      </c>
      <c r="C13" s="8" t="s">
        <v>17</v>
      </c>
      <c r="D13" s="8" t="s">
        <v>754</v>
      </c>
      <c r="E13" s="8" t="s">
        <v>755</v>
      </c>
      <c r="F13" s="8">
        <v>290.04500000000002</v>
      </c>
      <c r="G13" s="8">
        <v>304.00099999999998</v>
      </c>
      <c r="H13" s="8">
        <v>353.911</v>
      </c>
      <c r="I13" s="8">
        <v>383.01100000000002</v>
      </c>
      <c r="J13" s="8">
        <v>412.03399999999999</v>
      </c>
      <c r="K13" s="8">
        <v>453.63799999999998</v>
      </c>
      <c r="L13" s="8">
        <v>488.27100000000002</v>
      </c>
      <c r="M13" s="8">
        <v>520.86599999999999</v>
      </c>
      <c r="N13" s="8">
        <v>528.495</v>
      </c>
    </row>
    <row r="14" spans="1:14" x14ac:dyDescent="0.3">
      <c r="A14" s="8" t="s">
        <v>739</v>
      </c>
      <c r="B14" s="8" t="s">
        <v>740</v>
      </c>
      <c r="C14" s="8" t="s">
        <v>19</v>
      </c>
      <c r="D14" s="8" t="s">
        <v>754</v>
      </c>
      <c r="E14" s="8" t="s">
        <v>755</v>
      </c>
      <c r="F14" s="8">
        <v>9.3258399999999995</v>
      </c>
      <c r="G14" s="8">
        <v>9.9217300000000002</v>
      </c>
      <c r="H14" s="8">
        <v>10.9313</v>
      </c>
      <c r="I14" s="8">
        <v>13.4313</v>
      </c>
      <c r="J14" s="8">
        <v>17.0153</v>
      </c>
      <c r="K14" s="8">
        <v>20.607199999999999</v>
      </c>
      <c r="L14" s="8">
        <v>24.8812</v>
      </c>
      <c r="M14" s="8">
        <v>31.156400000000001</v>
      </c>
      <c r="N14" s="8">
        <v>40.286999999999999</v>
      </c>
    </row>
    <row r="15" spans="1:14" x14ac:dyDescent="0.3">
      <c r="A15" s="8" t="s">
        <v>739</v>
      </c>
      <c r="B15" s="8" t="s">
        <v>740</v>
      </c>
      <c r="C15" s="8" t="s">
        <v>345</v>
      </c>
      <c r="D15" s="8" t="s">
        <v>754</v>
      </c>
      <c r="E15" s="8" t="s">
        <v>755</v>
      </c>
      <c r="F15" s="8">
        <v>6.7019900000000003</v>
      </c>
      <c r="G15" s="8">
        <v>7.7945500000000001</v>
      </c>
      <c r="H15" s="8">
        <v>9.0175400000000003</v>
      </c>
      <c r="I15" s="8">
        <v>10.9244</v>
      </c>
      <c r="J15" s="8">
        <v>15.1311</v>
      </c>
      <c r="K15" s="8">
        <v>20.602499999999999</v>
      </c>
      <c r="L15" s="8">
        <v>26.9238</v>
      </c>
      <c r="M15" s="8">
        <v>35.050800000000002</v>
      </c>
      <c r="N15" s="8">
        <v>45.297899999999998</v>
      </c>
    </row>
    <row r="16" spans="1:14" x14ac:dyDescent="0.3">
      <c r="A16" s="8" t="s">
        <v>739</v>
      </c>
      <c r="B16" s="8" t="s">
        <v>740</v>
      </c>
      <c r="C16" s="8" t="s">
        <v>21</v>
      </c>
      <c r="D16" s="8" t="s">
        <v>754</v>
      </c>
      <c r="E16" s="8" t="s">
        <v>755</v>
      </c>
      <c r="F16" s="8">
        <v>138.12700000000001</v>
      </c>
      <c r="G16" s="8">
        <v>165.767</v>
      </c>
      <c r="H16" s="8">
        <v>199.07900000000001</v>
      </c>
      <c r="I16" s="8">
        <v>246.79300000000001</v>
      </c>
      <c r="J16" s="8">
        <v>312.73399999999998</v>
      </c>
      <c r="K16" s="8">
        <v>400.68799999999999</v>
      </c>
      <c r="L16" s="8">
        <v>537.97699999999998</v>
      </c>
      <c r="M16" s="8">
        <v>730.94799999999998</v>
      </c>
      <c r="N16" s="8">
        <v>999.53499999999997</v>
      </c>
    </row>
    <row r="17" spans="1:14" x14ac:dyDescent="0.3">
      <c r="A17" s="8" t="s">
        <v>739</v>
      </c>
      <c r="B17" s="8" t="s">
        <v>740</v>
      </c>
      <c r="C17" s="8" t="s">
        <v>23</v>
      </c>
      <c r="D17" s="8" t="s">
        <v>754</v>
      </c>
      <c r="E17" s="8" t="s">
        <v>755</v>
      </c>
      <c r="F17" s="8">
        <v>113.902</v>
      </c>
      <c r="G17" s="8">
        <v>137.072</v>
      </c>
      <c r="H17" s="8">
        <v>139.96199999999999</v>
      </c>
      <c r="I17" s="8">
        <v>95.8215</v>
      </c>
      <c r="J17" s="8">
        <v>86.091800000000006</v>
      </c>
      <c r="K17" s="8">
        <v>113.557</v>
      </c>
      <c r="L17" s="8">
        <v>134.732</v>
      </c>
      <c r="M17" s="8">
        <v>143.928</v>
      </c>
      <c r="N17" s="8">
        <v>156.364</v>
      </c>
    </row>
    <row r="18" spans="1:14" x14ac:dyDescent="0.3">
      <c r="A18" s="8" t="s">
        <v>739</v>
      </c>
      <c r="B18" s="8" t="s">
        <v>740</v>
      </c>
      <c r="C18" s="8" t="s">
        <v>25</v>
      </c>
      <c r="D18" s="8" t="s">
        <v>754</v>
      </c>
      <c r="E18" s="8" t="s">
        <v>755</v>
      </c>
      <c r="F18" s="8">
        <v>15.8672</v>
      </c>
      <c r="G18" s="8">
        <v>19.164200000000001</v>
      </c>
      <c r="H18" s="8">
        <v>21.0703</v>
      </c>
      <c r="I18" s="8">
        <v>26.130400000000002</v>
      </c>
      <c r="J18" s="8">
        <v>32.833300000000001</v>
      </c>
      <c r="K18" s="8">
        <v>42.226599999999998</v>
      </c>
      <c r="L18" s="8">
        <v>55.340400000000002</v>
      </c>
      <c r="M18" s="8">
        <v>65.998699999999999</v>
      </c>
      <c r="N18" s="8">
        <v>70.909899999999993</v>
      </c>
    </row>
    <row r="19" spans="1:14" x14ac:dyDescent="0.3">
      <c r="A19" s="8" t="s">
        <v>739</v>
      </c>
      <c r="B19" s="8" t="s">
        <v>740</v>
      </c>
      <c r="C19" s="8" t="s">
        <v>719</v>
      </c>
      <c r="D19" s="8" t="s">
        <v>754</v>
      </c>
      <c r="E19" s="8" t="s">
        <v>755</v>
      </c>
      <c r="F19" s="8">
        <v>7.1193</v>
      </c>
      <c r="G19" s="8">
        <v>8.3664699999999996</v>
      </c>
      <c r="H19" s="8">
        <v>9.4091000000000005</v>
      </c>
      <c r="I19" s="8">
        <v>9.3637700000000006</v>
      </c>
      <c r="J19" s="8">
        <v>11.9687</v>
      </c>
      <c r="K19" s="8">
        <v>12.9925</v>
      </c>
      <c r="L19" s="8">
        <v>12.841100000000001</v>
      </c>
      <c r="M19" s="8">
        <v>13.3607</v>
      </c>
      <c r="N19" s="8">
        <v>10.622</v>
      </c>
    </row>
    <row r="20" spans="1:14" x14ac:dyDescent="0.3">
      <c r="A20" s="8" t="s">
        <v>739</v>
      </c>
      <c r="B20" s="8" t="s">
        <v>740</v>
      </c>
      <c r="C20" s="8" t="s">
        <v>27</v>
      </c>
      <c r="D20" s="8" t="s">
        <v>754</v>
      </c>
      <c r="E20" s="8" t="s">
        <v>755</v>
      </c>
      <c r="F20" s="8" t="s">
        <v>743</v>
      </c>
      <c r="G20" s="8" t="s">
        <v>743</v>
      </c>
      <c r="H20" s="8" t="s">
        <v>743</v>
      </c>
      <c r="I20" s="8">
        <v>10.6305</v>
      </c>
      <c r="J20" s="8">
        <v>27.883199999999999</v>
      </c>
      <c r="K20" s="8">
        <v>34.491</v>
      </c>
      <c r="L20" s="8">
        <v>40.772500000000001</v>
      </c>
      <c r="M20" s="8">
        <v>44.116799999999998</v>
      </c>
      <c r="N20" s="8">
        <v>48.719299999999997</v>
      </c>
    </row>
    <row r="21" spans="1:14" x14ac:dyDescent="0.3">
      <c r="A21" s="8" t="s">
        <v>739</v>
      </c>
      <c r="B21" s="8" t="s">
        <v>740</v>
      </c>
      <c r="C21" s="8" t="s">
        <v>29</v>
      </c>
      <c r="D21" s="8" t="s">
        <v>754</v>
      </c>
      <c r="E21" s="8" t="s">
        <v>755</v>
      </c>
      <c r="F21" s="8" t="s">
        <v>743</v>
      </c>
      <c r="G21" s="8" t="s">
        <v>743</v>
      </c>
      <c r="H21" s="8">
        <v>90.635999999999996</v>
      </c>
      <c r="I21" s="8">
        <v>59.2958</v>
      </c>
      <c r="J21" s="8">
        <v>80.496300000000005</v>
      </c>
      <c r="K21" s="8">
        <v>115.601</v>
      </c>
      <c r="L21" s="8">
        <v>164.44499999999999</v>
      </c>
      <c r="M21" s="8">
        <v>173.73400000000001</v>
      </c>
      <c r="N21" s="8">
        <v>180.446</v>
      </c>
    </row>
    <row r="22" spans="1:14" x14ac:dyDescent="0.3">
      <c r="A22" s="8" t="s">
        <v>739</v>
      </c>
      <c r="B22" s="8" t="s">
        <v>740</v>
      </c>
      <c r="C22" s="8" t="s">
        <v>354</v>
      </c>
      <c r="D22" s="8" t="s">
        <v>754</v>
      </c>
      <c r="E22" s="8" t="s">
        <v>755</v>
      </c>
      <c r="F22" s="8">
        <v>0.5809200000000001</v>
      </c>
      <c r="G22" s="8">
        <v>0.62678199999999995</v>
      </c>
      <c r="H22" s="8">
        <v>1.1671899999999999</v>
      </c>
      <c r="I22" s="8">
        <v>1.5615999999999999</v>
      </c>
      <c r="J22" s="8">
        <v>2.0920700000000001</v>
      </c>
      <c r="K22" s="8">
        <v>2.7050999999999998</v>
      </c>
      <c r="L22" s="8">
        <v>2.8954300000000002</v>
      </c>
      <c r="M22" s="8">
        <v>3.3785099999999999</v>
      </c>
      <c r="N22" s="8">
        <v>3.0421800000000001</v>
      </c>
    </row>
    <row r="23" spans="1:14" x14ac:dyDescent="0.3">
      <c r="A23" s="8" t="s">
        <v>739</v>
      </c>
      <c r="B23" s="8" t="s">
        <v>740</v>
      </c>
      <c r="C23" s="8" t="s">
        <v>31</v>
      </c>
      <c r="D23" s="8" t="s">
        <v>754</v>
      </c>
      <c r="E23" s="8" t="s">
        <v>755</v>
      </c>
      <c r="F23" s="8">
        <v>31.1143</v>
      </c>
      <c r="G23" s="8">
        <v>28.226800000000001</v>
      </c>
      <c r="H23" s="8">
        <v>31.491499999999998</v>
      </c>
      <c r="I23" s="8">
        <v>38.494199999999999</v>
      </c>
      <c r="J23" s="8">
        <v>45.5886</v>
      </c>
      <c r="K23" s="8">
        <v>53.0807</v>
      </c>
      <c r="L23" s="8">
        <v>66.449799999999996</v>
      </c>
      <c r="M23" s="8">
        <v>86.788899999999998</v>
      </c>
      <c r="N23" s="8">
        <v>91.668700000000001</v>
      </c>
    </row>
    <row r="24" spans="1:14" x14ac:dyDescent="0.3">
      <c r="A24" s="8" t="s">
        <v>739</v>
      </c>
      <c r="B24" s="8" t="s">
        <v>740</v>
      </c>
      <c r="C24" s="8" t="s">
        <v>33</v>
      </c>
      <c r="D24" s="8" t="s">
        <v>754</v>
      </c>
      <c r="E24" s="8" t="s">
        <v>755</v>
      </c>
      <c r="F24" s="8">
        <v>1334.93</v>
      </c>
      <c r="G24" s="8">
        <v>1422.04</v>
      </c>
      <c r="H24" s="8">
        <v>1561.05</v>
      </c>
      <c r="I24" s="8">
        <v>1815.94</v>
      </c>
      <c r="J24" s="8">
        <v>1983.47</v>
      </c>
      <c r="K24" s="8">
        <v>2292.42</v>
      </c>
      <c r="L24" s="8">
        <v>2849.54</v>
      </c>
      <c r="M24" s="8">
        <v>3016.14</v>
      </c>
      <c r="N24" s="8">
        <v>2935.82</v>
      </c>
    </row>
    <row r="25" spans="1:14" x14ac:dyDescent="0.3">
      <c r="A25" s="8" t="s">
        <v>739</v>
      </c>
      <c r="B25" s="8" t="s">
        <v>740</v>
      </c>
      <c r="C25" s="8" t="s">
        <v>360</v>
      </c>
      <c r="D25" s="8" t="s">
        <v>754</v>
      </c>
      <c r="E25" s="8" t="s">
        <v>755</v>
      </c>
      <c r="F25" s="8">
        <v>3.3335599999999999</v>
      </c>
      <c r="G25" s="8">
        <v>3.2737699999999998</v>
      </c>
      <c r="H25" s="8">
        <v>3.6602000000000001</v>
      </c>
      <c r="I25" s="8">
        <v>3.4793799999999999</v>
      </c>
      <c r="J25" s="8">
        <v>4.1190699999999998</v>
      </c>
      <c r="K25" s="8">
        <v>4.3659999999999997</v>
      </c>
      <c r="L25" s="8">
        <v>4.4039099999999998</v>
      </c>
      <c r="M25" s="8">
        <v>4.3927300000000002</v>
      </c>
      <c r="N25" s="8">
        <v>3.8779699999999999</v>
      </c>
    </row>
    <row r="26" spans="1:14" x14ac:dyDescent="0.3">
      <c r="A26" s="8" t="s">
        <v>739</v>
      </c>
      <c r="B26" s="8" t="s">
        <v>740</v>
      </c>
      <c r="C26" s="8" t="s">
        <v>35</v>
      </c>
      <c r="D26" s="8" t="s">
        <v>754</v>
      </c>
      <c r="E26" s="8" t="s">
        <v>755</v>
      </c>
      <c r="F26" s="8" t="s">
        <v>743</v>
      </c>
      <c r="G26" s="8">
        <v>18.366599999999998</v>
      </c>
      <c r="H26" s="8">
        <v>18.428599999999999</v>
      </c>
      <c r="I26" s="8">
        <v>21.523700000000002</v>
      </c>
      <c r="J26" s="8">
        <v>22.995899999999999</v>
      </c>
      <c r="K26" s="8">
        <v>25.479600000000001</v>
      </c>
      <c r="L26" s="8">
        <v>26.330500000000001</v>
      </c>
      <c r="M26" s="8">
        <v>26.1967</v>
      </c>
      <c r="N26" s="8">
        <v>27.210999999999999</v>
      </c>
    </row>
    <row r="27" spans="1:14" x14ac:dyDescent="0.3">
      <c r="A27" s="8" t="s">
        <v>739</v>
      </c>
      <c r="B27" s="8" t="s">
        <v>740</v>
      </c>
      <c r="C27" s="8" t="s">
        <v>363</v>
      </c>
      <c r="D27" s="8" t="s">
        <v>754</v>
      </c>
      <c r="E27" s="8" t="s">
        <v>755</v>
      </c>
      <c r="F27" s="8">
        <v>0.54843500000000001</v>
      </c>
      <c r="G27" s="8">
        <v>0.81245099999999992</v>
      </c>
      <c r="H27" s="8">
        <v>1.40587</v>
      </c>
      <c r="I27" s="8">
        <v>1.6837800000000001</v>
      </c>
      <c r="J27" s="8">
        <v>2.2861700000000003</v>
      </c>
      <c r="K27" s="8">
        <v>3.3399000000000001</v>
      </c>
      <c r="L27" s="8">
        <v>5.1908399999999997</v>
      </c>
      <c r="M27" s="8">
        <v>6.9474999999999998</v>
      </c>
      <c r="N27" s="8">
        <v>8.4008199999999995</v>
      </c>
    </row>
    <row r="28" spans="1:14" x14ac:dyDescent="0.3">
      <c r="A28" s="8" t="s">
        <v>739</v>
      </c>
      <c r="B28" s="8" t="s">
        <v>740</v>
      </c>
      <c r="C28" s="8" t="s">
        <v>37</v>
      </c>
      <c r="D28" s="8" t="s">
        <v>754</v>
      </c>
      <c r="E28" s="8" t="s">
        <v>755</v>
      </c>
      <c r="F28" s="8">
        <v>4.86069</v>
      </c>
      <c r="G28" s="8">
        <v>7.7420200000000001</v>
      </c>
      <c r="H28" s="8">
        <v>13.576499999999999</v>
      </c>
      <c r="I28" s="8">
        <v>16.110900000000001</v>
      </c>
      <c r="J28" s="8">
        <v>19.5947</v>
      </c>
      <c r="K28" s="8">
        <v>24.168600000000001</v>
      </c>
      <c r="L28" s="8">
        <v>26.4665</v>
      </c>
      <c r="M28" s="8">
        <v>31.540800000000001</v>
      </c>
      <c r="N28" s="8">
        <v>34.4925</v>
      </c>
    </row>
    <row r="29" spans="1:14" x14ac:dyDescent="0.3">
      <c r="A29" s="8" t="s">
        <v>739</v>
      </c>
      <c r="B29" s="8" t="s">
        <v>740</v>
      </c>
      <c r="C29" s="8" t="s">
        <v>366</v>
      </c>
      <c r="D29" s="8" t="s">
        <v>754</v>
      </c>
      <c r="E29" s="8" t="s">
        <v>755</v>
      </c>
      <c r="F29" s="8">
        <v>2.86721</v>
      </c>
      <c r="G29" s="8">
        <v>3.3460399999999999</v>
      </c>
      <c r="H29" s="8">
        <v>3.8382399999999999</v>
      </c>
      <c r="I29" s="8">
        <v>4.1539400000000004</v>
      </c>
      <c r="J29" s="8">
        <v>4.1603000000000003</v>
      </c>
      <c r="K29" s="8">
        <v>4.3807299999999998</v>
      </c>
      <c r="L29" s="8">
        <v>5.2697099999999999</v>
      </c>
      <c r="M29" s="8">
        <v>3.8313299999999999</v>
      </c>
      <c r="N29" s="8">
        <v>4.5276199999999998</v>
      </c>
    </row>
    <row r="30" spans="1:14" x14ac:dyDescent="0.3">
      <c r="A30" s="8" t="s">
        <v>739</v>
      </c>
      <c r="B30" s="8" t="s">
        <v>740</v>
      </c>
      <c r="C30" s="8" t="s">
        <v>39</v>
      </c>
      <c r="D30" s="8" t="s">
        <v>754</v>
      </c>
      <c r="E30" s="8" t="s">
        <v>755</v>
      </c>
      <c r="F30" s="8">
        <v>737.97400000000005</v>
      </c>
      <c r="G30" s="8">
        <v>841.37699999999995</v>
      </c>
      <c r="H30" s="8">
        <v>957.08500000000004</v>
      </c>
      <c r="I30" s="8">
        <v>1041.67</v>
      </c>
      <c r="J30" s="8">
        <v>1192.3800000000001</v>
      </c>
      <c r="K30" s="8">
        <v>1354.21</v>
      </c>
      <c r="L30" s="8">
        <v>1433.98</v>
      </c>
      <c r="M30" s="8">
        <v>1594.85</v>
      </c>
      <c r="N30" s="8">
        <v>1649.89</v>
      </c>
    </row>
    <row r="31" spans="1:14" x14ac:dyDescent="0.3">
      <c r="A31" s="8" t="s">
        <v>739</v>
      </c>
      <c r="B31" s="8" t="s">
        <v>740</v>
      </c>
      <c r="C31" s="8" t="s">
        <v>41</v>
      </c>
      <c r="D31" s="8" t="s">
        <v>754</v>
      </c>
      <c r="E31" s="8" t="s">
        <v>755</v>
      </c>
      <c r="F31" s="8">
        <v>302.88400000000001</v>
      </c>
      <c r="G31" s="8">
        <v>326.60000000000002</v>
      </c>
      <c r="H31" s="8">
        <v>377.79399999999998</v>
      </c>
      <c r="I31" s="8">
        <v>380.18900000000002</v>
      </c>
      <c r="J31" s="8">
        <v>412.75700000000001</v>
      </c>
      <c r="K31" s="8">
        <v>441.68900000000002</v>
      </c>
      <c r="L31" s="8">
        <v>495.041</v>
      </c>
      <c r="M31" s="8">
        <v>540.38599999999997</v>
      </c>
      <c r="N31" s="8">
        <v>568.96</v>
      </c>
    </row>
    <row r="32" spans="1:14" x14ac:dyDescent="0.3">
      <c r="A32" s="8" t="s">
        <v>739</v>
      </c>
      <c r="B32" s="8" t="s">
        <v>740</v>
      </c>
      <c r="C32" s="8" t="s">
        <v>43</v>
      </c>
      <c r="D32" s="8" t="s">
        <v>754</v>
      </c>
      <c r="E32" s="8" t="s">
        <v>755</v>
      </c>
      <c r="F32" s="8">
        <v>97.069800000000001</v>
      </c>
      <c r="G32" s="8">
        <v>93.495699999999999</v>
      </c>
      <c r="H32" s="8">
        <v>123.943</v>
      </c>
      <c r="I32" s="8">
        <v>187.98400000000001</v>
      </c>
      <c r="J32" s="8">
        <v>220.125</v>
      </c>
      <c r="K32" s="8">
        <v>276.012</v>
      </c>
      <c r="L32" s="8">
        <v>334.745</v>
      </c>
      <c r="M32" s="8">
        <v>405.42099999999999</v>
      </c>
      <c r="N32" s="8">
        <v>410.37400000000002</v>
      </c>
    </row>
    <row r="33" spans="1:14" x14ac:dyDescent="0.3">
      <c r="A33" s="8" t="s">
        <v>739</v>
      </c>
      <c r="B33" s="8" t="s">
        <v>740</v>
      </c>
      <c r="C33" s="8" t="s">
        <v>45</v>
      </c>
      <c r="D33" s="8" t="s">
        <v>754</v>
      </c>
      <c r="E33" s="8" t="s">
        <v>755</v>
      </c>
      <c r="F33" s="8">
        <v>666.04700000000003</v>
      </c>
      <c r="G33" s="8">
        <v>1107.46</v>
      </c>
      <c r="H33" s="8">
        <v>1617.4</v>
      </c>
      <c r="I33" s="8">
        <v>2881.39</v>
      </c>
      <c r="J33" s="8">
        <v>4456.79</v>
      </c>
      <c r="K33" s="8">
        <v>7112.15</v>
      </c>
      <c r="L33" s="8">
        <v>12153.7</v>
      </c>
      <c r="M33" s="8">
        <v>17796.8</v>
      </c>
      <c r="N33" s="8">
        <v>23516.1</v>
      </c>
    </row>
    <row r="34" spans="1:14" x14ac:dyDescent="0.3">
      <c r="A34" s="8" t="s">
        <v>739</v>
      </c>
      <c r="B34" s="8" t="s">
        <v>740</v>
      </c>
      <c r="C34" s="8" t="s">
        <v>46</v>
      </c>
      <c r="D34" s="8" t="s">
        <v>754</v>
      </c>
      <c r="E34" s="8" t="s">
        <v>755</v>
      </c>
      <c r="F34" s="8">
        <v>49.438400000000001</v>
      </c>
      <c r="G34" s="8">
        <v>50.752000000000002</v>
      </c>
      <c r="H34" s="8">
        <v>54.503799999999998</v>
      </c>
      <c r="I34" s="8">
        <v>57.4146</v>
      </c>
      <c r="J34" s="8">
        <v>68.541499999999999</v>
      </c>
      <c r="K34" s="8">
        <v>68.542599999999993</v>
      </c>
      <c r="L34" s="8">
        <v>76.483800000000002</v>
      </c>
      <c r="M34" s="8">
        <v>104.38800000000001</v>
      </c>
      <c r="N34" s="8">
        <v>136.53</v>
      </c>
    </row>
    <row r="35" spans="1:14" x14ac:dyDescent="0.3">
      <c r="A35" s="8" t="s">
        <v>739</v>
      </c>
      <c r="B35" s="8" t="s">
        <v>740</v>
      </c>
      <c r="C35" s="8" t="s">
        <v>48</v>
      </c>
      <c r="D35" s="8" t="s">
        <v>754</v>
      </c>
      <c r="E35" s="8" t="s">
        <v>755</v>
      </c>
      <c r="F35" s="8">
        <v>29.023399999999999</v>
      </c>
      <c r="G35" s="8">
        <v>45.359699999999997</v>
      </c>
      <c r="H35" s="8">
        <v>40.253900000000002</v>
      </c>
      <c r="I35" s="8">
        <v>36.6355</v>
      </c>
      <c r="J35" s="8">
        <v>45.669600000000003</v>
      </c>
      <c r="K35" s="8">
        <v>56.045299999999997</v>
      </c>
      <c r="L35" s="8">
        <v>65.623500000000007</v>
      </c>
      <c r="M35" s="8">
        <v>83.230699999999999</v>
      </c>
      <c r="N35" s="8">
        <v>97.386499999999998</v>
      </c>
    </row>
    <row r="36" spans="1:14" x14ac:dyDescent="0.3">
      <c r="A36" s="8" t="s">
        <v>739</v>
      </c>
      <c r="B36" s="8" t="s">
        <v>740</v>
      </c>
      <c r="C36" s="8" t="s">
        <v>720</v>
      </c>
      <c r="D36" s="8" t="s">
        <v>754</v>
      </c>
      <c r="E36" s="8" t="s">
        <v>755</v>
      </c>
      <c r="F36" s="8" t="s">
        <v>743</v>
      </c>
      <c r="G36" s="8" t="s">
        <v>743</v>
      </c>
      <c r="H36" s="8">
        <v>62.984299999999998</v>
      </c>
      <c r="I36" s="8">
        <v>45.430300000000003</v>
      </c>
      <c r="J36" s="8">
        <v>34.877800000000001</v>
      </c>
      <c r="K36" s="8">
        <v>44.311100000000003</v>
      </c>
      <c r="L36" s="8">
        <v>58.878100000000003</v>
      </c>
      <c r="M36" s="8">
        <v>86.126599999999996</v>
      </c>
      <c r="N36" s="8">
        <v>99.808599999999998</v>
      </c>
    </row>
    <row r="37" spans="1:14" x14ac:dyDescent="0.3">
      <c r="A37" s="8" t="s">
        <v>739</v>
      </c>
      <c r="B37" s="8" t="s">
        <v>740</v>
      </c>
      <c r="C37" s="8" t="s">
        <v>744</v>
      </c>
      <c r="D37" s="8" t="s">
        <v>754</v>
      </c>
      <c r="E37" s="8" t="s">
        <v>755</v>
      </c>
      <c r="F37" s="8">
        <v>6.82911</v>
      </c>
      <c r="G37" s="8">
        <v>7.7000999999999999</v>
      </c>
      <c r="H37" s="8">
        <v>12.041</v>
      </c>
      <c r="I37" s="8">
        <v>13.471399999999999</v>
      </c>
      <c r="J37" s="8">
        <v>16.186900000000001</v>
      </c>
      <c r="K37" s="8">
        <v>17.035499999999999</v>
      </c>
      <c r="L37" s="8">
        <v>22.412700000000001</v>
      </c>
      <c r="M37" s="8">
        <v>25.738299999999999</v>
      </c>
      <c r="N37" s="8">
        <v>21.377199999999998</v>
      </c>
    </row>
    <row r="38" spans="1:14" x14ac:dyDescent="0.3">
      <c r="A38" s="8" t="s">
        <v>739</v>
      </c>
      <c r="B38" s="8" t="s">
        <v>740</v>
      </c>
      <c r="C38" s="8" t="s">
        <v>52</v>
      </c>
      <c r="D38" s="8" t="s">
        <v>754</v>
      </c>
      <c r="E38" s="8" t="s">
        <v>755</v>
      </c>
      <c r="F38" s="8">
        <v>196.50899999999999</v>
      </c>
      <c r="G38" s="8">
        <v>219.81100000000001</v>
      </c>
      <c r="H38" s="8">
        <v>277.36700000000002</v>
      </c>
      <c r="I38" s="8">
        <v>349.78399999999999</v>
      </c>
      <c r="J38" s="8">
        <v>334.25599999999997</v>
      </c>
      <c r="K38" s="8">
        <v>399.28</v>
      </c>
      <c r="L38" s="8">
        <v>496.45100000000002</v>
      </c>
      <c r="M38" s="8">
        <v>624.05600000000004</v>
      </c>
      <c r="N38" s="8">
        <v>633.84500000000003</v>
      </c>
    </row>
    <row r="39" spans="1:14" x14ac:dyDescent="0.3">
      <c r="A39" s="8" t="s">
        <v>739</v>
      </c>
      <c r="B39" s="8" t="s">
        <v>740</v>
      </c>
      <c r="C39" s="8" t="s">
        <v>381</v>
      </c>
      <c r="D39" s="8" t="s">
        <v>754</v>
      </c>
      <c r="E39" s="8" t="s">
        <v>755</v>
      </c>
      <c r="F39" s="8">
        <v>0.93681099999999995</v>
      </c>
      <c r="G39" s="8">
        <v>1.13592</v>
      </c>
      <c r="H39" s="8">
        <v>1.3266</v>
      </c>
      <c r="I39" s="8">
        <v>1.3895599999999999</v>
      </c>
      <c r="J39" s="8">
        <v>1.4682900000000001</v>
      </c>
      <c r="K39" s="8">
        <v>1.8006600000000001</v>
      </c>
      <c r="L39" s="8">
        <v>1.9848700000000001</v>
      </c>
      <c r="M39" s="8">
        <v>2.3008899999999999</v>
      </c>
      <c r="N39" s="8">
        <v>2.5978500000000002</v>
      </c>
    </row>
    <row r="40" spans="1:14" x14ac:dyDescent="0.3">
      <c r="A40" s="8" t="s">
        <v>739</v>
      </c>
      <c r="B40" s="8" t="s">
        <v>740</v>
      </c>
      <c r="C40" s="8" t="s">
        <v>383</v>
      </c>
      <c r="D40" s="8" t="s">
        <v>754</v>
      </c>
      <c r="E40" s="8" t="s">
        <v>755</v>
      </c>
      <c r="F40" s="8">
        <v>0.59520499999999998</v>
      </c>
      <c r="G40" s="8">
        <v>0.81963699999999995</v>
      </c>
      <c r="H40" s="8">
        <v>0.99220000000000008</v>
      </c>
      <c r="I40" s="8">
        <v>1.2787600000000001</v>
      </c>
      <c r="J40" s="8">
        <v>1.91039</v>
      </c>
      <c r="K40" s="8">
        <v>2.5483099999999999</v>
      </c>
      <c r="L40" s="8">
        <v>3.4392800000000001</v>
      </c>
      <c r="M40" s="8">
        <v>3.69543</v>
      </c>
      <c r="N40" s="8">
        <v>3.5929099999999998</v>
      </c>
    </row>
    <row r="41" spans="1:14" x14ac:dyDescent="0.3">
      <c r="A41" s="8" t="s">
        <v>739</v>
      </c>
      <c r="B41" s="8" t="s">
        <v>740</v>
      </c>
      <c r="C41" s="8" t="s">
        <v>54</v>
      </c>
      <c r="D41" s="8" t="s">
        <v>754</v>
      </c>
      <c r="E41" s="8" t="s">
        <v>755</v>
      </c>
      <c r="F41" s="8">
        <v>24.4038</v>
      </c>
      <c r="G41" s="8">
        <v>24.750599999999999</v>
      </c>
      <c r="H41" s="8">
        <v>30.9849</v>
      </c>
      <c r="I41" s="8">
        <v>40.341900000000003</v>
      </c>
      <c r="J41" s="8">
        <v>45.949599999999997</v>
      </c>
      <c r="K41" s="8">
        <v>55.701999999999998</v>
      </c>
      <c r="L41" s="8">
        <v>70.768299999999996</v>
      </c>
      <c r="M41" s="8">
        <v>85.241799999999998</v>
      </c>
      <c r="N41" s="8">
        <v>93.078900000000004</v>
      </c>
    </row>
    <row r="42" spans="1:14" x14ac:dyDescent="0.3">
      <c r="A42" s="8" t="s">
        <v>739</v>
      </c>
      <c r="B42" s="8" t="s">
        <v>740</v>
      </c>
      <c r="C42" s="8" t="s">
        <v>388</v>
      </c>
      <c r="D42" s="8" t="s">
        <v>754</v>
      </c>
      <c r="E42" s="8" t="s">
        <v>755</v>
      </c>
      <c r="F42" s="8">
        <v>30.240100000000002</v>
      </c>
      <c r="G42" s="8">
        <v>45.566400000000002</v>
      </c>
      <c r="H42" s="8">
        <v>45.107199999999999</v>
      </c>
      <c r="I42" s="8">
        <v>31.287199999999999</v>
      </c>
      <c r="J42" s="8">
        <v>39.065199999999997</v>
      </c>
      <c r="K42" s="8">
        <v>49.910699999999999</v>
      </c>
      <c r="L42" s="8">
        <v>64.885999999999996</v>
      </c>
      <c r="M42" s="8">
        <v>74.509399999999999</v>
      </c>
      <c r="N42" s="8">
        <v>69.311499999999995</v>
      </c>
    </row>
    <row r="43" spans="1:14" x14ac:dyDescent="0.3">
      <c r="A43" s="8" t="s">
        <v>739</v>
      </c>
      <c r="B43" s="8" t="s">
        <v>740</v>
      </c>
      <c r="C43" s="8" t="s">
        <v>57</v>
      </c>
      <c r="D43" s="8" t="s">
        <v>754</v>
      </c>
      <c r="E43" s="8" t="s">
        <v>755</v>
      </c>
      <c r="F43" s="8">
        <v>7.8670999999999998</v>
      </c>
      <c r="G43" s="8">
        <v>10.3443</v>
      </c>
      <c r="H43" s="8">
        <v>14.4358</v>
      </c>
      <c r="I43" s="8">
        <v>18.643599999999999</v>
      </c>
      <c r="J43" s="8">
        <v>22.874400000000001</v>
      </c>
      <c r="K43" s="8">
        <v>27.873000000000001</v>
      </c>
      <c r="L43" s="8">
        <v>31.863</v>
      </c>
      <c r="M43" s="8">
        <v>29.313800000000001</v>
      </c>
      <c r="N43" s="8">
        <v>35.220999999999997</v>
      </c>
    </row>
    <row r="44" spans="1:14" x14ac:dyDescent="0.3">
      <c r="A44" s="8" t="s">
        <v>739</v>
      </c>
      <c r="B44" s="8" t="s">
        <v>740</v>
      </c>
      <c r="C44" s="8" t="s">
        <v>59</v>
      </c>
      <c r="D44" s="8" t="s">
        <v>754</v>
      </c>
      <c r="E44" s="8" t="s">
        <v>755</v>
      </c>
      <c r="F44" s="8" t="s">
        <v>743</v>
      </c>
      <c r="G44" s="8" t="s">
        <v>743</v>
      </c>
      <c r="H44" s="8">
        <v>271.55799999999999</v>
      </c>
      <c r="I44" s="8">
        <v>234.852</v>
      </c>
      <c r="J44" s="8">
        <v>240.22399999999999</v>
      </c>
      <c r="K44" s="8">
        <v>290.55500000000001</v>
      </c>
      <c r="L44" s="8">
        <v>328.39299999999997</v>
      </c>
      <c r="M44" s="8">
        <v>357.65100000000001</v>
      </c>
      <c r="N44" s="8">
        <v>387.56</v>
      </c>
    </row>
    <row r="45" spans="1:14" x14ac:dyDescent="0.3">
      <c r="A45" s="8" t="s">
        <v>739</v>
      </c>
      <c r="B45" s="8" t="s">
        <v>740</v>
      </c>
      <c r="C45" s="8" t="s">
        <v>61</v>
      </c>
      <c r="D45" s="8" t="s">
        <v>754</v>
      </c>
      <c r="E45" s="8" t="s">
        <v>755</v>
      </c>
      <c r="F45" s="8">
        <v>2316.44</v>
      </c>
      <c r="G45" s="8">
        <v>2485.12</v>
      </c>
      <c r="H45" s="8">
        <v>2921.95</v>
      </c>
      <c r="I45" s="8">
        <v>3216.22</v>
      </c>
      <c r="J45" s="8">
        <v>3284.5</v>
      </c>
      <c r="K45" s="8">
        <v>3368.11</v>
      </c>
      <c r="L45" s="8">
        <v>3569.26</v>
      </c>
      <c r="M45" s="8">
        <v>3885.63</v>
      </c>
      <c r="N45" s="8">
        <v>3998.7</v>
      </c>
    </row>
    <row r="46" spans="1:14" x14ac:dyDescent="0.3">
      <c r="A46" s="8" t="s">
        <v>739</v>
      </c>
      <c r="B46" s="8" t="s">
        <v>740</v>
      </c>
      <c r="C46" s="8" t="s">
        <v>396</v>
      </c>
      <c r="D46" s="8" t="s">
        <v>754</v>
      </c>
      <c r="E46" s="8" t="s">
        <v>755</v>
      </c>
      <c r="F46" s="8" t="s">
        <v>743</v>
      </c>
      <c r="G46" s="8" t="s">
        <v>743</v>
      </c>
      <c r="H46" s="8">
        <v>2.52847</v>
      </c>
      <c r="I46" s="8">
        <v>2.15848</v>
      </c>
      <c r="J46" s="8">
        <v>2.1300699999999999</v>
      </c>
      <c r="K46" s="8">
        <v>2.4477500000000001</v>
      </c>
      <c r="L46" s="8">
        <v>3.0172400000000001</v>
      </c>
      <c r="M46" s="8">
        <v>4.09931</v>
      </c>
      <c r="N46" s="8">
        <v>5.1885700000000003</v>
      </c>
    </row>
    <row r="47" spans="1:14" x14ac:dyDescent="0.3">
      <c r="A47" s="8" t="s">
        <v>739</v>
      </c>
      <c r="B47" s="8" t="s">
        <v>740</v>
      </c>
      <c r="C47" s="8" t="s">
        <v>63</v>
      </c>
      <c r="D47" s="8" t="s">
        <v>754</v>
      </c>
      <c r="E47" s="8" t="s">
        <v>755</v>
      </c>
      <c r="F47" s="8">
        <v>163.197</v>
      </c>
      <c r="G47" s="8">
        <v>186.822</v>
      </c>
      <c r="H47" s="8">
        <v>200.64099999999999</v>
      </c>
      <c r="I47" s="8">
        <v>225.11699999999999</v>
      </c>
      <c r="J47" s="8">
        <v>242.15</v>
      </c>
      <c r="K47" s="8">
        <v>258.71600000000001</v>
      </c>
      <c r="L47" s="8">
        <v>261.45400000000001</v>
      </c>
      <c r="M47" s="8">
        <v>278.74900000000002</v>
      </c>
      <c r="N47" s="8">
        <v>298.88600000000002</v>
      </c>
    </row>
    <row r="48" spans="1:14" x14ac:dyDescent="0.3">
      <c r="A48" s="8" t="s">
        <v>739</v>
      </c>
      <c r="B48" s="8" t="s">
        <v>740</v>
      </c>
      <c r="C48" s="8" t="s">
        <v>65</v>
      </c>
      <c r="D48" s="8" t="s">
        <v>754</v>
      </c>
      <c r="E48" s="8" t="s">
        <v>755</v>
      </c>
      <c r="F48" s="8">
        <v>35.007899999999999</v>
      </c>
      <c r="G48" s="8">
        <v>38.496299999999998</v>
      </c>
      <c r="H48" s="8">
        <v>44.250300000000003</v>
      </c>
      <c r="I48" s="8">
        <v>57.837800000000001</v>
      </c>
      <c r="J48" s="8">
        <v>78.971299999999999</v>
      </c>
      <c r="K48" s="8">
        <v>93.622699999999995</v>
      </c>
      <c r="L48" s="8">
        <v>123.92700000000001</v>
      </c>
      <c r="M48" s="8">
        <v>157.602</v>
      </c>
      <c r="N48" s="8">
        <v>184.447</v>
      </c>
    </row>
    <row r="49" spans="1:14" x14ac:dyDescent="0.3">
      <c r="A49" s="8" t="s">
        <v>739</v>
      </c>
      <c r="B49" s="8" t="s">
        <v>740</v>
      </c>
      <c r="C49" s="8" t="s">
        <v>67</v>
      </c>
      <c r="D49" s="8" t="s">
        <v>754</v>
      </c>
      <c r="E49" s="8" t="s">
        <v>755</v>
      </c>
      <c r="F49" s="8">
        <v>168.22900000000001</v>
      </c>
      <c r="G49" s="8">
        <v>216.69399999999999</v>
      </c>
      <c r="H49" s="8">
        <v>222.54499999999999</v>
      </c>
      <c r="I49" s="8">
        <v>225.06700000000001</v>
      </c>
      <c r="J49" s="8">
        <v>265.91300000000001</v>
      </c>
      <c r="K49" s="8">
        <v>342.46499999999997</v>
      </c>
      <c r="L49" s="8">
        <v>388.03199999999998</v>
      </c>
      <c r="M49" s="8">
        <v>456.84899999999999</v>
      </c>
      <c r="N49" s="8">
        <v>463.72199999999998</v>
      </c>
    </row>
    <row r="50" spans="1:14" x14ac:dyDescent="0.3">
      <c r="A50" s="8" t="s">
        <v>739</v>
      </c>
      <c r="B50" s="8" t="s">
        <v>740</v>
      </c>
      <c r="C50" s="8" t="s">
        <v>69</v>
      </c>
      <c r="D50" s="8" t="s">
        <v>754</v>
      </c>
      <c r="E50" s="8" t="s">
        <v>755</v>
      </c>
      <c r="F50" s="8">
        <v>67.433199999999999</v>
      </c>
      <c r="G50" s="8">
        <v>74.974599999999995</v>
      </c>
      <c r="H50" s="8">
        <v>82.947599999999994</v>
      </c>
      <c r="I50" s="8">
        <v>98.236599999999996</v>
      </c>
      <c r="J50" s="8">
        <v>103.684</v>
      </c>
      <c r="K50" s="8">
        <v>131.39500000000001</v>
      </c>
      <c r="L50" s="8">
        <v>155.22900000000001</v>
      </c>
      <c r="M50" s="8">
        <v>192.86500000000001</v>
      </c>
      <c r="N50" s="8">
        <v>182.16499999999999</v>
      </c>
    </row>
    <row r="51" spans="1:14" x14ac:dyDescent="0.3">
      <c r="A51" s="8" t="s">
        <v>739</v>
      </c>
      <c r="B51" s="8" t="s">
        <v>740</v>
      </c>
      <c r="C51" s="8" t="s">
        <v>721</v>
      </c>
      <c r="D51" s="8" t="s">
        <v>754</v>
      </c>
      <c r="E51" s="8" t="s">
        <v>755</v>
      </c>
      <c r="F51" s="8">
        <v>216.864</v>
      </c>
      <c r="G51" s="8">
        <v>300.44299999999998</v>
      </c>
      <c r="H51" s="8">
        <v>359.77</v>
      </c>
      <c r="I51" s="8">
        <v>412.69799999999998</v>
      </c>
      <c r="J51" s="8">
        <v>551.31899999999996</v>
      </c>
      <c r="K51" s="8">
        <v>660.89300000000003</v>
      </c>
      <c r="L51" s="8">
        <v>891.81399999999996</v>
      </c>
      <c r="M51" s="8">
        <v>1029.48</v>
      </c>
      <c r="N51" s="8">
        <v>1288.6600000000001</v>
      </c>
    </row>
    <row r="52" spans="1:14" x14ac:dyDescent="0.3">
      <c r="A52" s="8" t="s">
        <v>739</v>
      </c>
      <c r="B52" s="8" t="s">
        <v>740</v>
      </c>
      <c r="C52" s="8" t="s">
        <v>417</v>
      </c>
      <c r="D52" s="8" t="s">
        <v>754</v>
      </c>
      <c r="E52" s="8" t="s">
        <v>755</v>
      </c>
      <c r="F52" s="8" t="s">
        <v>743</v>
      </c>
      <c r="G52" s="8" t="s">
        <v>743</v>
      </c>
      <c r="H52" s="8" t="s">
        <v>743</v>
      </c>
      <c r="I52" s="8">
        <v>3.7832600000000003</v>
      </c>
      <c r="J52" s="8">
        <v>3.9888599999999999</v>
      </c>
      <c r="K52" s="8">
        <v>4.5264899999999999</v>
      </c>
      <c r="L52" s="8">
        <v>4.5549900000000001</v>
      </c>
      <c r="M52" s="8">
        <v>5.4295200000000001</v>
      </c>
      <c r="N52" s="8">
        <v>6.1254999999999997</v>
      </c>
    </row>
    <row r="53" spans="1:14" x14ac:dyDescent="0.3">
      <c r="A53" s="8" t="s">
        <v>739</v>
      </c>
      <c r="B53" s="8" t="s">
        <v>740</v>
      </c>
      <c r="C53" s="8" t="s">
        <v>733</v>
      </c>
      <c r="D53" s="8" t="s">
        <v>754</v>
      </c>
      <c r="E53" s="8" t="s">
        <v>755</v>
      </c>
      <c r="F53" s="8" t="s">
        <v>743</v>
      </c>
      <c r="G53" s="8" t="s">
        <v>743</v>
      </c>
      <c r="H53" s="8" t="s">
        <v>743</v>
      </c>
      <c r="I53" s="8" t="s">
        <v>743</v>
      </c>
      <c r="J53" s="8" t="s">
        <v>743</v>
      </c>
      <c r="K53" s="8" t="s">
        <v>743</v>
      </c>
      <c r="L53" s="8" t="s">
        <v>743</v>
      </c>
      <c r="M53" s="8" t="s">
        <v>743</v>
      </c>
      <c r="N53" s="8">
        <v>0.98215299999999994</v>
      </c>
    </row>
    <row r="54" spans="1:14" x14ac:dyDescent="0.3">
      <c r="A54" s="8" t="s">
        <v>739</v>
      </c>
      <c r="B54" s="8" t="s">
        <v>740</v>
      </c>
      <c r="C54" s="8" t="s">
        <v>72</v>
      </c>
      <c r="D54" s="8" t="s">
        <v>754</v>
      </c>
      <c r="E54" s="8" t="s">
        <v>755</v>
      </c>
      <c r="F54" s="8">
        <v>801.702</v>
      </c>
      <c r="G54" s="8">
        <v>859.17</v>
      </c>
      <c r="H54" s="8">
        <v>1070.56</v>
      </c>
      <c r="I54" s="8">
        <v>1153.6600000000001</v>
      </c>
      <c r="J54" s="8">
        <v>1316.71</v>
      </c>
      <c r="K54" s="8">
        <v>1547.53</v>
      </c>
      <c r="L54" s="8">
        <v>1623.17</v>
      </c>
      <c r="M54" s="8">
        <v>1621.84</v>
      </c>
      <c r="N54" s="8">
        <v>1594.61</v>
      </c>
    </row>
    <row r="55" spans="1:14" x14ac:dyDescent="0.3">
      <c r="A55" s="8" t="s">
        <v>739</v>
      </c>
      <c r="B55" s="8" t="s">
        <v>740</v>
      </c>
      <c r="C55" s="8" t="s">
        <v>74</v>
      </c>
      <c r="D55" s="8" t="s">
        <v>754</v>
      </c>
      <c r="E55" s="8" t="s">
        <v>755</v>
      </c>
      <c r="F55" s="8" t="s">
        <v>743</v>
      </c>
      <c r="G55" s="8" t="s">
        <v>743</v>
      </c>
      <c r="H55" s="8" t="s">
        <v>743</v>
      </c>
      <c r="I55" s="8">
        <v>18.3139</v>
      </c>
      <c r="J55" s="8">
        <v>23.253699999999998</v>
      </c>
      <c r="K55" s="8">
        <v>33.082999999999998</v>
      </c>
      <c r="L55" s="8">
        <v>32.532800000000002</v>
      </c>
      <c r="M55" s="8">
        <v>38.356000000000002</v>
      </c>
      <c r="N55" s="8">
        <v>44.700800000000001</v>
      </c>
    </row>
    <row r="56" spans="1:14" x14ac:dyDescent="0.3">
      <c r="A56" s="8" t="s">
        <v>739</v>
      </c>
      <c r="B56" s="8" t="s">
        <v>740</v>
      </c>
      <c r="C56" s="8" t="s">
        <v>76</v>
      </c>
      <c r="D56" s="8" t="s">
        <v>754</v>
      </c>
      <c r="E56" s="8" t="s">
        <v>755</v>
      </c>
      <c r="F56" s="8">
        <v>29.6188</v>
      </c>
      <c r="G56" s="8">
        <v>27.910499999999999</v>
      </c>
      <c r="H56" s="8">
        <v>35.810099999999998</v>
      </c>
      <c r="I56" s="8">
        <v>37.679900000000004</v>
      </c>
      <c r="J56" s="8">
        <v>49.2136</v>
      </c>
      <c r="K56" s="8">
        <v>66.123699999999999</v>
      </c>
      <c r="L56" s="8">
        <v>111.51300000000001</v>
      </c>
      <c r="M56" s="8">
        <v>180.71100000000001</v>
      </c>
      <c r="N56" s="8">
        <v>267.89699999999999</v>
      </c>
    </row>
    <row r="57" spans="1:14" x14ac:dyDescent="0.3">
      <c r="A57" s="8" t="s">
        <v>739</v>
      </c>
      <c r="B57" s="8" t="s">
        <v>740</v>
      </c>
      <c r="C57" s="8" t="s">
        <v>78</v>
      </c>
      <c r="D57" s="8" t="s">
        <v>754</v>
      </c>
      <c r="E57" s="8" t="s">
        <v>755</v>
      </c>
      <c r="F57" s="8">
        <v>121.535</v>
      </c>
      <c r="G57" s="8">
        <v>139.042</v>
      </c>
      <c r="H57" s="8">
        <v>164.339</v>
      </c>
      <c r="I57" s="8">
        <v>160.98599999999999</v>
      </c>
      <c r="J57" s="8">
        <v>194.702</v>
      </c>
      <c r="K57" s="8">
        <v>221.52500000000001</v>
      </c>
      <c r="L57" s="8">
        <v>231.98099999999999</v>
      </c>
      <c r="M57" s="8">
        <v>232.86500000000001</v>
      </c>
      <c r="N57" s="8">
        <v>246.971</v>
      </c>
    </row>
    <row r="58" spans="1:14" x14ac:dyDescent="0.3">
      <c r="A58" s="8" t="s">
        <v>739</v>
      </c>
      <c r="B58" s="8" t="s">
        <v>740</v>
      </c>
      <c r="C58" s="8" t="s">
        <v>427</v>
      </c>
      <c r="D58" s="8" t="s">
        <v>754</v>
      </c>
      <c r="E58" s="8" t="s">
        <v>755</v>
      </c>
      <c r="F58" s="8">
        <v>4.7847200000000001</v>
      </c>
      <c r="G58" s="8">
        <v>5.0913199999999996</v>
      </c>
      <c r="H58" s="8">
        <v>6.2800900000000004</v>
      </c>
      <c r="I58" s="8">
        <v>7.1725200000000005</v>
      </c>
      <c r="J58" s="8">
        <v>7.9407199999999998</v>
      </c>
      <c r="K58" s="8">
        <v>8.7567900000000005</v>
      </c>
      <c r="L58" s="8">
        <v>9.0702300000000005</v>
      </c>
      <c r="M58" s="8">
        <v>10.918900000000001</v>
      </c>
      <c r="N58" s="8">
        <v>10.090299999999999</v>
      </c>
    </row>
    <row r="59" spans="1:14" x14ac:dyDescent="0.3">
      <c r="A59" s="8" t="s">
        <v>739</v>
      </c>
      <c r="B59" s="8" t="s">
        <v>740</v>
      </c>
      <c r="C59" s="8" t="s">
        <v>80</v>
      </c>
      <c r="D59" s="8" t="s">
        <v>754</v>
      </c>
      <c r="E59" s="8" t="s">
        <v>755</v>
      </c>
      <c r="F59" s="8">
        <v>1537.29</v>
      </c>
      <c r="G59" s="8">
        <v>1665.42</v>
      </c>
      <c r="H59" s="8">
        <v>1965.34</v>
      </c>
      <c r="I59" s="8">
        <v>2096.5100000000002</v>
      </c>
      <c r="J59" s="8">
        <v>2283.48</v>
      </c>
      <c r="K59" s="8">
        <v>2477.34</v>
      </c>
      <c r="L59" s="8">
        <v>2580.44</v>
      </c>
      <c r="M59" s="8">
        <v>2719.94</v>
      </c>
      <c r="N59" s="8">
        <v>2695.32</v>
      </c>
    </row>
    <row r="60" spans="1:14" x14ac:dyDescent="0.3">
      <c r="A60" s="8" t="s">
        <v>739</v>
      </c>
      <c r="B60" s="8" t="s">
        <v>740</v>
      </c>
      <c r="C60" s="8" t="s">
        <v>745</v>
      </c>
      <c r="D60" s="8" t="s">
        <v>754</v>
      </c>
      <c r="E60" s="8" t="s">
        <v>755</v>
      </c>
      <c r="F60" s="8" t="s">
        <v>743</v>
      </c>
      <c r="G60" s="8" t="s">
        <v>743</v>
      </c>
      <c r="H60" s="8">
        <v>0.28844900000000001</v>
      </c>
      <c r="I60" s="8">
        <v>0.326602</v>
      </c>
      <c r="J60" s="8">
        <v>0.325235</v>
      </c>
      <c r="K60" s="8">
        <v>0.33480099999999996</v>
      </c>
      <c r="L60" s="8">
        <v>0.33206799999999997</v>
      </c>
      <c r="M60" s="8">
        <v>0.33070099999999997</v>
      </c>
      <c r="N60" s="8">
        <v>0.337534</v>
      </c>
    </row>
    <row r="61" spans="1:14" x14ac:dyDescent="0.3">
      <c r="A61" s="8" t="s">
        <v>739</v>
      </c>
      <c r="B61" s="8" t="s">
        <v>740</v>
      </c>
      <c r="C61" s="8" t="s">
        <v>82</v>
      </c>
      <c r="D61" s="8" t="s">
        <v>754</v>
      </c>
      <c r="E61" s="8" t="s">
        <v>755</v>
      </c>
      <c r="F61" s="8">
        <v>14.662599999999999</v>
      </c>
      <c r="G61" s="8">
        <v>16.588000000000001</v>
      </c>
      <c r="H61" s="8">
        <v>17.258600000000001</v>
      </c>
      <c r="I61" s="8">
        <v>20.087399999999999</v>
      </c>
      <c r="J61" s="8">
        <v>20.348099999999999</v>
      </c>
      <c r="K61" s="8">
        <v>21.247299999999999</v>
      </c>
      <c r="L61" s="8">
        <v>23.4133</v>
      </c>
      <c r="M61" s="8">
        <v>30.209399999999999</v>
      </c>
      <c r="N61" s="8">
        <v>31.8749</v>
      </c>
    </row>
    <row r="62" spans="1:14" x14ac:dyDescent="0.3">
      <c r="A62" s="8" t="s">
        <v>739</v>
      </c>
      <c r="B62" s="8" t="s">
        <v>740</v>
      </c>
      <c r="C62" s="8" t="s">
        <v>84</v>
      </c>
      <c r="D62" s="8" t="s">
        <v>754</v>
      </c>
      <c r="E62" s="8" t="s">
        <v>755</v>
      </c>
      <c r="F62" s="8">
        <v>1342.44</v>
      </c>
      <c r="G62" s="8">
        <v>1506.67</v>
      </c>
      <c r="H62" s="8">
        <v>1777.11</v>
      </c>
      <c r="I62" s="8">
        <v>1901.7</v>
      </c>
      <c r="J62" s="8">
        <v>2166.1999999999998</v>
      </c>
      <c r="K62" s="8">
        <v>2455.11</v>
      </c>
      <c r="L62" s="8">
        <v>2509.92</v>
      </c>
      <c r="M62" s="8">
        <v>2767.2</v>
      </c>
      <c r="N62" s="8">
        <v>2674.93</v>
      </c>
    </row>
    <row r="63" spans="1:14" x14ac:dyDescent="0.3">
      <c r="A63" s="8" t="s">
        <v>739</v>
      </c>
      <c r="B63" s="8" t="s">
        <v>740</v>
      </c>
      <c r="C63" s="8" t="s">
        <v>86</v>
      </c>
      <c r="D63" s="8" t="s">
        <v>754</v>
      </c>
      <c r="E63" s="8" t="s">
        <v>755</v>
      </c>
      <c r="F63" s="8" t="s">
        <v>743</v>
      </c>
      <c r="G63" s="8" t="s">
        <v>743</v>
      </c>
      <c r="H63" s="8">
        <v>53.832000000000001</v>
      </c>
      <c r="I63" s="8">
        <v>15.210100000000001</v>
      </c>
      <c r="J63" s="8">
        <v>20.064299999999999</v>
      </c>
      <c r="K63" s="8">
        <v>28.557700000000001</v>
      </c>
      <c r="L63" s="8">
        <v>36.8643</v>
      </c>
      <c r="M63" s="8">
        <v>46.957300000000004</v>
      </c>
      <c r="N63" s="8">
        <v>51.992800000000003</v>
      </c>
    </row>
    <row r="64" spans="1:14" x14ac:dyDescent="0.3">
      <c r="A64" s="8" t="s">
        <v>739</v>
      </c>
      <c r="B64" s="8" t="s">
        <v>740</v>
      </c>
      <c r="C64" s="8" t="s">
        <v>88</v>
      </c>
      <c r="D64" s="8" t="s">
        <v>754</v>
      </c>
      <c r="E64" s="8" t="s">
        <v>755</v>
      </c>
      <c r="F64" s="8">
        <v>27.921700000000001</v>
      </c>
      <c r="G64" s="8">
        <v>26.901299999999999</v>
      </c>
      <c r="H64" s="8">
        <v>35.131999999999998</v>
      </c>
      <c r="I64" s="8">
        <v>43.469799999999999</v>
      </c>
      <c r="J64" s="8">
        <v>54.7883</v>
      </c>
      <c r="K64" s="8">
        <v>70.0428</v>
      </c>
      <c r="L64" s="8">
        <v>95.768699999999995</v>
      </c>
      <c r="M64" s="8">
        <v>133.286</v>
      </c>
      <c r="N64" s="8">
        <v>169.38200000000001</v>
      </c>
    </row>
    <row r="65" spans="1:14" x14ac:dyDescent="0.3">
      <c r="A65" s="8" t="s">
        <v>739</v>
      </c>
      <c r="B65" s="8" t="s">
        <v>740</v>
      </c>
      <c r="C65" s="8" t="s">
        <v>440</v>
      </c>
      <c r="D65" s="8" t="s">
        <v>754</v>
      </c>
      <c r="E65" s="8" t="s">
        <v>755</v>
      </c>
      <c r="F65" s="8">
        <v>7.0560799999999997</v>
      </c>
      <c r="G65" s="8">
        <v>7.7944899999999997</v>
      </c>
      <c r="H65" s="8">
        <v>9.5764399999999998</v>
      </c>
      <c r="I65" s="8">
        <v>11.5928</v>
      </c>
      <c r="J65" s="8">
        <v>14.048</v>
      </c>
      <c r="K65" s="8">
        <v>16.343599999999999</v>
      </c>
      <c r="L65" s="8">
        <v>19.067599999999999</v>
      </c>
      <c r="M65" s="8">
        <v>23.869599999999998</v>
      </c>
      <c r="N65" s="8">
        <v>34.3172</v>
      </c>
    </row>
    <row r="66" spans="1:14" x14ac:dyDescent="0.3">
      <c r="A66" s="8" t="s">
        <v>739</v>
      </c>
      <c r="B66" s="8" t="s">
        <v>740</v>
      </c>
      <c r="C66" s="8" t="s">
        <v>723</v>
      </c>
      <c r="D66" s="8" t="s">
        <v>754</v>
      </c>
      <c r="E66" s="8" t="s">
        <v>755</v>
      </c>
      <c r="F66" s="8">
        <v>1.5884</v>
      </c>
      <c r="G66" s="8">
        <v>1.88636</v>
      </c>
      <c r="H66" s="8">
        <v>2.22621</v>
      </c>
      <c r="I66" s="8">
        <v>2.39859</v>
      </c>
      <c r="J66" s="8">
        <v>2.9933300000000003</v>
      </c>
      <c r="K66" s="8">
        <v>3.42144</v>
      </c>
      <c r="L66" s="8">
        <v>4.20845</v>
      </c>
      <c r="M66" s="8">
        <v>4.29434</v>
      </c>
      <c r="N66" s="8">
        <v>5.2580400000000003</v>
      </c>
    </row>
    <row r="67" spans="1:14" x14ac:dyDescent="0.3">
      <c r="A67" s="8" t="s">
        <v>739</v>
      </c>
      <c r="B67" s="8" t="s">
        <v>740</v>
      </c>
      <c r="C67" s="8" t="s">
        <v>444</v>
      </c>
      <c r="D67" s="8" t="s">
        <v>754</v>
      </c>
      <c r="E67" s="8" t="s">
        <v>755</v>
      </c>
      <c r="F67" s="8">
        <v>1.3769200000000001</v>
      </c>
      <c r="G67" s="8">
        <v>1.51749</v>
      </c>
      <c r="H67" s="8">
        <v>1.7410800000000002</v>
      </c>
      <c r="I67" s="8">
        <v>2.1097399999999999</v>
      </c>
      <c r="J67" s="8">
        <v>2.1249099999999999</v>
      </c>
      <c r="K67" s="8">
        <v>2.4810699999999999</v>
      </c>
      <c r="L67" s="8">
        <v>2.9542900000000003</v>
      </c>
      <c r="M67" s="8">
        <v>3.4725999999999999</v>
      </c>
      <c r="N67" s="8">
        <v>4.21739</v>
      </c>
    </row>
    <row r="68" spans="1:14" x14ac:dyDescent="0.3">
      <c r="A68" s="8" t="s">
        <v>739</v>
      </c>
      <c r="B68" s="8" t="s">
        <v>740</v>
      </c>
      <c r="C68" s="8" t="s">
        <v>446</v>
      </c>
      <c r="D68" s="8" t="s">
        <v>754</v>
      </c>
      <c r="E68" s="8" t="s">
        <v>755</v>
      </c>
      <c r="F68" s="8">
        <v>0.214617</v>
      </c>
      <c r="G68" s="8">
        <v>0.27782699999999999</v>
      </c>
      <c r="H68" s="8">
        <v>0.29462899999999997</v>
      </c>
      <c r="I68" s="8">
        <v>0.63167499999999999</v>
      </c>
      <c r="J68" s="8">
        <v>7.9420200000000003</v>
      </c>
      <c r="K68" s="8">
        <v>24.551300000000001</v>
      </c>
      <c r="L68" s="8">
        <v>32.774099999999997</v>
      </c>
      <c r="M68" s="8">
        <v>33.085799999999999</v>
      </c>
      <c r="N68" s="8">
        <v>24.0139</v>
      </c>
    </row>
    <row r="69" spans="1:14" x14ac:dyDescent="0.3">
      <c r="A69" s="8" t="s">
        <v>739</v>
      </c>
      <c r="B69" s="8" t="s">
        <v>740</v>
      </c>
      <c r="C69" s="8" t="s">
        <v>90</v>
      </c>
      <c r="D69" s="8" t="s">
        <v>754</v>
      </c>
      <c r="E69" s="8" t="s">
        <v>755</v>
      </c>
      <c r="F69" s="8">
        <v>231.05199999999999</v>
      </c>
      <c r="G69" s="8">
        <v>232.62799999999999</v>
      </c>
      <c r="H69" s="8">
        <v>247.40700000000001</v>
      </c>
      <c r="I69" s="8">
        <v>263.221</v>
      </c>
      <c r="J69" s="8">
        <v>298.11</v>
      </c>
      <c r="K69" s="8">
        <v>360.71899999999999</v>
      </c>
      <c r="L69" s="8">
        <v>354.82900000000001</v>
      </c>
      <c r="M69" s="8">
        <v>289.57499999999999</v>
      </c>
      <c r="N69" s="8">
        <v>274.31900000000002</v>
      </c>
    </row>
    <row r="70" spans="1:14" x14ac:dyDescent="0.3">
      <c r="A70" s="8" t="s">
        <v>739</v>
      </c>
      <c r="B70" s="8" t="s">
        <v>740</v>
      </c>
      <c r="C70" s="8" t="s">
        <v>449</v>
      </c>
      <c r="D70" s="8" t="s">
        <v>754</v>
      </c>
      <c r="E70" s="8" t="s">
        <v>755</v>
      </c>
      <c r="F70" s="8">
        <v>0.54015899999999994</v>
      </c>
      <c r="G70" s="8">
        <v>0.64864599999999994</v>
      </c>
      <c r="H70" s="8">
        <v>0.845136</v>
      </c>
      <c r="I70" s="8">
        <v>0.86789499999999997</v>
      </c>
      <c r="J70" s="8">
        <v>1.19411</v>
      </c>
      <c r="K70" s="8">
        <v>1.49075</v>
      </c>
      <c r="L70" s="8">
        <v>1.4247400000000001</v>
      </c>
      <c r="M70" s="8">
        <v>1.65917</v>
      </c>
      <c r="N70" s="8">
        <v>1.6288200000000002</v>
      </c>
    </row>
    <row r="71" spans="1:14" x14ac:dyDescent="0.3">
      <c r="A71" s="8" t="s">
        <v>739</v>
      </c>
      <c r="B71" s="8" t="s">
        <v>740</v>
      </c>
      <c r="C71" s="8" t="s">
        <v>92</v>
      </c>
      <c r="D71" s="8" t="s">
        <v>754</v>
      </c>
      <c r="E71" s="8" t="s">
        <v>755</v>
      </c>
      <c r="F71" s="8">
        <v>47.836399999999998</v>
      </c>
      <c r="G71" s="8">
        <v>45.223700000000001</v>
      </c>
      <c r="H71" s="8">
        <v>52.205100000000002</v>
      </c>
      <c r="I71" s="8">
        <v>62.840899999999998</v>
      </c>
      <c r="J71" s="8">
        <v>74.768900000000002</v>
      </c>
      <c r="K71" s="8">
        <v>87.448499999999996</v>
      </c>
      <c r="L71" s="8">
        <v>104.60899999999999</v>
      </c>
      <c r="M71" s="8">
        <v>126.496</v>
      </c>
      <c r="N71" s="8">
        <v>141.42599999999999</v>
      </c>
    </row>
    <row r="72" spans="1:14" x14ac:dyDescent="0.3">
      <c r="A72" s="8" t="s">
        <v>739</v>
      </c>
      <c r="B72" s="8" t="s">
        <v>740</v>
      </c>
      <c r="C72" s="8" t="s">
        <v>722</v>
      </c>
      <c r="D72" s="8" t="s">
        <v>754</v>
      </c>
      <c r="E72" s="8" t="s">
        <v>755</v>
      </c>
      <c r="F72" s="8" t="s">
        <v>743</v>
      </c>
      <c r="G72" s="8" t="s">
        <v>743</v>
      </c>
      <c r="H72" s="8" t="s">
        <v>743</v>
      </c>
      <c r="I72" s="8" t="s">
        <v>743</v>
      </c>
      <c r="J72" s="8" t="s">
        <v>743</v>
      </c>
      <c r="K72" s="8" t="s">
        <v>743</v>
      </c>
      <c r="L72" s="8" t="s">
        <v>743</v>
      </c>
      <c r="M72" s="8" t="s">
        <v>743</v>
      </c>
      <c r="N72" s="8">
        <v>10.187099999999999</v>
      </c>
    </row>
    <row r="73" spans="1:14" x14ac:dyDescent="0.3">
      <c r="A73" s="8" t="s">
        <v>739</v>
      </c>
      <c r="B73" s="8" t="s">
        <v>740</v>
      </c>
      <c r="C73" s="8" t="s">
        <v>454</v>
      </c>
      <c r="D73" s="8" t="s">
        <v>754</v>
      </c>
      <c r="E73" s="8" t="s">
        <v>755</v>
      </c>
      <c r="F73" s="8" t="s">
        <v>743</v>
      </c>
      <c r="G73" s="8" t="s">
        <v>743</v>
      </c>
      <c r="H73" s="8" t="s">
        <v>743</v>
      </c>
      <c r="I73" s="8" t="s">
        <v>743</v>
      </c>
      <c r="J73" s="8" t="s">
        <v>743</v>
      </c>
      <c r="K73" s="8" t="s">
        <v>743</v>
      </c>
      <c r="L73" s="8" t="s">
        <v>743</v>
      </c>
      <c r="M73" s="8" t="s">
        <v>743</v>
      </c>
      <c r="N73" s="8">
        <v>3.6185</v>
      </c>
    </row>
    <row r="74" spans="1:14" x14ac:dyDescent="0.3">
      <c r="A74" s="8" t="s">
        <v>739</v>
      </c>
      <c r="B74" s="8" t="s">
        <v>740</v>
      </c>
      <c r="C74" s="8" t="s">
        <v>456</v>
      </c>
      <c r="D74" s="8" t="s">
        <v>754</v>
      </c>
      <c r="E74" s="8" t="s">
        <v>755</v>
      </c>
      <c r="F74" s="8">
        <v>5.0155599999999998</v>
      </c>
      <c r="G74" s="8">
        <v>4.1693300000000004</v>
      </c>
      <c r="H74" s="8">
        <v>3.6008300000000002</v>
      </c>
      <c r="I74" s="8">
        <v>5.0730599999999999</v>
      </c>
      <c r="J74" s="8">
        <v>5.80755</v>
      </c>
      <c r="K74" s="8">
        <v>5.94367</v>
      </c>
      <c r="L74" s="8">
        <v>7.3534899999999999</v>
      </c>
      <c r="M74" s="8">
        <v>8.6428700000000003</v>
      </c>
      <c r="N74" s="8">
        <v>14.693200000000001</v>
      </c>
    </row>
    <row r="75" spans="1:14" x14ac:dyDescent="0.3">
      <c r="A75" s="8" t="s">
        <v>739</v>
      </c>
      <c r="B75" s="8" t="s">
        <v>740</v>
      </c>
      <c r="C75" s="8" t="s">
        <v>746</v>
      </c>
      <c r="D75" s="8" t="s">
        <v>754</v>
      </c>
      <c r="E75" s="8" t="s">
        <v>755</v>
      </c>
      <c r="F75" s="8">
        <v>85.754999999999995</v>
      </c>
      <c r="G75" s="8">
        <v>113.155</v>
      </c>
      <c r="H75" s="8">
        <v>164.27600000000001</v>
      </c>
      <c r="I75" s="8">
        <v>212.66499999999999</v>
      </c>
      <c r="J75" s="8">
        <v>242.04900000000001</v>
      </c>
      <c r="K75" s="8">
        <v>297.66399999999999</v>
      </c>
      <c r="L75" s="8">
        <v>360.762</v>
      </c>
      <c r="M75" s="8">
        <v>417.17</v>
      </c>
      <c r="N75" s="8">
        <v>418.13</v>
      </c>
    </row>
    <row r="76" spans="1:14" x14ac:dyDescent="0.3">
      <c r="A76" s="8" t="s">
        <v>739</v>
      </c>
      <c r="B76" s="8" t="s">
        <v>740</v>
      </c>
      <c r="C76" s="8" t="s">
        <v>95</v>
      </c>
      <c r="D76" s="8" t="s">
        <v>754</v>
      </c>
      <c r="E76" s="8" t="s">
        <v>755</v>
      </c>
      <c r="F76" s="8">
        <v>14.9459</v>
      </c>
      <c r="G76" s="8">
        <v>16.383800000000001</v>
      </c>
      <c r="H76" s="8">
        <v>19.771899999999999</v>
      </c>
      <c r="I76" s="8">
        <v>22.9786</v>
      </c>
      <c r="J76" s="8">
        <v>27.013100000000001</v>
      </c>
      <c r="K76" s="8">
        <v>33.910400000000003</v>
      </c>
      <c r="L76" s="8">
        <v>40.480899999999998</v>
      </c>
      <c r="M76" s="8">
        <v>48.147100000000002</v>
      </c>
      <c r="N76" s="8">
        <v>50.893700000000003</v>
      </c>
    </row>
    <row r="77" spans="1:14" x14ac:dyDescent="0.3">
      <c r="A77" s="8" t="s">
        <v>739</v>
      </c>
      <c r="B77" s="8" t="s">
        <v>740</v>
      </c>
      <c r="C77" s="8" t="s">
        <v>97</v>
      </c>
      <c r="D77" s="8" t="s">
        <v>754</v>
      </c>
      <c r="E77" s="8" t="s">
        <v>755</v>
      </c>
      <c r="F77" s="8" t="s">
        <v>743</v>
      </c>
      <c r="G77" s="8" t="s">
        <v>743</v>
      </c>
      <c r="H77" s="8" t="s">
        <v>743</v>
      </c>
      <c r="I77" s="8">
        <v>69.237399999999994</v>
      </c>
      <c r="J77" s="8">
        <v>81.844899999999996</v>
      </c>
      <c r="K77" s="8">
        <v>102.479</v>
      </c>
      <c r="L77" s="8">
        <v>105.526</v>
      </c>
      <c r="M77" s="8">
        <v>104.702</v>
      </c>
      <c r="N77" s="8">
        <v>109.04300000000001</v>
      </c>
    </row>
    <row r="78" spans="1:14" x14ac:dyDescent="0.3">
      <c r="A78" s="8" t="s">
        <v>739</v>
      </c>
      <c r="B78" s="8" t="s">
        <v>740</v>
      </c>
      <c r="C78" s="8" t="s">
        <v>99</v>
      </c>
      <c r="D78" s="8" t="s">
        <v>754</v>
      </c>
      <c r="E78" s="8" t="s">
        <v>755</v>
      </c>
      <c r="F78" s="8">
        <v>24.932099999999998</v>
      </c>
      <c r="G78" s="8">
        <v>24.354700000000001</v>
      </c>
      <c r="H78" s="8">
        <v>24.0687</v>
      </c>
      <c r="I78" s="8">
        <v>22.003699999999998</v>
      </c>
      <c r="J78" s="8">
        <v>24.915299999999998</v>
      </c>
      <c r="K78" s="8">
        <v>26.409400000000002</v>
      </c>
      <c r="L78" s="8">
        <v>28.862300000000001</v>
      </c>
      <c r="M78" s="8">
        <v>33.1815</v>
      </c>
      <c r="N78" s="8">
        <v>33.458100000000002</v>
      </c>
    </row>
    <row r="79" spans="1:14" x14ac:dyDescent="0.3">
      <c r="A79" s="8" t="s">
        <v>739</v>
      </c>
      <c r="B79" s="8" t="s">
        <v>740</v>
      </c>
      <c r="C79" s="8" t="s">
        <v>101</v>
      </c>
      <c r="D79" s="8" t="s">
        <v>754</v>
      </c>
      <c r="E79" s="8" t="s">
        <v>755</v>
      </c>
      <c r="F79" s="8">
        <v>172.7</v>
      </c>
      <c r="G79" s="8">
        <v>188.43199999999999</v>
      </c>
      <c r="H79" s="8">
        <v>193.40299999999999</v>
      </c>
      <c r="I79" s="8">
        <v>171.56899999999999</v>
      </c>
      <c r="J79" s="8">
        <v>192.94300000000001</v>
      </c>
      <c r="K79" s="8">
        <v>239.71899999999999</v>
      </c>
      <c r="L79" s="8">
        <v>238.26300000000001</v>
      </c>
      <c r="M79" s="8">
        <v>263.75200000000001</v>
      </c>
      <c r="N79" s="8">
        <v>296.46499999999997</v>
      </c>
    </row>
    <row r="80" spans="1:14" x14ac:dyDescent="0.3">
      <c r="A80" s="8" t="s">
        <v>739</v>
      </c>
      <c r="B80" s="8" t="s">
        <v>740</v>
      </c>
      <c r="C80" s="8" t="s">
        <v>103</v>
      </c>
      <c r="D80" s="8" t="s">
        <v>754</v>
      </c>
      <c r="E80" s="8" t="s">
        <v>755</v>
      </c>
      <c r="F80" s="8">
        <v>433.45499999999998</v>
      </c>
      <c r="G80" s="8">
        <v>555.40200000000004</v>
      </c>
      <c r="H80" s="8">
        <v>794.14700000000005</v>
      </c>
      <c r="I80" s="8">
        <v>1157.74</v>
      </c>
      <c r="J80" s="8">
        <v>1212.19</v>
      </c>
      <c r="K80" s="8">
        <v>1527.1</v>
      </c>
      <c r="L80" s="8">
        <v>2023.05</v>
      </c>
      <c r="M80" s="8">
        <v>2647.4</v>
      </c>
      <c r="N80" s="8">
        <v>3160.37</v>
      </c>
    </row>
    <row r="81" spans="1:14" x14ac:dyDescent="0.3">
      <c r="A81" s="8" t="s">
        <v>739</v>
      </c>
      <c r="B81" s="8" t="s">
        <v>740</v>
      </c>
      <c r="C81" s="8" t="s">
        <v>105</v>
      </c>
      <c r="D81" s="8" t="s">
        <v>754</v>
      </c>
      <c r="E81" s="8" t="s">
        <v>755</v>
      </c>
      <c r="F81" s="8">
        <v>900.73599999999999</v>
      </c>
      <c r="G81" s="8">
        <v>1174.67</v>
      </c>
      <c r="H81" s="8">
        <v>1564.3</v>
      </c>
      <c r="I81" s="8">
        <v>1966.12</v>
      </c>
      <c r="J81" s="8">
        <v>2690.85</v>
      </c>
      <c r="K81" s="8">
        <v>3630.31</v>
      </c>
      <c r="L81" s="8">
        <v>5102.7700000000004</v>
      </c>
      <c r="M81" s="8">
        <v>6962.1</v>
      </c>
      <c r="N81" s="8">
        <v>8503.83</v>
      </c>
    </row>
    <row r="82" spans="1:14" x14ac:dyDescent="0.3">
      <c r="A82" s="8" t="s">
        <v>739</v>
      </c>
      <c r="B82" s="8" t="s">
        <v>740</v>
      </c>
      <c r="C82" s="8" t="s">
        <v>107</v>
      </c>
      <c r="D82" s="8" t="s">
        <v>754</v>
      </c>
      <c r="E82" s="8" t="s">
        <v>755</v>
      </c>
      <c r="F82" s="8">
        <v>66.895600000000002</v>
      </c>
      <c r="G82" s="8">
        <v>75.867500000000007</v>
      </c>
      <c r="H82" s="8">
        <v>95.479699999999994</v>
      </c>
      <c r="I82" s="8">
        <v>119.752</v>
      </c>
      <c r="J82" s="8">
        <v>179.989</v>
      </c>
      <c r="K82" s="8">
        <v>236.32300000000001</v>
      </c>
      <c r="L82" s="8">
        <v>239.01499999999999</v>
      </c>
      <c r="M82" s="8">
        <v>325.44799999999998</v>
      </c>
      <c r="N82" s="8">
        <v>444.26400000000001</v>
      </c>
    </row>
    <row r="83" spans="1:14" x14ac:dyDescent="0.3">
      <c r="A83" s="8" t="s">
        <v>739</v>
      </c>
      <c r="B83" s="8" t="s">
        <v>740</v>
      </c>
      <c r="C83" s="8" t="s">
        <v>747</v>
      </c>
      <c r="D83" s="8" t="s">
        <v>754</v>
      </c>
      <c r="E83" s="8" t="s">
        <v>755</v>
      </c>
      <c r="F83" s="8">
        <v>423.26499999999999</v>
      </c>
      <c r="G83" s="8">
        <v>516.62599999999998</v>
      </c>
      <c r="H83" s="8">
        <v>526.81899999999996</v>
      </c>
      <c r="I83" s="8">
        <v>608.37199999999996</v>
      </c>
      <c r="J83" s="8">
        <v>722.702</v>
      </c>
      <c r="K83" s="8">
        <v>935.46400000000006</v>
      </c>
      <c r="L83" s="8">
        <v>1138.1099999999999</v>
      </c>
      <c r="M83" s="8">
        <v>1145.96</v>
      </c>
      <c r="N83" s="8">
        <v>1259.81</v>
      </c>
    </row>
    <row r="84" spans="1:14" x14ac:dyDescent="0.3">
      <c r="A84" s="8" t="s">
        <v>739</v>
      </c>
      <c r="B84" s="8" t="s">
        <v>740</v>
      </c>
      <c r="C84" s="8" t="s">
        <v>110</v>
      </c>
      <c r="D84" s="8" t="s">
        <v>754</v>
      </c>
      <c r="E84" s="8" t="s">
        <v>755</v>
      </c>
      <c r="F84" s="8" t="s">
        <v>743</v>
      </c>
      <c r="G84" s="8" t="s">
        <v>743</v>
      </c>
      <c r="H84" s="8">
        <v>131.54599999999999</v>
      </c>
      <c r="I84" s="8">
        <v>86.651300000000006</v>
      </c>
      <c r="J84" s="8">
        <v>85.458200000000005</v>
      </c>
      <c r="K84" s="8">
        <v>208.715</v>
      </c>
      <c r="L84" s="8">
        <v>267.43900000000002</v>
      </c>
      <c r="M84" s="8">
        <v>364.322</v>
      </c>
      <c r="N84" s="8">
        <v>393.363</v>
      </c>
    </row>
    <row r="85" spans="1:14" x14ac:dyDescent="0.3">
      <c r="A85" s="8" t="s">
        <v>739</v>
      </c>
      <c r="B85" s="8" t="s">
        <v>740</v>
      </c>
      <c r="C85" s="8" t="s">
        <v>112</v>
      </c>
      <c r="D85" s="8" t="s">
        <v>754</v>
      </c>
      <c r="E85" s="8" t="s">
        <v>755</v>
      </c>
      <c r="F85" s="8">
        <v>6.7830300000000001</v>
      </c>
      <c r="G85" s="8">
        <v>7.60358</v>
      </c>
      <c r="H85" s="8">
        <v>8.88842</v>
      </c>
      <c r="I85" s="8">
        <v>9.0056999999999992</v>
      </c>
      <c r="J85" s="8">
        <v>11.021000000000001</v>
      </c>
      <c r="K85" s="8">
        <v>13.470499999999999</v>
      </c>
      <c r="L85" s="8">
        <v>14.243600000000001</v>
      </c>
      <c r="M85" s="8">
        <v>16.278400000000001</v>
      </c>
      <c r="N85" s="8">
        <v>17.873899999999999</v>
      </c>
    </row>
    <row r="86" spans="1:14" x14ac:dyDescent="0.3">
      <c r="A86" s="8" t="s">
        <v>739</v>
      </c>
      <c r="B86" s="8" t="s">
        <v>740</v>
      </c>
      <c r="C86" s="8" t="s">
        <v>113</v>
      </c>
      <c r="D86" s="8" t="s">
        <v>754</v>
      </c>
      <c r="E86" s="8" t="s">
        <v>755</v>
      </c>
      <c r="F86" s="8">
        <v>74.170599999999993</v>
      </c>
      <c r="G86" s="8">
        <v>86.565799999999996</v>
      </c>
      <c r="H86" s="8">
        <v>107.33199999999999</v>
      </c>
      <c r="I86" s="8">
        <v>148.56399999999999</v>
      </c>
      <c r="J86" s="8">
        <v>182.78100000000001</v>
      </c>
      <c r="K86" s="8">
        <v>202.547</v>
      </c>
      <c r="L86" s="8">
        <v>249.48699999999999</v>
      </c>
      <c r="M86" s="8">
        <v>299.85599999999999</v>
      </c>
      <c r="N86" s="8">
        <v>348.26600000000002</v>
      </c>
    </row>
    <row r="87" spans="1:14" x14ac:dyDescent="0.3">
      <c r="A87" s="8" t="s">
        <v>739</v>
      </c>
      <c r="B87" s="8" t="s">
        <v>740</v>
      </c>
      <c r="C87" s="8" t="s">
        <v>115</v>
      </c>
      <c r="D87" s="8" t="s">
        <v>754</v>
      </c>
      <c r="E87" s="8" t="s">
        <v>755</v>
      </c>
      <c r="F87" s="8">
        <v>1638.26</v>
      </c>
      <c r="G87" s="8">
        <v>1782.16</v>
      </c>
      <c r="H87" s="8">
        <v>2078.9</v>
      </c>
      <c r="I87" s="8">
        <v>2219.1799999999998</v>
      </c>
      <c r="J87" s="8">
        <v>2251.41</v>
      </c>
      <c r="K87" s="8">
        <v>2353.27</v>
      </c>
      <c r="L87" s="8">
        <v>2315.75</v>
      </c>
      <c r="M87" s="8">
        <v>2239.31</v>
      </c>
      <c r="N87" s="8">
        <v>2128.59</v>
      </c>
    </row>
    <row r="88" spans="1:14" x14ac:dyDescent="0.3">
      <c r="A88" s="8" t="s">
        <v>739</v>
      </c>
      <c r="B88" s="8" t="s">
        <v>740</v>
      </c>
      <c r="C88" s="8" t="s">
        <v>117</v>
      </c>
      <c r="D88" s="8" t="s">
        <v>754</v>
      </c>
      <c r="E88" s="8" t="s">
        <v>755</v>
      </c>
      <c r="F88" s="8">
        <v>16.805399999999999</v>
      </c>
      <c r="G88" s="8">
        <v>18.8476</v>
      </c>
      <c r="H88" s="8">
        <v>22.896999999999998</v>
      </c>
      <c r="I88" s="8">
        <v>25.331600000000002</v>
      </c>
      <c r="J88" s="8">
        <v>25.107900000000001</v>
      </c>
      <c r="K88" s="8">
        <v>27.131399999999999</v>
      </c>
      <c r="L88" s="8">
        <v>26.742000000000001</v>
      </c>
      <c r="M88" s="8">
        <v>27.439699999999998</v>
      </c>
      <c r="N88" s="8">
        <v>25.9695</v>
      </c>
    </row>
    <row r="89" spans="1:14" x14ac:dyDescent="0.3">
      <c r="A89" s="8" t="s">
        <v>739</v>
      </c>
      <c r="B89" s="8" t="s">
        <v>740</v>
      </c>
      <c r="C89" s="8" t="s">
        <v>118</v>
      </c>
      <c r="D89" s="8" t="s">
        <v>754</v>
      </c>
      <c r="E89" s="8" t="s">
        <v>755</v>
      </c>
      <c r="F89" s="8">
        <v>23.239000000000001</v>
      </c>
      <c r="G89" s="8">
        <v>29.9053</v>
      </c>
      <c r="H89" s="8">
        <v>29.430900000000001</v>
      </c>
      <c r="I89" s="8">
        <v>37.673099999999998</v>
      </c>
      <c r="J89" s="8">
        <v>44.2209</v>
      </c>
      <c r="K89" s="8">
        <v>60.613900000000001</v>
      </c>
      <c r="L89" s="8">
        <v>82.253299999999996</v>
      </c>
      <c r="M89" s="8">
        <v>94.115099999999998</v>
      </c>
      <c r="N89" s="8">
        <v>100.371</v>
      </c>
    </row>
    <row r="90" spans="1:14" x14ac:dyDescent="0.3">
      <c r="A90" s="8" t="s">
        <v>739</v>
      </c>
      <c r="B90" s="8" t="s">
        <v>740</v>
      </c>
      <c r="C90" s="8" t="s">
        <v>119</v>
      </c>
      <c r="D90" s="8" t="s">
        <v>754</v>
      </c>
      <c r="E90" s="8" t="s">
        <v>755</v>
      </c>
      <c r="F90" s="8">
        <v>2574.5</v>
      </c>
      <c r="G90" s="8">
        <v>3174.06</v>
      </c>
      <c r="H90" s="8">
        <v>4050.12</v>
      </c>
      <c r="I90" s="8">
        <v>4374.8999999999996</v>
      </c>
      <c r="J90" s="8">
        <v>4663.91</v>
      </c>
      <c r="K90" s="8">
        <v>4947.42</v>
      </c>
      <c r="L90" s="8">
        <v>4935.49</v>
      </c>
      <c r="M90" s="8">
        <v>5199.91</v>
      </c>
      <c r="N90" s="8">
        <v>5113.07</v>
      </c>
    </row>
    <row r="91" spans="1:14" x14ac:dyDescent="0.3">
      <c r="A91" s="8" t="s">
        <v>739</v>
      </c>
      <c r="B91" s="8" t="s">
        <v>740</v>
      </c>
      <c r="C91" s="8" t="s">
        <v>121</v>
      </c>
      <c r="D91" s="8" t="s">
        <v>754</v>
      </c>
      <c r="E91" s="8" t="s">
        <v>755</v>
      </c>
      <c r="F91" s="8" t="s">
        <v>743</v>
      </c>
      <c r="G91" s="8" t="s">
        <v>743</v>
      </c>
      <c r="H91" s="8">
        <v>220.3</v>
      </c>
      <c r="I91" s="8">
        <v>135.678</v>
      </c>
      <c r="J91" s="8">
        <v>153.405</v>
      </c>
      <c r="K91" s="8">
        <v>251.23099999999999</v>
      </c>
      <c r="L91" s="8">
        <v>339.72199999999998</v>
      </c>
      <c r="M91" s="8">
        <v>427.78699999999998</v>
      </c>
      <c r="N91" s="8">
        <v>475.18200000000002</v>
      </c>
    </row>
    <row r="92" spans="1:14" x14ac:dyDescent="0.3">
      <c r="A92" s="8" t="s">
        <v>739</v>
      </c>
      <c r="B92" s="8" t="s">
        <v>740</v>
      </c>
      <c r="C92" s="8" t="s">
        <v>123</v>
      </c>
      <c r="D92" s="8" t="s">
        <v>754</v>
      </c>
      <c r="E92" s="8" t="s">
        <v>755</v>
      </c>
      <c r="F92" s="8">
        <v>56.559199999999997</v>
      </c>
      <c r="G92" s="8">
        <v>66.444100000000006</v>
      </c>
      <c r="H92" s="8">
        <v>86.877499999999998</v>
      </c>
      <c r="I92" s="8">
        <v>93.034099999999995</v>
      </c>
      <c r="J92" s="8">
        <v>103.07899999999999</v>
      </c>
      <c r="K92" s="8">
        <v>122.583</v>
      </c>
      <c r="L92" s="8">
        <v>155.136</v>
      </c>
      <c r="M92" s="8">
        <v>195.12799999999999</v>
      </c>
      <c r="N92" s="8">
        <v>233.85</v>
      </c>
    </row>
    <row r="93" spans="1:14" x14ac:dyDescent="0.3">
      <c r="A93" s="8" t="s">
        <v>739</v>
      </c>
      <c r="B93" s="8" t="s">
        <v>740</v>
      </c>
      <c r="C93" s="8" t="s">
        <v>725</v>
      </c>
      <c r="D93" s="8" t="s">
        <v>754</v>
      </c>
      <c r="E93" s="8" t="s">
        <v>755</v>
      </c>
      <c r="F93" s="8" t="s">
        <v>743</v>
      </c>
      <c r="G93" s="8" t="s">
        <v>743</v>
      </c>
      <c r="H93" s="8">
        <v>22.651199999999999</v>
      </c>
      <c r="I93" s="8">
        <v>11.5688</v>
      </c>
      <c r="J93" s="8">
        <v>15.198600000000001</v>
      </c>
      <c r="K93" s="8">
        <v>18.301300000000001</v>
      </c>
      <c r="L93" s="8">
        <v>22.559799999999999</v>
      </c>
      <c r="M93" s="8">
        <v>28.6233</v>
      </c>
      <c r="N93" s="8">
        <v>31.430900000000001</v>
      </c>
    </row>
    <row r="94" spans="1:14" x14ac:dyDescent="0.3">
      <c r="A94" s="8" t="s">
        <v>739</v>
      </c>
      <c r="B94" s="8" t="s">
        <v>740</v>
      </c>
      <c r="C94" s="8" t="s">
        <v>126</v>
      </c>
      <c r="D94" s="8" t="s">
        <v>754</v>
      </c>
      <c r="E94" s="8" t="s">
        <v>755</v>
      </c>
      <c r="F94" s="8" t="s">
        <v>743</v>
      </c>
      <c r="G94" s="8" t="s">
        <v>743</v>
      </c>
      <c r="H94" s="8">
        <v>9.1697600000000001</v>
      </c>
      <c r="I94" s="8">
        <v>12.600300000000001</v>
      </c>
      <c r="J94" s="8">
        <v>17.941400000000002</v>
      </c>
      <c r="K94" s="8">
        <v>28.146899999999999</v>
      </c>
      <c r="L94" s="8">
        <v>38.881999999999998</v>
      </c>
      <c r="M94" s="8">
        <v>55.003399999999999</v>
      </c>
      <c r="N94" s="8">
        <v>70.116</v>
      </c>
    </row>
    <row r="95" spans="1:14" x14ac:dyDescent="0.3">
      <c r="A95" s="8" t="s">
        <v>739</v>
      </c>
      <c r="B95" s="8" t="s">
        <v>740</v>
      </c>
      <c r="C95" s="8" t="s">
        <v>496</v>
      </c>
      <c r="D95" s="8" t="s">
        <v>754</v>
      </c>
      <c r="E95" s="8" t="s">
        <v>755</v>
      </c>
      <c r="F95" s="8">
        <v>0.135545</v>
      </c>
      <c r="G95" s="8">
        <v>0.129494</v>
      </c>
      <c r="H95" s="8">
        <v>0.13796600000000001</v>
      </c>
      <c r="I95" s="8">
        <v>0.14280699999999999</v>
      </c>
      <c r="J95" s="8">
        <v>0.16459099999999999</v>
      </c>
      <c r="K95" s="8">
        <v>0.17669299999999999</v>
      </c>
      <c r="L95" s="8">
        <v>0.17669299999999999</v>
      </c>
      <c r="M95" s="8">
        <v>0.21421000000000001</v>
      </c>
      <c r="N95" s="8">
        <v>0.21542000000000003</v>
      </c>
    </row>
    <row r="96" spans="1:14" x14ac:dyDescent="0.3">
      <c r="A96" s="8" t="s">
        <v>739</v>
      </c>
      <c r="B96" s="8" t="s">
        <v>740</v>
      </c>
      <c r="C96" s="8" t="s">
        <v>748</v>
      </c>
      <c r="D96" s="8" t="s">
        <v>754</v>
      </c>
      <c r="E96" s="8" t="s">
        <v>755</v>
      </c>
      <c r="F96" s="8">
        <v>208.95500000000001</v>
      </c>
      <c r="G96" s="8">
        <v>328.15499999999997</v>
      </c>
      <c r="H96" s="8">
        <v>542.56799999999998</v>
      </c>
      <c r="I96" s="8">
        <v>817.10299999999995</v>
      </c>
      <c r="J96" s="8">
        <v>1053.72</v>
      </c>
      <c r="K96" s="8">
        <v>1347.11</v>
      </c>
      <c r="L96" s="8">
        <v>1663.72</v>
      </c>
      <c r="M96" s="8">
        <v>1933.58</v>
      </c>
      <c r="N96" s="8">
        <v>2145.25</v>
      </c>
    </row>
    <row r="97" spans="1:14" x14ac:dyDescent="0.3">
      <c r="A97" s="8" t="s">
        <v>739</v>
      </c>
      <c r="B97" s="8" t="s">
        <v>740</v>
      </c>
      <c r="C97" s="8" t="s">
        <v>129</v>
      </c>
      <c r="D97" s="8" t="s">
        <v>754</v>
      </c>
      <c r="E97" s="8" t="s">
        <v>755</v>
      </c>
      <c r="F97" s="8">
        <v>83.318899999999999</v>
      </c>
      <c r="G97" s="8">
        <v>64.834900000000005</v>
      </c>
      <c r="H97" s="8">
        <v>63.590200000000003</v>
      </c>
      <c r="I97" s="8">
        <v>102.33499999999999</v>
      </c>
      <c r="J97" s="8">
        <v>112.452</v>
      </c>
      <c r="K97" s="8">
        <v>166.07900000000001</v>
      </c>
      <c r="L97" s="8">
        <v>175.952</v>
      </c>
      <c r="M97" s="8">
        <v>210.31899999999999</v>
      </c>
      <c r="N97" s="8">
        <v>191.52099999999999</v>
      </c>
    </row>
    <row r="98" spans="1:14" x14ac:dyDescent="0.3">
      <c r="A98" s="8" t="s">
        <v>739</v>
      </c>
      <c r="B98" s="8" t="s">
        <v>740</v>
      </c>
      <c r="C98" s="8" t="s">
        <v>749</v>
      </c>
      <c r="D98" s="8" t="s">
        <v>754</v>
      </c>
      <c r="E98" s="8" t="s">
        <v>755</v>
      </c>
      <c r="F98" s="8">
        <v>4.9003199999999998</v>
      </c>
      <c r="G98" s="8">
        <v>7.0799300000000001</v>
      </c>
      <c r="H98" s="8">
        <v>8.4369099999999992</v>
      </c>
      <c r="I98" s="8">
        <v>11.5076</v>
      </c>
      <c r="J98" s="8">
        <v>15.182600000000001</v>
      </c>
      <c r="K98" s="8">
        <v>20.6784</v>
      </c>
      <c r="L98" s="8">
        <v>30.386900000000001</v>
      </c>
      <c r="M98" s="8">
        <v>44.112499999999997</v>
      </c>
      <c r="N98" s="8">
        <v>55.867699999999999</v>
      </c>
    </row>
    <row r="99" spans="1:14" x14ac:dyDescent="0.3">
      <c r="A99" s="8" t="s">
        <v>739</v>
      </c>
      <c r="B99" s="8" t="s">
        <v>740</v>
      </c>
      <c r="C99" s="8" t="s">
        <v>131</v>
      </c>
      <c r="D99" s="8" t="s">
        <v>754</v>
      </c>
      <c r="E99" s="8" t="s">
        <v>755</v>
      </c>
      <c r="F99" s="8">
        <v>48.433999999999997</v>
      </c>
      <c r="G99" s="8">
        <v>67.839100000000002</v>
      </c>
      <c r="H99" s="8">
        <v>26.5243</v>
      </c>
      <c r="I99" s="8">
        <v>47.151299999999999</v>
      </c>
      <c r="J99" s="8">
        <v>56.325699999999998</v>
      </c>
      <c r="K99" s="8">
        <v>66.619500000000002</v>
      </c>
      <c r="L99" s="8">
        <v>96.000799999999998</v>
      </c>
      <c r="M99" s="8">
        <v>106.16800000000001</v>
      </c>
      <c r="N99" s="8">
        <v>73.619900000000001</v>
      </c>
    </row>
    <row r="100" spans="1:14" x14ac:dyDescent="0.3">
      <c r="A100" s="8" t="s">
        <v>739</v>
      </c>
      <c r="B100" s="8" t="s">
        <v>740</v>
      </c>
      <c r="C100" s="8" t="s">
        <v>507</v>
      </c>
      <c r="D100" s="8" t="s">
        <v>754</v>
      </c>
      <c r="E100" s="8" t="s">
        <v>755</v>
      </c>
      <c r="F100" s="8" t="s">
        <v>743</v>
      </c>
      <c r="G100" s="8" t="s">
        <v>743</v>
      </c>
      <c r="H100" s="8" t="s">
        <v>743</v>
      </c>
      <c r="I100" s="8" t="s">
        <v>743</v>
      </c>
      <c r="J100" s="8">
        <v>4.5711300000000001</v>
      </c>
      <c r="K100" s="8">
        <v>3.83385</v>
      </c>
      <c r="L100" s="8">
        <v>5.5832199999999998</v>
      </c>
      <c r="M100" s="8">
        <v>7.1471499999999999</v>
      </c>
      <c r="N100" s="8">
        <v>6.8991500000000006</v>
      </c>
    </row>
    <row r="101" spans="1:14" x14ac:dyDescent="0.3">
      <c r="A101" s="8" t="s">
        <v>739</v>
      </c>
      <c r="B101" s="8" t="s">
        <v>740</v>
      </c>
      <c r="C101" s="8" t="s">
        <v>133</v>
      </c>
      <c r="D101" s="8" t="s">
        <v>754</v>
      </c>
      <c r="E101" s="8" t="s">
        <v>755</v>
      </c>
      <c r="F101" s="8">
        <v>231.10400000000001</v>
      </c>
      <c r="G101" s="8">
        <v>164.90700000000001</v>
      </c>
      <c r="H101" s="8">
        <v>149.15299999999999</v>
      </c>
      <c r="I101" s="8">
        <v>139.006</v>
      </c>
      <c r="J101" s="8">
        <v>142.053</v>
      </c>
      <c r="K101" s="8">
        <v>190.86</v>
      </c>
      <c r="L101" s="8">
        <v>203.809</v>
      </c>
      <c r="M101" s="8">
        <v>118.327</v>
      </c>
      <c r="N101" s="8">
        <v>104.432</v>
      </c>
    </row>
    <row r="102" spans="1:14" x14ac:dyDescent="0.3">
      <c r="A102" s="8" t="s">
        <v>739</v>
      </c>
      <c r="B102" s="8" t="s">
        <v>740</v>
      </c>
      <c r="C102" s="8" t="s">
        <v>729</v>
      </c>
      <c r="D102" s="8" t="s">
        <v>754</v>
      </c>
      <c r="E102" s="8" t="s">
        <v>755</v>
      </c>
      <c r="F102" s="8">
        <v>0.72673100000000002</v>
      </c>
      <c r="G102" s="8">
        <v>0.98713499999999998</v>
      </c>
      <c r="H102" s="8">
        <v>1.6004100000000001</v>
      </c>
      <c r="I102" s="8">
        <v>1.8033300000000001</v>
      </c>
      <c r="J102" s="8">
        <v>2.0122599999999999</v>
      </c>
      <c r="K102" s="8">
        <v>2.1737000000000002</v>
      </c>
      <c r="L102" s="8">
        <v>2.4405999999999999</v>
      </c>
      <c r="M102" s="8">
        <v>2.5195699999999999</v>
      </c>
      <c r="N102" s="8">
        <v>2.1212200000000001</v>
      </c>
    </row>
    <row r="103" spans="1:14" x14ac:dyDescent="0.3">
      <c r="A103" s="8" t="s">
        <v>739</v>
      </c>
      <c r="B103" s="8" t="s">
        <v>740</v>
      </c>
      <c r="C103" s="8" t="s">
        <v>135</v>
      </c>
      <c r="D103" s="8" t="s">
        <v>754</v>
      </c>
      <c r="E103" s="8" t="s">
        <v>755</v>
      </c>
      <c r="F103" s="8">
        <v>42.844799999999999</v>
      </c>
      <c r="G103" s="8">
        <v>54.966799999999999</v>
      </c>
      <c r="H103" s="8">
        <v>64.836399999999998</v>
      </c>
      <c r="I103" s="8">
        <v>85.704400000000007</v>
      </c>
      <c r="J103" s="8">
        <v>116.30800000000001</v>
      </c>
      <c r="K103" s="8">
        <v>140.39099999999999</v>
      </c>
      <c r="L103" s="8">
        <v>191.28399999999999</v>
      </c>
      <c r="M103" s="8">
        <v>260.459</v>
      </c>
      <c r="N103" s="8">
        <v>283.61900000000003</v>
      </c>
    </row>
    <row r="104" spans="1:14" x14ac:dyDescent="0.3">
      <c r="A104" s="8" t="s">
        <v>739</v>
      </c>
      <c r="B104" s="8" t="s">
        <v>740</v>
      </c>
      <c r="C104" s="8" t="s">
        <v>525</v>
      </c>
      <c r="D104" s="8" t="s">
        <v>754</v>
      </c>
      <c r="E104" s="8" t="s">
        <v>755</v>
      </c>
      <c r="F104" s="8">
        <v>1.4984</v>
      </c>
      <c r="G104" s="8">
        <v>1.8122</v>
      </c>
      <c r="H104" s="8">
        <v>2.3494299999999999</v>
      </c>
      <c r="I104" s="8">
        <v>3.0508099999999998</v>
      </c>
      <c r="J104" s="8">
        <v>3.52691</v>
      </c>
      <c r="K104" s="8">
        <v>4.1020799999999999</v>
      </c>
      <c r="L104" s="8">
        <v>4.8748699999999996</v>
      </c>
      <c r="M104" s="8">
        <v>5.7754300000000001</v>
      </c>
      <c r="N104" s="8">
        <v>5.3209299999999997</v>
      </c>
    </row>
    <row r="105" spans="1:14" x14ac:dyDescent="0.3">
      <c r="A105" s="8" t="s">
        <v>739</v>
      </c>
      <c r="B105" s="8" t="s">
        <v>740</v>
      </c>
      <c r="C105" s="8" t="s">
        <v>137</v>
      </c>
      <c r="D105" s="8" t="s">
        <v>754</v>
      </c>
      <c r="E105" s="8" t="s">
        <v>755</v>
      </c>
      <c r="F105" s="8" t="s">
        <v>743</v>
      </c>
      <c r="G105" s="8" t="s">
        <v>743</v>
      </c>
      <c r="H105" s="8" t="s">
        <v>743</v>
      </c>
      <c r="I105" s="8">
        <v>38.6143</v>
      </c>
      <c r="J105" s="8">
        <v>45.440199999999997</v>
      </c>
      <c r="K105" s="8">
        <v>65.594999999999999</v>
      </c>
      <c r="L105" s="8">
        <v>69.540800000000004</v>
      </c>
      <c r="M105" s="8">
        <v>83.76</v>
      </c>
      <c r="N105" s="8">
        <v>97.444000000000003</v>
      </c>
    </row>
    <row r="106" spans="1:14" x14ac:dyDescent="0.3">
      <c r="A106" s="8" t="s">
        <v>739</v>
      </c>
      <c r="B106" s="8" t="s">
        <v>740</v>
      </c>
      <c r="C106" s="8" t="s">
        <v>139</v>
      </c>
      <c r="D106" s="8" t="s">
        <v>754</v>
      </c>
      <c r="E106" s="8" t="s">
        <v>755</v>
      </c>
      <c r="F106" s="8">
        <v>16.7364</v>
      </c>
      <c r="G106" s="8">
        <v>18.9221</v>
      </c>
      <c r="H106" s="8">
        <v>27.1341</v>
      </c>
      <c r="I106" s="8">
        <v>32.936999999999998</v>
      </c>
      <c r="J106" s="8">
        <v>41.390700000000002</v>
      </c>
      <c r="K106" s="8">
        <v>48.316499999999998</v>
      </c>
      <c r="L106" s="8">
        <v>55.372500000000002</v>
      </c>
      <c r="M106" s="8">
        <v>61.569800000000001</v>
      </c>
      <c r="N106" s="8">
        <v>67.648399999999995</v>
      </c>
    </row>
    <row r="107" spans="1:14" x14ac:dyDescent="0.3">
      <c r="A107" s="8" t="s">
        <v>739</v>
      </c>
      <c r="B107" s="8" t="s">
        <v>740</v>
      </c>
      <c r="C107" s="8" t="s">
        <v>141</v>
      </c>
      <c r="D107" s="8" t="s">
        <v>754</v>
      </c>
      <c r="E107" s="8" t="s">
        <v>755</v>
      </c>
      <c r="F107" s="8" t="s">
        <v>743</v>
      </c>
      <c r="G107" s="8" t="s">
        <v>743</v>
      </c>
      <c r="H107" s="8" t="s">
        <v>743</v>
      </c>
      <c r="I107" s="8">
        <v>23.854099999999999</v>
      </c>
      <c r="J107" s="8">
        <v>28.841799999999999</v>
      </c>
      <c r="K107" s="8">
        <v>42.688000000000002</v>
      </c>
      <c r="L107" s="8">
        <v>41.650599999999997</v>
      </c>
      <c r="M107" s="8">
        <v>49.383699999999997</v>
      </c>
      <c r="N107" s="8">
        <v>52.711599999999997</v>
      </c>
    </row>
    <row r="108" spans="1:14" x14ac:dyDescent="0.3">
      <c r="A108" s="8" t="s">
        <v>739</v>
      </c>
      <c r="B108" s="8" t="s">
        <v>740</v>
      </c>
      <c r="C108" s="8" t="s">
        <v>750</v>
      </c>
      <c r="D108" s="8" t="s">
        <v>754</v>
      </c>
      <c r="E108" s="8" t="s">
        <v>755</v>
      </c>
      <c r="F108" s="8" t="s">
        <v>743</v>
      </c>
      <c r="G108" s="8" t="s">
        <v>743</v>
      </c>
      <c r="H108" s="8">
        <v>16.768999999999998</v>
      </c>
      <c r="I108" s="8">
        <v>22.308700000000002</v>
      </c>
      <c r="J108" s="8">
        <v>21.827999999999999</v>
      </c>
      <c r="K108" s="8">
        <v>37.371699999999997</v>
      </c>
      <c r="L108" s="8">
        <v>63.555799999999998</v>
      </c>
      <c r="M108" s="8">
        <v>71.894599999999997</v>
      </c>
      <c r="N108" s="8">
        <v>37.303100000000001</v>
      </c>
    </row>
    <row r="109" spans="1:14" x14ac:dyDescent="0.3">
      <c r="A109" s="8" t="s">
        <v>739</v>
      </c>
      <c r="B109" s="8" t="s">
        <v>740</v>
      </c>
      <c r="C109" s="8" t="s">
        <v>143</v>
      </c>
      <c r="D109" s="8" t="s">
        <v>754</v>
      </c>
      <c r="E109" s="8" t="s">
        <v>755</v>
      </c>
      <c r="F109" s="8">
        <v>71.277299999999997</v>
      </c>
      <c r="G109" s="8">
        <v>83.811499999999995</v>
      </c>
      <c r="H109" s="8">
        <v>104.01600000000001</v>
      </c>
      <c r="I109" s="8">
        <v>112.29600000000001</v>
      </c>
      <c r="J109" s="8">
        <v>137.68199999999999</v>
      </c>
      <c r="K109" s="8">
        <v>175.542</v>
      </c>
      <c r="L109" s="8">
        <v>222.708</v>
      </c>
      <c r="M109" s="8">
        <v>270.392</v>
      </c>
      <c r="N109" s="8">
        <v>281.07600000000002</v>
      </c>
    </row>
    <row r="110" spans="1:14" x14ac:dyDescent="0.3">
      <c r="A110" s="8" t="s">
        <v>739</v>
      </c>
      <c r="B110" s="8" t="s">
        <v>740</v>
      </c>
      <c r="C110" s="8" t="s">
        <v>145</v>
      </c>
      <c r="D110" s="8" t="s">
        <v>754</v>
      </c>
      <c r="E110" s="8" t="s">
        <v>755</v>
      </c>
      <c r="F110" s="8" t="s">
        <v>743</v>
      </c>
      <c r="G110" s="8" t="s">
        <v>743</v>
      </c>
      <c r="H110" s="8" t="s">
        <v>743</v>
      </c>
      <c r="I110" s="8">
        <v>16.636400000000002</v>
      </c>
      <c r="J110" s="8">
        <v>14.667199999999999</v>
      </c>
      <c r="K110" s="8">
        <v>20.646599999999999</v>
      </c>
      <c r="L110" s="8">
        <v>24.186900000000001</v>
      </c>
      <c r="M110" s="8">
        <v>29.031500000000001</v>
      </c>
      <c r="N110" s="8">
        <v>31.236799999999999</v>
      </c>
    </row>
    <row r="111" spans="1:14" x14ac:dyDescent="0.3">
      <c r="A111" s="8" t="s">
        <v>739</v>
      </c>
      <c r="B111" s="8" t="s">
        <v>740</v>
      </c>
      <c r="C111" s="8" t="s">
        <v>540</v>
      </c>
      <c r="D111" s="8" t="s">
        <v>754</v>
      </c>
      <c r="E111" s="8" t="s">
        <v>755</v>
      </c>
      <c r="F111" s="8">
        <v>20.425899999999999</v>
      </c>
      <c r="G111" s="8">
        <v>18.772400000000001</v>
      </c>
      <c r="H111" s="8">
        <v>21.493099999999998</v>
      </c>
      <c r="I111" s="8">
        <v>21.143699999999999</v>
      </c>
      <c r="J111" s="8">
        <v>25.453900000000001</v>
      </c>
      <c r="K111" s="8">
        <v>28.603300000000001</v>
      </c>
      <c r="L111" s="8">
        <v>32.857399999999998</v>
      </c>
      <c r="M111" s="8">
        <v>37.484900000000003</v>
      </c>
      <c r="N111" s="8">
        <v>40.537700000000001</v>
      </c>
    </row>
    <row r="112" spans="1:14" x14ac:dyDescent="0.3">
      <c r="A112" s="8" t="s">
        <v>739</v>
      </c>
      <c r="B112" s="8" t="s">
        <v>740</v>
      </c>
      <c r="C112" s="8" t="s">
        <v>542</v>
      </c>
      <c r="D112" s="8" t="s">
        <v>754</v>
      </c>
      <c r="E112" s="8" t="s">
        <v>755</v>
      </c>
      <c r="F112" s="8">
        <v>0.70877699999999999</v>
      </c>
      <c r="G112" s="8">
        <v>1.14622</v>
      </c>
      <c r="H112" s="8">
        <v>1.5449600000000001</v>
      </c>
      <c r="I112" s="8">
        <v>2.13964</v>
      </c>
      <c r="J112" s="8">
        <v>3.1783399999999999</v>
      </c>
      <c r="K112" s="8">
        <v>4.0293000000000001</v>
      </c>
      <c r="L112" s="8">
        <v>5.9633200000000004</v>
      </c>
      <c r="M112" s="8">
        <v>7.8628</v>
      </c>
      <c r="N112" s="8">
        <v>6.9033899999999999</v>
      </c>
    </row>
    <row r="113" spans="1:14" x14ac:dyDescent="0.3">
      <c r="A113" s="8" t="s">
        <v>739</v>
      </c>
      <c r="B113" s="8" t="s">
        <v>740</v>
      </c>
      <c r="C113" s="8" t="s">
        <v>147</v>
      </c>
      <c r="D113" s="8" t="s">
        <v>754</v>
      </c>
      <c r="E113" s="8" t="s">
        <v>755</v>
      </c>
      <c r="F113" s="8">
        <v>1119.28</v>
      </c>
      <c r="G113" s="8">
        <v>1232.22</v>
      </c>
      <c r="H113" s="8">
        <v>1346.92</v>
      </c>
      <c r="I113" s="8">
        <v>1455.52</v>
      </c>
      <c r="J113" s="8">
        <v>1798.32</v>
      </c>
      <c r="K113" s="8">
        <v>1911.13</v>
      </c>
      <c r="L113" s="8">
        <v>2030.08</v>
      </c>
      <c r="M113" s="8">
        <v>2308.81</v>
      </c>
      <c r="N113" s="8">
        <v>2223.54</v>
      </c>
    </row>
    <row r="114" spans="1:14" x14ac:dyDescent="0.3">
      <c r="A114" s="8" t="s">
        <v>739</v>
      </c>
      <c r="B114" s="8" t="s">
        <v>740</v>
      </c>
      <c r="C114" s="8" t="s">
        <v>149</v>
      </c>
      <c r="D114" s="8" t="s">
        <v>754</v>
      </c>
      <c r="E114" s="8" t="s">
        <v>755</v>
      </c>
      <c r="F114" s="8" t="s">
        <v>743</v>
      </c>
      <c r="G114" s="8" t="s">
        <v>743</v>
      </c>
      <c r="H114" s="8">
        <v>22.7133</v>
      </c>
      <c r="I114" s="8">
        <v>17.843800000000002</v>
      </c>
      <c r="J114" s="8">
        <v>20.639299999999999</v>
      </c>
      <c r="K114" s="8">
        <v>22.7529</v>
      </c>
      <c r="L114" s="8">
        <v>27.666799999999999</v>
      </c>
      <c r="M114" s="8">
        <v>31.221399999999999</v>
      </c>
      <c r="N114" s="8">
        <v>33.072000000000003</v>
      </c>
    </row>
    <row r="115" spans="1:14" x14ac:dyDescent="0.3">
      <c r="A115" s="8" t="s">
        <v>739</v>
      </c>
      <c r="B115" s="8" t="s">
        <v>740</v>
      </c>
      <c r="C115" s="8" t="s">
        <v>552</v>
      </c>
      <c r="D115" s="8" t="s">
        <v>754</v>
      </c>
      <c r="E115" s="8" t="s">
        <v>755</v>
      </c>
      <c r="F115" s="8">
        <v>10.1858</v>
      </c>
      <c r="G115" s="8">
        <v>9.3866399999999999</v>
      </c>
      <c r="H115" s="8">
        <v>12.356199999999999</v>
      </c>
      <c r="I115" s="8">
        <v>14.5014</v>
      </c>
      <c r="J115" s="8">
        <v>17.817599999999999</v>
      </c>
      <c r="K115" s="8">
        <v>25.0245</v>
      </c>
      <c r="L115" s="8">
        <v>31.3384</v>
      </c>
      <c r="M115" s="8">
        <v>37.313800000000001</v>
      </c>
      <c r="N115" s="8">
        <v>45.075600000000001</v>
      </c>
    </row>
    <row r="116" spans="1:14" x14ac:dyDescent="0.3">
      <c r="A116" s="8" t="s">
        <v>739</v>
      </c>
      <c r="B116" s="8" t="s">
        <v>740</v>
      </c>
      <c r="C116" s="8" t="s">
        <v>151</v>
      </c>
      <c r="D116" s="8" t="s">
        <v>754</v>
      </c>
      <c r="E116" s="8" t="s">
        <v>755</v>
      </c>
      <c r="F116" s="8">
        <v>4.9444600000000003</v>
      </c>
      <c r="G116" s="8">
        <v>5.3830999999999998</v>
      </c>
      <c r="H116" s="8">
        <v>7.0704900000000004</v>
      </c>
      <c r="I116" s="8">
        <v>9.4035700000000002</v>
      </c>
      <c r="J116" s="8">
        <v>10.894299999999999</v>
      </c>
      <c r="K116" s="8">
        <v>11.8965</v>
      </c>
      <c r="L116" s="8">
        <v>13.8432</v>
      </c>
      <c r="M116" s="8">
        <v>18.019600000000001</v>
      </c>
      <c r="N116" s="8">
        <v>21.831800000000001</v>
      </c>
    </row>
    <row r="117" spans="1:14" x14ac:dyDescent="0.3">
      <c r="A117" s="8" t="s">
        <v>739</v>
      </c>
      <c r="B117" s="8" t="s">
        <v>740</v>
      </c>
      <c r="C117" s="8" t="s">
        <v>152</v>
      </c>
      <c r="D117" s="8" t="s">
        <v>754</v>
      </c>
      <c r="E117" s="8" t="s">
        <v>755</v>
      </c>
      <c r="F117" s="8" t="s">
        <v>743</v>
      </c>
      <c r="G117" s="8" t="s">
        <v>743</v>
      </c>
      <c r="H117" s="8">
        <v>23.322400000000002</v>
      </c>
      <c r="I117" s="8">
        <v>30.380800000000001</v>
      </c>
      <c r="J117" s="8">
        <v>51.515700000000002</v>
      </c>
      <c r="K117" s="8">
        <v>94.417599999999993</v>
      </c>
      <c r="L117" s="8">
        <v>142.21799999999999</v>
      </c>
      <c r="M117" s="8">
        <v>200.41200000000001</v>
      </c>
      <c r="N117" s="8">
        <v>264.33</v>
      </c>
    </row>
    <row r="118" spans="1:14" x14ac:dyDescent="0.3">
      <c r="A118" s="8" t="s">
        <v>739</v>
      </c>
      <c r="B118" s="8" t="s">
        <v>740</v>
      </c>
      <c r="C118" s="8" t="s">
        <v>153</v>
      </c>
      <c r="D118" s="8" t="s">
        <v>754</v>
      </c>
      <c r="E118" s="8" t="s">
        <v>755</v>
      </c>
      <c r="F118" s="8" t="s">
        <v>743</v>
      </c>
      <c r="G118" s="8" t="s">
        <v>743</v>
      </c>
      <c r="H118" s="8" t="s">
        <v>743</v>
      </c>
      <c r="I118" s="8" t="s">
        <v>743</v>
      </c>
      <c r="J118" s="8">
        <v>7.5248299999999997</v>
      </c>
      <c r="K118" s="8">
        <v>8.6455400000000004</v>
      </c>
      <c r="L118" s="8">
        <v>10.398</v>
      </c>
      <c r="M118" s="8">
        <v>11.3759</v>
      </c>
      <c r="N118" s="8">
        <v>11.358599999999999</v>
      </c>
    </row>
    <row r="119" spans="1:14" x14ac:dyDescent="0.3">
      <c r="A119" s="8" t="s">
        <v>739</v>
      </c>
      <c r="B119" s="8" t="s">
        <v>740</v>
      </c>
      <c r="C119" s="8" t="s">
        <v>155</v>
      </c>
      <c r="D119" s="8" t="s">
        <v>754</v>
      </c>
      <c r="E119" s="8" t="s">
        <v>755</v>
      </c>
      <c r="F119" s="8">
        <v>6.6252599999999999</v>
      </c>
      <c r="G119" s="8">
        <v>9.2105599999999992</v>
      </c>
      <c r="H119" s="8">
        <v>11.147600000000001</v>
      </c>
      <c r="I119" s="8">
        <v>9.6632300000000004</v>
      </c>
      <c r="J119" s="8">
        <v>11.058</v>
      </c>
      <c r="K119" s="8">
        <v>15.2401</v>
      </c>
      <c r="L119" s="8">
        <v>20.313600000000001</v>
      </c>
      <c r="M119" s="8">
        <v>33.011600000000001</v>
      </c>
      <c r="N119" s="8">
        <v>38.433999999999997</v>
      </c>
    </row>
    <row r="120" spans="1:14" x14ac:dyDescent="0.3">
      <c r="A120" s="8" t="s">
        <v>739</v>
      </c>
      <c r="B120" s="8" t="s">
        <v>740</v>
      </c>
      <c r="C120" s="8" t="s">
        <v>157</v>
      </c>
      <c r="D120" s="8" t="s">
        <v>754</v>
      </c>
      <c r="E120" s="8" t="s">
        <v>755</v>
      </c>
      <c r="F120" s="8">
        <v>5.93893</v>
      </c>
      <c r="G120" s="8">
        <v>4.6217699999999997</v>
      </c>
      <c r="H120" s="8">
        <v>6.0279199999999999</v>
      </c>
      <c r="I120" s="8">
        <v>7.2646800000000002</v>
      </c>
      <c r="J120" s="8">
        <v>11.171099999999999</v>
      </c>
      <c r="K120" s="8">
        <v>16.832799999999999</v>
      </c>
      <c r="L120" s="8">
        <v>24.1721</v>
      </c>
      <c r="M120" s="8">
        <v>34.143999999999998</v>
      </c>
      <c r="N120" s="8">
        <v>38.456400000000002</v>
      </c>
    </row>
    <row r="121" spans="1:14" x14ac:dyDescent="0.3">
      <c r="A121" s="8" t="s">
        <v>739</v>
      </c>
      <c r="B121" s="8" t="s">
        <v>740</v>
      </c>
      <c r="C121" s="8" t="s">
        <v>563</v>
      </c>
      <c r="D121" s="8" t="s">
        <v>754</v>
      </c>
      <c r="E121" s="8" t="s">
        <v>755</v>
      </c>
      <c r="F121" s="8" t="s">
        <v>743</v>
      </c>
      <c r="G121" s="8" t="s">
        <v>743</v>
      </c>
      <c r="H121" s="8">
        <v>9.4265399999999993</v>
      </c>
      <c r="I121" s="8">
        <v>10.8132</v>
      </c>
      <c r="J121" s="8">
        <v>11.2407</v>
      </c>
      <c r="K121" s="8">
        <v>13.7447</v>
      </c>
      <c r="L121" s="8">
        <v>16.323699999999999</v>
      </c>
      <c r="M121" s="8">
        <v>20.3308</v>
      </c>
      <c r="N121" s="8">
        <v>23.939900000000002</v>
      </c>
    </row>
    <row r="122" spans="1:14" x14ac:dyDescent="0.3">
      <c r="A122" s="8" t="s">
        <v>739</v>
      </c>
      <c r="B122" s="8" t="s">
        <v>740</v>
      </c>
      <c r="C122" s="8" t="s">
        <v>159</v>
      </c>
      <c r="D122" s="8" t="s">
        <v>754</v>
      </c>
      <c r="E122" s="8" t="s">
        <v>755</v>
      </c>
      <c r="F122" s="8">
        <v>4.8391200000000003</v>
      </c>
      <c r="G122" s="8">
        <v>6.0762099999999997</v>
      </c>
      <c r="H122" s="8">
        <v>8.7839399999999994</v>
      </c>
      <c r="I122" s="8">
        <v>11.150700000000001</v>
      </c>
      <c r="J122" s="8">
        <v>14.6532</v>
      </c>
      <c r="K122" s="8">
        <v>17.237100000000002</v>
      </c>
      <c r="L122" s="8">
        <v>21.646100000000001</v>
      </c>
      <c r="M122" s="8">
        <v>25.945699999999999</v>
      </c>
      <c r="N122" s="8">
        <v>25.598099999999999</v>
      </c>
    </row>
    <row r="123" spans="1:14" x14ac:dyDescent="0.3">
      <c r="A123" s="8" t="s">
        <v>739</v>
      </c>
      <c r="B123" s="8" t="s">
        <v>740</v>
      </c>
      <c r="C123" s="8" t="s">
        <v>566</v>
      </c>
      <c r="D123" s="8" t="s">
        <v>754</v>
      </c>
      <c r="E123" s="8" t="s">
        <v>755</v>
      </c>
      <c r="F123" s="8">
        <v>7.1757799999999996</v>
      </c>
      <c r="G123" s="8">
        <v>7.9644300000000001</v>
      </c>
      <c r="H123" s="8">
        <v>8.9258900000000008</v>
      </c>
      <c r="I123" s="8">
        <v>10.071300000000001</v>
      </c>
      <c r="J123" s="8">
        <v>12.4495</v>
      </c>
      <c r="K123" s="8">
        <v>13.9846</v>
      </c>
      <c r="L123" s="8">
        <v>19.9983</v>
      </c>
      <c r="M123" s="8">
        <v>24.4573</v>
      </c>
      <c r="N123" s="8">
        <v>28.8962</v>
      </c>
    </row>
    <row r="124" spans="1:14" x14ac:dyDescent="0.3">
      <c r="A124" s="8" t="s">
        <v>739</v>
      </c>
      <c r="B124" s="8" t="s">
        <v>740</v>
      </c>
      <c r="C124" s="8" t="s">
        <v>160</v>
      </c>
      <c r="D124" s="8" t="s">
        <v>754</v>
      </c>
      <c r="E124" s="8" t="s">
        <v>755</v>
      </c>
      <c r="F124" s="8">
        <v>104.23399999999999</v>
      </c>
      <c r="G124" s="8">
        <v>134.029</v>
      </c>
      <c r="H124" s="8">
        <v>186.74</v>
      </c>
      <c r="I124" s="8">
        <v>293.61500000000001</v>
      </c>
      <c r="J124" s="8">
        <v>370.38099999999997</v>
      </c>
      <c r="K124" s="8">
        <v>465.29199999999997</v>
      </c>
      <c r="L124" s="8">
        <v>579.75699999999995</v>
      </c>
      <c r="M124" s="8">
        <v>750.35</v>
      </c>
      <c r="N124" s="8">
        <v>858.29200000000003</v>
      </c>
    </row>
    <row r="125" spans="1:14" x14ac:dyDescent="0.3">
      <c r="A125" s="8" t="s">
        <v>739</v>
      </c>
      <c r="B125" s="8" t="s">
        <v>740</v>
      </c>
      <c r="C125" s="8" t="s">
        <v>727</v>
      </c>
      <c r="D125" s="8" t="s">
        <v>754</v>
      </c>
      <c r="E125" s="8" t="s">
        <v>755</v>
      </c>
      <c r="F125" s="8" t="s">
        <v>743</v>
      </c>
      <c r="G125" s="8" t="s">
        <v>743</v>
      </c>
      <c r="H125" s="8" t="s">
        <v>743</v>
      </c>
      <c r="I125" s="8" t="s">
        <v>743</v>
      </c>
      <c r="J125" s="8" t="s">
        <v>743</v>
      </c>
      <c r="K125" s="8" t="s">
        <v>743</v>
      </c>
      <c r="L125" s="8" t="s">
        <v>743</v>
      </c>
      <c r="M125" s="8" t="s">
        <v>743</v>
      </c>
      <c r="N125" s="8">
        <v>6.3748300000000002</v>
      </c>
    </row>
    <row r="126" spans="1:14" x14ac:dyDescent="0.3">
      <c r="A126" s="8" t="s">
        <v>739</v>
      </c>
      <c r="B126" s="8" t="s">
        <v>740</v>
      </c>
      <c r="C126" s="8" t="s">
        <v>162</v>
      </c>
      <c r="D126" s="8" t="s">
        <v>754</v>
      </c>
      <c r="E126" s="8" t="s">
        <v>755</v>
      </c>
      <c r="F126" s="8" t="s">
        <v>743</v>
      </c>
      <c r="G126" s="8" t="s">
        <v>743</v>
      </c>
      <c r="H126" s="8">
        <v>8.9353700000000007</v>
      </c>
      <c r="I126" s="8">
        <v>10.8515</v>
      </c>
      <c r="J126" s="8">
        <v>12.8962</v>
      </c>
      <c r="K126" s="8">
        <v>16.269400000000001</v>
      </c>
      <c r="L126" s="8">
        <v>19.1358</v>
      </c>
      <c r="M126" s="8">
        <v>24.683299999999999</v>
      </c>
      <c r="N126" s="8">
        <v>22.505700000000001</v>
      </c>
    </row>
    <row r="127" spans="1:14" x14ac:dyDescent="0.3">
      <c r="A127" s="8" t="s">
        <v>739</v>
      </c>
      <c r="B127" s="8" t="s">
        <v>740</v>
      </c>
      <c r="C127" s="8" t="s">
        <v>572</v>
      </c>
      <c r="D127" s="8" t="s">
        <v>754</v>
      </c>
      <c r="E127" s="8" t="s">
        <v>755</v>
      </c>
      <c r="F127" s="8" t="s">
        <v>743</v>
      </c>
      <c r="G127" s="8" t="s">
        <v>743</v>
      </c>
      <c r="H127" s="8" t="s">
        <v>743</v>
      </c>
      <c r="I127" s="8" t="s">
        <v>743</v>
      </c>
      <c r="J127" s="8" t="s">
        <v>743</v>
      </c>
      <c r="K127" s="8" t="s">
        <v>743</v>
      </c>
      <c r="L127" s="8" t="s">
        <v>743</v>
      </c>
      <c r="M127" s="8" t="s">
        <v>743</v>
      </c>
      <c r="N127" s="8">
        <v>6.2514500000000002</v>
      </c>
    </row>
    <row r="128" spans="1:14" x14ac:dyDescent="0.3">
      <c r="A128" s="8" t="s">
        <v>739</v>
      </c>
      <c r="B128" s="8" t="s">
        <v>740</v>
      </c>
      <c r="C128" s="8" t="s">
        <v>164</v>
      </c>
      <c r="D128" s="8" t="s">
        <v>754</v>
      </c>
      <c r="E128" s="8" t="s">
        <v>755</v>
      </c>
      <c r="F128" s="8">
        <v>9.0597899999999996</v>
      </c>
      <c r="G128" s="8">
        <v>7.9594699999999996</v>
      </c>
      <c r="H128" s="8">
        <v>9.0217200000000002</v>
      </c>
      <c r="I128" s="8">
        <v>9.5918700000000001</v>
      </c>
      <c r="J128" s="8">
        <v>10.567299999999999</v>
      </c>
      <c r="K128" s="8">
        <v>13.0914</v>
      </c>
      <c r="L128" s="8">
        <v>17.0608</v>
      </c>
      <c r="M128" s="8">
        <v>22.631900000000002</v>
      </c>
      <c r="N128" s="8">
        <v>29.553699999999999</v>
      </c>
    </row>
    <row r="129" spans="1:14" x14ac:dyDescent="0.3">
      <c r="A129" s="8" t="s">
        <v>739</v>
      </c>
      <c r="B129" s="8" t="s">
        <v>740</v>
      </c>
      <c r="C129" s="8" t="s">
        <v>166</v>
      </c>
      <c r="D129" s="8" t="s">
        <v>754</v>
      </c>
      <c r="E129" s="8" t="s">
        <v>755</v>
      </c>
      <c r="F129" s="8" t="s">
        <v>743</v>
      </c>
      <c r="G129" s="8" t="s">
        <v>743</v>
      </c>
      <c r="H129" s="8">
        <v>276.36599999999999</v>
      </c>
      <c r="I129" s="8">
        <v>291.36200000000002</v>
      </c>
      <c r="J129" s="8">
        <v>339.10500000000002</v>
      </c>
      <c r="K129" s="8">
        <v>536.46500000000003</v>
      </c>
      <c r="L129" s="8">
        <v>794.06</v>
      </c>
      <c r="M129" s="8">
        <v>998.93100000000004</v>
      </c>
      <c r="N129" s="8">
        <v>1013.53</v>
      </c>
    </row>
    <row r="130" spans="1:14" x14ac:dyDescent="0.3">
      <c r="A130" s="8" t="s">
        <v>739</v>
      </c>
      <c r="B130" s="8" t="s">
        <v>740</v>
      </c>
      <c r="C130" s="8" t="s">
        <v>167</v>
      </c>
      <c r="D130" s="8" t="s">
        <v>754</v>
      </c>
      <c r="E130" s="8" t="s">
        <v>755</v>
      </c>
      <c r="F130" s="8" t="s">
        <v>743</v>
      </c>
      <c r="G130" s="8" t="s">
        <v>743</v>
      </c>
      <c r="H130" s="8">
        <v>14.2296</v>
      </c>
      <c r="I130" s="8">
        <v>15.7997</v>
      </c>
      <c r="J130" s="8">
        <v>20.187000000000001</v>
      </c>
      <c r="K130" s="8">
        <v>23.577999999999999</v>
      </c>
      <c r="L130" s="8">
        <v>26.8597</v>
      </c>
      <c r="M130" s="8">
        <v>35.039299999999997</v>
      </c>
      <c r="N130" s="8">
        <v>35.3371</v>
      </c>
    </row>
    <row r="131" spans="1:14" x14ac:dyDescent="0.3">
      <c r="A131" s="8" t="s">
        <v>739</v>
      </c>
      <c r="B131" s="8" t="s">
        <v>740</v>
      </c>
      <c r="C131" s="8" t="s">
        <v>169</v>
      </c>
      <c r="D131" s="8" t="s">
        <v>754</v>
      </c>
      <c r="E131" s="8" t="s">
        <v>755</v>
      </c>
      <c r="F131" s="8">
        <v>438.29899999999998</v>
      </c>
      <c r="G131" s="8">
        <v>463.68099999999998</v>
      </c>
      <c r="H131" s="8">
        <v>545.89599999999996</v>
      </c>
      <c r="I131" s="8">
        <v>611.93799999999999</v>
      </c>
      <c r="J131" s="8">
        <v>717.13</v>
      </c>
      <c r="K131" s="8">
        <v>765.40499999999997</v>
      </c>
      <c r="L131" s="8">
        <v>820.56299999999999</v>
      </c>
      <c r="M131" s="8">
        <v>852.05899999999997</v>
      </c>
      <c r="N131" s="8">
        <v>898.32399999999996</v>
      </c>
    </row>
    <row r="132" spans="1:14" x14ac:dyDescent="0.3">
      <c r="A132" s="8" t="s">
        <v>739</v>
      </c>
      <c r="B132" s="8" t="s">
        <v>740</v>
      </c>
      <c r="C132" s="8" t="s">
        <v>171</v>
      </c>
      <c r="D132" s="8" t="s">
        <v>754</v>
      </c>
      <c r="E132" s="8" t="s">
        <v>755</v>
      </c>
      <c r="F132" s="8">
        <v>139.196</v>
      </c>
      <c r="G132" s="8">
        <v>164.98500000000001</v>
      </c>
      <c r="H132" s="8">
        <v>179.429</v>
      </c>
      <c r="I132" s="8">
        <v>215.58699999999999</v>
      </c>
      <c r="J132" s="8">
        <v>247.38900000000001</v>
      </c>
      <c r="K132" s="8">
        <v>275.99099999999999</v>
      </c>
      <c r="L132" s="8">
        <v>289.01</v>
      </c>
      <c r="M132" s="8">
        <v>315.154</v>
      </c>
      <c r="N132" s="8">
        <v>328.83199999999999</v>
      </c>
    </row>
    <row r="133" spans="1:14" x14ac:dyDescent="0.3">
      <c r="A133" s="8" t="s">
        <v>739</v>
      </c>
      <c r="B133" s="8" t="s">
        <v>740</v>
      </c>
      <c r="C133" s="8" t="s">
        <v>173</v>
      </c>
      <c r="D133" s="8" t="s">
        <v>754</v>
      </c>
      <c r="E133" s="8" t="s">
        <v>755</v>
      </c>
      <c r="F133" s="8">
        <v>19.031199999999998</v>
      </c>
      <c r="G133" s="8">
        <v>24.17</v>
      </c>
      <c r="H133" s="8">
        <v>30.218</v>
      </c>
      <c r="I133" s="8">
        <v>38.9099</v>
      </c>
      <c r="J133" s="8">
        <v>49.241599999999998</v>
      </c>
      <c r="K133" s="8">
        <v>58.636200000000002</v>
      </c>
      <c r="L133" s="8">
        <v>72.866</v>
      </c>
      <c r="M133" s="8">
        <v>90.010599999999997</v>
      </c>
      <c r="N133" s="8">
        <v>110.404</v>
      </c>
    </row>
    <row r="134" spans="1:14" x14ac:dyDescent="0.3">
      <c r="A134" s="8" t="s">
        <v>739</v>
      </c>
      <c r="B134" s="8" t="s">
        <v>740</v>
      </c>
      <c r="C134" s="8" t="s">
        <v>175</v>
      </c>
      <c r="D134" s="8" t="s">
        <v>754</v>
      </c>
      <c r="E134" s="8" t="s">
        <v>755</v>
      </c>
      <c r="F134" s="8">
        <v>76.252700000000004</v>
      </c>
      <c r="G134" s="8">
        <v>88.762799999999999</v>
      </c>
      <c r="H134" s="8">
        <v>91.002300000000005</v>
      </c>
      <c r="I134" s="8">
        <v>104.876</v>
      </c>
      <c r="J134" s="8">
        <v>113.301</v>
      </c>
      <c r="K134" s="8">
        <v>136.42099999999999</v>
      </c>
      <c r="L134" s="8">
        <v>148.28100000000001</v>
      </c>
      <c r="M134" s="8">
        <v>170.28200000000001</v>
      </c>
      <c r="N134" s="8">
        <v>196.09</v>
      </c>
    </row>
    <row r="135" spans="1:14" x14ac:dyDescent="0.3">
      <c r="A135" s="8" t="s">
        <v>739</v>
      </c>
      <c r="B135" s="8" t="s">
        <v>740</v>
      </c>
      <c r="C135" s="8" t="s">
        <v>177</v>
      </c>
      <c r="D135" s="8" t="s">
        <v>754</v>
      </c>
      <c r="E135" s="8" t="s">
        <v>755</v>
      </c>
      <c r="F135" s="8">
        <v>23.529</v>
      </c>
      <c r="G135" s="8">
        <v>46.463000000000001</v>
      </c>
      <c r="H135" s="8">
        <v>53.518599999999999</v>
      </c>
      <c r="I135" s="8">
        <v>71.150800000000004</v>
      </c>
      <c r="J135" s="8">
        <v>85.024799999999999</v>
      </c>
      <c r="K135" s="8">
        <v>90.483099999999993</v>
      </c>
      <c r="L135" s="8">
        <v>117.64100000000001</v>
      </c>
      <c r="M135" s="8">
        <v>147.5</v>
      </c>
      <c r="N135" s="8">
        <v>150.37700000000001</v>
      </c>
    </row>
    <row r="136" spans="1:14" x14ac:dyDescent="0.3">
      <c r="A136" s="8" t="s">
        <v>739</v>
      </c>
      <c r="B136" s="8" t="s">
        <v>740</v>
      </c>
      <c r="C136" s="8" t="s">
        <v>179</v>
      </c>
      <c r="D136" s="8" t="s">
        <v>754</v>
      </c>
      <c r="E136" s="8" t="s">
        <v>755</v>
      </c>
      <c r="F136" s="8">
        <v>188.30500000000001</v>
      </c>
      <c r="G136" s="8">
        <v>259.64600000000002</v>
      </c>
      <c r="H136" s="8">
        <v>340.93599999999998</v>
      </c>
      <c r="I136" s="8">
        <v>431.62200000000001</v>
      </c>
      <c r="J136" s="8">
        <v>524.25900000000001</v>
      </c>
      <c r="K136" s="8">
        <v>681.99699999999996</v>
      </c>
      <c r="L136" s="8">
        <v>817.63800000000003</v>
      </c>
      <c r="M136" s="8">
        <v>972.25199999999995</v>
      </c>
      <c r="N136" s="8">
        <v>1147.1099999999999</v>
      </c>
    </row>
    <row r="137" spans="1:14" x14ac:dyDescent="0.3">
      <c r="A137" s="8" t="s">
        <v>739</v>
      </c>
      <c r="B137" s="8" t="s">
        <v>740</v>
      </c>
      <c r="C137" s="8" t="s">
        <v>181</v>
      </c>
      <c r="D137" s="8" t="s">
        <v>754</v>
      </c>
      <c r="E137" s="8" t="s">
        <v>755</v>
      </c>
      <c r="F137" s="8">
        <v>23.245999999999999</v>
      </c>
      <c r="G137" s="8">
        <v>27.530999999999999</v>
      </c>
      <c r="H137" s="8">
        <v>26.6264</v>
      </c>
      <c r="I137" s="8">
        <v>34.789099999999998</v>
      </c>
      <c r="J137" s="8">
        <v>45.561500000000002</v>
      </c>
      <c r="K137" s="8">
        <v>56.26</v>
      </c>
      <c r="L137" s="8">
        <v>80.578199999999995</v>
      </c>
      <c r="M137" s="8">
        <v>116.93899999999999</v>
      </c>
      <c r="N137" s="8">
        <v>114.259</v>
      </c>
    </row>
    <row r="138" spans="1:14" x14ac:dyDescent="0.3">
      <c r="A138" s="8" t="s">
        <v>739</v>
      </c>
      <c r="B138" s="8" t="s">
        <v>740</v>
      </c>
      <c r="C138" s="8" t="s">
        <v>183</v>
      </c>
      <c r="D138" s="8" t="s">
        <v>754</v>
      </c>
      <c r="E138" s="8" t="s">
        <v>755</v>
      </c>
      <c r="F138" s="8">
        <v>130.47800000000001</v>
      </c>
      <c r="G138" s="8">
        <v>131.78399999999999</v>
      </c>
      <c r="H138" s="8">
        <v>118.47</v>
      </c>
      <c r="I138" s="8">
        <v>152.91300000000001</v>
      </c>
      <c r="J138" s="8">
        <v>173.77099999999999</v>
      </c>
      <c r="K138" s="8">
        <v>214.251</v>
      </c>
      <c r="L138" s="8">
        <v>298.78100000000001</v>
      </c>
      <c r="M138" s="8">
        <v>377.31299999999999</v>
      </c>
      <c r="N138" s="8">
        <v>380.637</v>
      </c>
    </row>
    <row r="139" spans="1:14" x14ac:dyDescent="0.3">
      <c r="A139" s="8" t="s">
        <v>739</v>
      </c>
      <c r="B139" s="8" t="s">
        <v>740</v>
      </c>
      <c r="C139" s="8" t="s">
        <v>185</v>
      </c>
      <c r="D139" s="8" t="s">
        <v>754</v>
      </c>
      <c r="E139" s="8" t="s">
        <v>755</v>
      </c>
      <c r="F139" s="8">
        <v>220.44499999999999</v>
      </c>
      <c r="G139" s="8">
        <v>206.749</v>
      </c>
      <c r="H139" s="8">
        <v>260.54700000000003</v>
      </c>
      <c r="I139" s="8">
        <v>290.66800000000001</v>
      </c>
      <c r="J139" s="8">
        <v>347.35599999999999</v>
      </c>
      <c r="K139" s="8">
        <v>436.31299999999999</v>
      </c>
      <c r="L139" s="8">
        <v>556.13</v>
      </c>
      <c r="M139" s="8">
        <v>745.44</v>
      </c>
      <c r="N139" s="8">
        <v>872.08900000000006</v>
      </c>
    </row>
    <row r="140" spans="1:14" x14ac:dyDescent="0.3">
      <c r="A140" s="8" t="s">
        <v>739</v>
      </c>
      <c r="B140" s="8" t="s">
        <v>740</v>
      </c>
      <c r="C140" s="8" t="s">
        <v>594</v>
      </c>
      <c r="D140" s="8" t="s">
        <v>754</v>
      </c>
      <c r="E140" s="8" t="s">
        <v>755</v>
      </c>
      <c r="F140" s="8">
        <v>8.1077600000000007</v>
      </c>
      <c r="G140" s="8">
        <v>8.7722700000000007</v>
      </c>
      <c r="H140" s="8">
        <v>9.3595199999999998</v>
      </c>
      <c r="I140" s="8">
        <v>14.113300000000001</v>
      </c>
      <c r="J140" s="8">
        <v>14.6492</v>
      </c>
      <c r="K140" s="8">
        <v>16.7026</v>
      </c>
      <c r="L140" s="8">
        <v>21.6538</v>
      </c>
      <c r="M140" s="8">
        <v>28.787400000000002</v>
      </c>
      <c r="N140" s="8">
        <v>31.721699999999998</v>
      </c>
    </row>
    <row r="141" spans="1:14" x14ac:dyDescent="0.3">
      <c r="A141" s="8" t="s">
        <v>739</v>
      </c>
      <c r="B141" s="8" t="s">
        <v>740</v>
      </c>
      <c r="C141" s="8" t="s">
        <v>187</v>
      </c>
      <c r="D141" s="8" t="s">
        <v>754</v>
      </c>
      <c r="E141" s="8" t="s">
        <v>755</v>
      </c>
      <c r="F141" s="8">
        <v>435.06299999999999</v>
      </c>
      <c r="G141" s="8">
        <v>407.14299999999997</v>
      </c>
      <c r="H141" s="8">
        <v>429.22899999999998</v>
      </c>
      <c r="I141" s="8">
        <v>477.983</v>
      </c>
      <c r="J141" s="8">
        <v>603.69899999999996</v>
      </c>
      <c r="K141" s="8">
        <v>696.53</v>
      </c>
      <c r="L141" s="8">
        <v>872.27</v>
      </c>
      <c r="M141" s="8">
        <v>1016.83</v>
      </c>
      <c r="N141" s="8">
        <v>1194.22</v>
      </c>
    </row>
    <row r="142" spans="1:14" x14ac:dyDescent="0.3">
      <c r="A142" s="8" t="s">
        <v>739</v>
      </c>
      <c r="B142" s="8" t="s">
        <v>740</v>
      </c>
      <c r="C142" s="8" t="s">
        <v>728</v>
      </c>
      <c r="D142" s="8" t="s">
        <v>754</v>
      </c>
      <c r="E142" s="8" t="s">
        <v>755</v>
      </c>
      <c r="F142" s="8">
        <v>53.8108</v>
      </c>
      <c r="G142" s="8">
        <v>58.023800000000001</v>
      </c>
      <c r="H142" s="8">
        <v>76.387799999999999</v>
      </c>
      <c r="I142" s="8">
        <v>93.135800000000003</v>
      </c>
      <c r="J142" s="8">
        <v>114.789</v>
      </c>
      <c r="K142" s="8">
        <v>131.34100000000001</v>
      </c>
      <c r="L142" s="8">
        <v>122.661</v>
      </c>
      <c r="M142" s="8">
        <v>119.176</v>
      </c>
      <c r="N142" s="8">
        <v>106.283</v>
      </c>
    </row>
    <row r="143" spans="1:14" x14ac:dyDescent="0.3">
      <c r="A143" s="8" t="s">
        <v>739</v>
      </c>
      <c r="B143" s="8" t="s">
        <v>740</v>
      </c>
      <c r="C143" s="8" t="s">
        <v>751</v>
      </c>
      <c r="D143" s="8" t="s">
        <v>754</v>
      </c>
      <c r="E143" s="8" t="s">
        <v>755</v>
      </c>
      <c r="F143" s="8" t="s">
        <v>743</v>
      </c>
      <c r="G143" s="8" t="s">
        <v>743</v>
      </c>
      <c r="H143" s="8" t="s">
        <v>743</v>
      </c>
      <c r="I143" s="8" t="s">
        <v>743</v>
      </c>
      <c r="J143" s="8" t="s">
        <v>743</v>
      </c>
      <c r="K143" s="8" t="s">
        <v>743</v>
      </c>
      <c r="L143" s="8" t="s">
        <v>743</v>
      </c>
      <c r="M143" s="8" t="s">
        <v>743</v>
      </c>
      <c r="N143" s="8">
        <v>47.201999999999998</v>
      </c>
    </row>
    <row r="144" spans="1:14" x14ac:dyDescent="0.3">
      <c r="A144" s="8" t="s">
        <v>739</v>
      </c>
      <c r="B144" s="8" t="s">
        <v>740</v>
      </c>
      <c r="C144" s="8" t="s">
        <v>189</v>
      </c>
      <c r="D144" s="8" t="s">
        <v>754</v>
      </c>
      <c r="E144" s="8" t="s">
        <v>755</v>
      </c>
      <c r="F144" s="8">
        <v>170.773</v>
      </c>
      <c r="G144" s="8">
        <v>178.483</v>
      </c>
      <c r="H144" s="8">
        <v>235.17</v>
      </c>
      <c r="I144" s="8">
        <v>255.90100000000001</v>
      </c>
      <c r="J144" s="8">
        <v>297.988</v>
      </c>
      <c r="K144" s="8">
        <v>311.11200000000002</v>
      </c>
      <c r="L144" s="8">
        <v>320.45</v>
      </c>
      <c r="M144" s="8">
        <v>307.226</v>
      </c>
      <c r="N144" s="8">
        <v>314.17599999999999</v>
      </c>
    </row>
    <row r="145" spans="1:14" x14ac:dyDescent="0.3">
      <c r="A145" s="8" t="s">
        <v>739</v>
      </c>
      <c r="B145" s="8" t="s">
        <v>740</v>
      </c>
      <c r="C145" s="8" t="s">
        <v>191</v>
      </c>
      <c r="D145" s="8" t="s">
        <v>754</v>
      </c>
      <c r="E145" s="8" t="s">
        <v>755</v>
      </c>
      <c r="F145" s="8">
        <v>26.383900000000001</v>
      </c>
      <c r="G145" s="8">
        <v>29.4085</v>
      </c>
      <c r="H145" s="8">
        <v>35.797800000000002</v>
      </c>
      <c r="I145" s="8">
        <v>44.478700000000003</v>
      </c>
      <c r="J145" s="8">
        <v>45.408000000000001</v>
      </c>
      <c r="K145" s="8">
        <v>49.912999999999997</v>
      </c>
      <c r="L145" s="8">
        <v>65.077200000000005</v>
      </c>
      <c r="M145" s="8">
        <v>79.115399999999994</v>
      </c>
      <c r="N145" s="8">
        <v>88.143299999999996</v>
      </c>
    </row>
    <row r="146" spans="1:14" x14ac:dyDescent="0.3">
      <c r="A146" s="8" t="s">
        <v>739</v>
      </c>
      <c r="B146" s="8" t="s">
        <v>740</v>
      </c>
      <c r="C146" s="8" t="s">
        <v>611</v>
      </c>
      <c r="D146" s="8" t="s">
        <v>754</v>
      </c>
      <c r="E146" s="8" t="s">
        <v>755</v>
      </c>
      <c r="F146" s="8">
        <v>3.5124500000000003</v>
      </c>
      <c r="G146" s="8">
        <v>3.7989899999999999</v>
      </c>
      <c r="H146" s="8">
        <v>4.3076999999999996</v>
      </c>
      <c r="I146" s="8">
        <v>4.2540100000000001</v>
      </c>
      <c r="J146" s="8">
        <v>4.5166900000000005</v>
      </c>
      <c r="K146" s="8">
        <v>4.69543</v>
      </c>
      <c r="L146" s="8">
        <v>4.5006199999999996</v>
      </c>
      <c r="M146" s="8">
        <v>4.4486499999999998</v>
      </c>
      <c r="N146" s="8">
        <v>4.6116799999999998</v>
      </c>
    </row>
    <row r="147" spans="1:14" x14ac:dyDescent="0.3">
      <c r="A147" s="8" t="s">
        <v>739</v>
      </c>
      <c r="B147" s="8" t="s">
        <v>740</v>
      </c>
      <c r="C147" s="8" t="s">
        <v>193</v>
      </c>
      <c r="D147" s="8" t="s">
        <v>754</v>
      </c>
      <c r="E147" s="8" t="s">
        <v>755</v>
      </c>
      <c r="F147" s="8">
        <v>34.442</v>
      </c>
      <c r="G147" s="8">
        <v>29.0154</v>
      </c>
      <c r="H147" s="8">
        <v>28.5717</v>
      </c>
      <c r="I147" s="8">
        <v>31.4999</v>
      </c>
      <c r="J147" s="8">
        <v>51.316099999999999</v>
      </c>
      <c r="K147" s="8">
        <v>76.589600000000004</v>
      </c>
      <c r="L147" s="8">
        <v>181.35300000000001</v>
      </c>
      <c r="M147" s="8">
        <v>246.21899999999999</v>
      </c>
      <c r="N147" s="8">
        <v>245.727</v>
      </c>
    </row>
    <row r="148" spans="1:14" x14ac:dyDescent="0.3">
      <c r="A148" s="8" t="s">
        <v>739</v>
      </c>
      <c r="B148" s="8" t="s">
        <v>740</v>
      </c>
      <c r="C148" s="8" t="s">
        <v>194</v>
      </c>
      <c r="D148" s="8" t="s">
        <v>754</v>
      </c>
      <c r="E148" s="8" t="s">
        <v>755</v>
      </c>
      <c r="F148" s="8">
        <v>291.15199999999999</v>
      </c>
      <c r="G148" s="8">
        <v>339.89600000000002</v>
      </c>
      <c r="H148" s="8">
        <v>310.334</v>
      </c>
      <c r="I148" s="8">
        <v>276.38</v>
      </c>
      <c r="J148" s="8">
        <v>246.905</v>
      </c>
      <c r="K148" s="8">
        <v>324.827</v>
      </c>
      <c r="L148" s="8">
        <v>373.459</v>
      </c>
      <c r="M148" s="8">
        <v>428.48200000000003</v>
      </c>
      <c r="N148" s="8">
        <v>505.77100000000002</v>
      </c>
    </row>
    <row r="149" spans="1:14" x14ac:dyDescent="0.3">
      <c r="A149" s="8" t="s">
        <v>739</v>
      </c>
      <c r="B149" s="8" t="s">
        <v>740</v>
      </c>
      <c r="C149" s="8" t="s">
        <v>196</v>
      </c>
      <c r="D149" s="8" t="s">
        <v>754</v>
      </c>
      <c r="E149" s="8" t="s">
        <v>755</v>
      </c>
      <c r="F149" s="8" t="s">
        <v>743</v>
      </c>
      <c r="G149" s="8" t="s">
        <v>743</v>
      </c>
      <c r="H149" s="8">
        <v>3147.86</v>
      </c>
      <c r="I149" s="8">
        <v>1955.4</v>
      </c>
      <c r="J149" s="8">
        <v>1991.82</v>
      </c>
      <c r="K149" s="8">
        <v>2681.03</v>
      </c>
      <c r="L149" s="8">
        <v>3229.32</v>
      </c>
      <c r="M149" s="8">
        <v>3520.36</v>
      </c>
      <c r="N149" s="8">
        <v>3672.97</v>
      </c>
    </row>
    <row r="150" spans="1:14" x14ac:dyDescent="0.3">
      <c r="A150" s="8" t="s">
        <v>739</v>
      </c>
      <c r="B150" s="8" t="s">
        <v>740</v>
      </c>
      <c r="C150" s="8" t="s">
        <v>616</v>
      </c>
      <c r="D150" s="8" t="s">
        <v>754</v>
      </c>
      <c r="E150" s="8" t="s">
        <v>755</v>
      </c>
      <c r="F150" s="8">
        <v>5.3599699999999997</v>
      </c>
      <c r="G150" s="8">
        <v>6.6987300000000003</v>
      </c>
      <c r="H150" s="8">
        <v>6.6919000000000004</v>
      </c>
      <c r="I150" s="8">
        <v>4.42788</v>
      </c>
      <c r="J150" s="8">
        <v>6.88666</v>
      </c>
      <c r="K150" s="8">
        <v>10.1531</v>
      </c>
      <c r="L150" s="8">
        <v>15.135899999999999</v>
      </c>
      <c r="M150" s="8">
        <v>21.487400000000001</v>
      </c>
      <c r="N150" s="8">
        <v>27.168299999999999</v>
      </c>
    </row>
    <row r="151" spans="1:14" x14ac:dyDescent="0.3">
      <c r="A151" s="8" t="s">
        <v>739</v>
      </c>
      <c r="B151" s="8" t="s">
        <v>740</v>
      </c>
      <c r="C151" s="8" t="s">
        <v>198</v>
      </c>
      <c r="D151" s="8" t="s">
        <v>754</v>
      </c>
      <c r="E151" s="8" t="s">
        <v>755</v>
      </c>
      <c r="F151" s="8">
        <v>587.09299999999996</v>
      </c>
      <c r="G151" s="8">
        <v>465.01799999999997</v>
      </c>
      <c r="H151" s="8">
        <v>550.44600000000003</v>
      </c>
      <c r="I151" s="8">
        <v>633.97199999999998</v>
      </c>
      <c r="J151" s="8">
        <v>714.37099999999998</v>
      </c>
      <c r="K151" s="8">
        <v>907.322</v>
      </c>
      <c r="L151" s="8">
        <v>1204.3599999999999</v>
      </c>
      <c r="M151" s="8">
        <v>1578.24</v>
      </c>
      <c r="N151" s="8">
        <v>1599.98</v>
      </c>
    </row>
    <row r="152" spans="1:14" x14ac:dyDescent="0.3">
      <c r="A152" s="8" t="s">
        <v>739</v>
      </c>
      <c r="B152" s="8" t="s">
        <v>740</v>
      </c>
      <c r="C152" s="8" t="s">
        <v>200</v>
      </c>
      <c r="D152" s="8" t="s">
        <v>754</v>
      </c>
      <c r="E152" s="8" t="s">
        <v>755</v>
      </c>
      <c r="F152" s="8">
        <v>54.0764</v>
      </c>
      <c r="G152" s="8">
        <v>55.296799999999998</v>
      </c>
      <c r="H152" s="8">
        <v>69.024199999999993</v>
      </c>
      <c r="I152" s="8">
        <v>90.275999999999996</v>
      </c>
      <c r="J152" s="8">
        <v>123.479</v>
      </c>
      <c r="K152" s="8">
        <v>171.226</v>
      </c>
      <c r="L152" s="8">
        <v>202.267</v>
      </c>
      <c r="M152" s="8">
        <v>181.88200000000001</v>
      </c>
      <c r="N152" s="8">
        <v>176.17500000000001</v>
      </c>
    </row>
    <row r="153" spans="1:14" x14ac:dyDescent="0.3">
      <c r="A153" s="8" t="s">
        <v>739</v>
      </c>
      <c r="B153" s="8" t="s">
        <v>740</v>
      </c>
      <c r="C153" s="8" t="s">
        <v>201</v>
      </c>
      <c r="D153" s="8" t="s">
        <v>754</v>
      </c>
      <c r="E153" s="8" t="s">
        <v>755</v>
      </c>
      <c r="F153" s="8">
        <v>14.488</v>
      </c>
      <c r="G153" s="8">
        <v>16.653600000000001</v>
      </c>
      <c r="H153" s="8">
        <v>18.703900000000001</v>
      </c>
      <c r="I153" s="8">
        <v>20.8261</v>
      </c>
      <c r="J153" s="8">
        <v>25.426100000000002</v>
      </c>
      <c r="K153" s="8">
        <v>30.590399999999999</v>
      </c>
      <c r="L153" s="8">
        <v>35.462000000000003</v>
      </c>
      <c r="M153" s="8">
        <v>43.246200000000002</v>
      </c>
      <c r="N153" s="8">
        <v>55.626899999999999</v>
      </c>
    </row>
    <row r="154" spans="1:14" x14ac:dyDescent="0.3">
      <c r="A154" s="8" t="s">
        <v>739</v>
      </c>
      <c r="B154" s="8" t="s">
        <v>740</v>
      </c>
      <c r="C154" s="8" t="s">
        <v>203</v>
      </c>
      <c r="D154" s="8" t="s">
        <v>754</v>
      </c>
      <c r="E154" s="8" t="s">
        <v>755</v>
      </c>
      <c r="F154" s="8">
        <v>54.024999999999999</v>
      </c>
      <c r="G154" s="8">
        <v>75.253500000000003</v>
      </c>
      <c r="H154" s="8">
        <v>113.738</v>
      </c>
      <c r="I154" s="8">
        <v>171.732</v>
      </c>
      <c r="J154" s="8">
        <v>225.39699999999999</v>
      </c>
      <c r="K154" s="8">
        <v>285.97300000000001</v>
      </c>
      <c r="L154" s="8">
        <v>396.95800000000003</v>
      </c>
      <c r="M154" s="8">
        <v>493.988</v>
      </c>
      <c r="N154" s="8">
        <v>539.64</v>
      </c>
    </row>
    <row r="155" spans="1:14" x14ac:dyDescent="0.3">
      <c r="A155" s="8" t="s">
        <v>739</v>
      </c>
      <c r="B155" s="8" t="s">
        <v>740</v>
      </c>
      <c r="C155" s="8" t="s">
        <v>624</v>
      </c>
      <c r="D155" s="8" t="s">
        <v>754</v>
      </c>
      <c r="E155" s="8" t="s">
        <v>755</v>
      </c>
      <c r="F155" s="8">
        <v>0.56874400000000003</v>
      </c>
      <c r="G155" s="8">
        <v>0.55366399999999993</v>
      </c>
      <c r="H155" s="8">
        <v>0.64629999999999999</v>
      </c>
      <c r="I155" s="8">
        <v>0.95566200000000001</v>
      </c>
      <c r="J155" s="8">
        <v>0.83142899999999997</v>
      </c>
      <c r="K155" s="8">
        <v>0.89189399999999996</v>
      </c>
      <c r="L155" s="8">
        <v>1.1514199999999999</v>
      </c>
      <c r="M155" s="8">
        <v>1.35565</v>
      </c>
      <c r="N155" s="8">
        <v>1.4897900000000002</v>
      </c>
    </row>
    <row r="156" spans="1:14" x14ac:dyDescent="0.3">
      <c r="A156" s="8" t="s">
        <v>739</v>
      </c>
      <c r="B156" s="8" t="s">
        <v>740</v>
      </c>
      <c r="C156" s="8" t="s">
        <v>626</v>
      </c>
      <c r="D156" s="8" t="s">
        <v>754</v>
      </c>
      <c r="E156" s="8" t="s">
        <v>755</v>
      </c>
      <c r="F156" s="8">
        <v>7.8357600000000005</v>
      </c>
      <c r="G156" s="8">
        <v>7.5847199999999999</v>
      </c>
      <c r="H156" s="8">
        <v>8.4628499999999995</v>
      </c>
      <c r="I156" s="8">
        <v>6.5551599999999999</v>
      </c>
      <c r="J156" s="8">
        <v>3.8425099999999999</v>
      </c>
      <c r="K156" s="8">
        <v>6.9914800000000001</v>
      </c>
      <c r="L156" s="8">
        <v>9.0214999999999996</v>
      </c>
      <c r="M156" s="8">
        <v>11.085699999999999</v>
      </c>
      <c r="N156" s="8">
        <v>13.060600000000001</v>
      </c>
    </row>
    <row r="157" spans="1:14" x14ac:dyDescent="0.3">
      <c r="A157" s="8" t="s">
        <v>739</v>
      </c>
      <c r="B157" s="8" t="s">
        <v>740</v>
      </c>
      <c r="C157" s="8" t="s">
        <v>205</v>
      </c>
      <c r="D157" s="8" t="s">
        <v>754</v>
      </c>
      <c r="E157" s="8" t="s">
        <v>755</v>
      </c>
      <c r="F157" s="8">
        <v>27.517399999999999</v>
      </c>
      <c r="G157" s="8">
        <v>25.163799999999998</v>
      </c>
      <c r="H157" s="8">
        <v>27.869199999999999</v>
      </c>
      <c r="I157" s="8">
        <v>35.123699999999999</v>
      </c>
      <c r="J157" s="8">
        <v>38.730899999999998</v>
      </c>
      <c r="K157" s="8">
        <v>41.768099999999997</v>
      </c>
      <c r="L157" s="8">
        <v>45.328600000000002</v>
      </c>
      <c r="M157" s="8">
        <v>51.516599999999997</v>
      </c>
      <c r="N157" s="8">
        <v>52.206800000000001</v>
      </c>
    </row>
    <row r="158" spans="1:14" x14ac:dyDescent="0.3">
      <c r="A158" s="8" t="s">
        <v>739</v>
      </c>
      <c r="B158" s="8" t="s">
        <v>740</v>
      </c>
      <c r="C158" s="8" t="s">
        <v>631</v>
      </c>
      <c r="D158" s="8" t="s">
        <v>754</v>
      </c>
      <c r="E158" s="8" t="s">
        <v>755</v>
      </c>
      <c r="F158" s="8" t="s">
        <v>743</v>
      </c>
      <c r="G158" s="8" t="s">
        <v>743</v>
      </c>
      <c r="H158" s="8" t="s">
        <v>743</v>
      </c>
      <c r="I158" s="8" t="s">
        <v>743</v>
      </c>
      <c r="J158" s="8" t="s">
        <v>743</v>
      </c>
      <c r="K158" s="8" t="s">
        <v>743</v>
      </c>
      <c r="L158" s="8" t="s">
        <v>743</v>
      </c>
      <c r="M158" s="8">
        <v>21.4251</v>
      </c>
      <c r="N158" s="8">
        <v>24.0867</v>
      </c>
    </row>
    <row r="159" spans="1:14" x14ac:dyDescent="0.3">
      <c r="A159" s="8" t="s">
        <v>739</v>
      </c>
      <c r="B159" s="8" t="s">
        <v>740</v>
      </c>
      <c r="C159" s="8" t="s">
        <v>207</v>
      </c>
      <c r="D159" s="8" t="s">
        <v>754</v>
      </c>
      <c r="E159" s="8" t="s">
        <v>755</v>
      </c>
      <c r="F159" s="8" t="s">
        <v>743</v>
      </c>
      <c r="G159" s="8" t="s">
        <v>743</v>
      </c>
      <c r="H159" s="8" t="s">
        <v>743</v>
      </c>
      <c r="I159" s="8">
        <v>59.113300000000002</v>
      </c>
      <c r="J159" s="8">
        <v>66.941999999999993</v>
      </c>
      <c r="K159" s="8">
        <v>91.415300000000002</v>
      </c>
      <c r="L159" s="8">
        <v>105.873</v>
      </c>
      <c r="M159" s="8">
        <v>110.60299999999999</v>
      </c>
      <c r="N159" s="8">
        <v>126.07599999999999</v>
      </c>
    </row>
    <row r="160" spans="1:14" x14ac:dyDescent="0.3">
      <c r="A160" s="8" t="s">
        <v>739</v>
      </c>
      <c r="B160" s="8" t="s">
        <v>740</v>
      </c>
      <c r="C160" s="8" t="s">
        <v>636</v>
      </c>
      <c r="D160" s="8" t="s">
        <v>754</v>
      </c>
      <c r="E160" s="8" t="s">
        <v>755</v>
      </c>
      <c r="F160" s="8" t="s">
        <v>743</v>
      </c>
      <c r="G160" s="8" t="s">
        <v>743</v>
      </c>
      <c r="H160" s="8" t="s">
        <v>743</v>
      </c>
      <c r="I160" s="8" t="s">
        <v>743</v>
      </c>
      <c r="J160" s="8" t="s">
        <v>743</v>
      </c>
      <c r="K160" s="8" t="s">
        <v>743</v>
      </c>
      <c r="L160" s="8" t="s">
        <v>743</v>
      </c>
      <c r="M160" s="8">
        <v>7.0692199999999996</v>
      </c>
      <c r="N160" s="8">
        <v>5.32836</v>
      </c>
    </row>
    <row r="161" spans="1:14" x14ac:dyDescent="0.3">
      <c r="A161" s="8" t="s">
        <v>739</v>
      </c>
      <c r="B161" s="8" t="s">
        <v>740</v>
      </c>
      <c r="C161" s="8" t="s">
        <v>642</v>
      </c>
      <c r="D161" s="8" t="s">
        <v>754</v>
      </c>
      <c r="E161" s="8" t="s">
        <v>755</v>
      </c>
      <c r="F161" s="8">
        <v>0.344221</v>
      </c>
      <c r="G161" s="8">
        <v>0.31428099999999998</v>
      </c>
      <c r="H161" s="8">
        <v>0.29563800000000001</v>
      </c>
      <c r="I161" s="8">
        <v>0.31767000000000001</v>
      </c>
      <c r="J161" s="8">
        <v>0.34365599999999996</v>
      </c>
      <c r="K161" s="8">
        <v>0.42688699999999996</v>
      </c>
      <c r="L161" s="8">
        <v>0.54533000000000009</v>
      </c>
      <c r="M161" s="8">
        <v>0.64117800000000003</v>
      </c>
      <c r="N161" s="8">
        <v>0.76715299999999997</v>
      </c>
    </row>
    <row r="162" spans="1:14" x14ac:dyDescent="0.3">
      <c r="A162" s="8" t="s">
        <v>739</v>
      </c>
      <c r="B162" s="8" t="s">
        <v>740</v>
      </c>
      <c r="C162" s="8" t="s">
        <v>209</v>
      </c>
      <c r="D162" s="8" t="s">
        <v>754</v>
      </c>
      <c r="E162" s="8" t="s">
        <v>755</v>
      </c>
      <c r="F162" s="8">
        <v>6.4657999999999998</v>
      </c>
      <c r="G162" s="8">
        <v>5.6314399999999996</v>
      </c>
      <c r="H162" s="8">
        <v>5.5969100000000003</v>
      </c>
      <c r="I162" s="8">
        <v>5.0745899999999997</v>
      </c>
      <c r="J162" s="8">
        <v>6.1087499999999997</v>
      </c>
      <c r="K162" s="8">
        <v>7.9482800000000005</v>
      </c>
      <c r="L162" s="8">
        <v>9.9691100000000006</v>
      </c>
      <c r="M162" s="8">
        <v>10.801</v>
      </c>
      <c r="N162" s="8">
        <v>9.3068100000000005</v>
      </c>
    </row>
    <row r="163" spans="1:14" x14ac:dyDescent="0.3">
      <c r="A163" s="8" t="s">
        <v>739</v>
      </c>
      <c r="B163" s="8" t="s">
        <v>740</v>
      </c>
      <c r="C163" s="8" t="s">
        <v>752</v>
      </c>
      <c r="D163" s="8" t="s">
        <v>754</v>
      </c>
      <c r="E163" s="8" t="s">
        <v>755</v>
      </c>
      <c r="F163" s="8" t="s">
        <v>743</v>
      </c>
      <c r="G163" s="8" t="s">
        <v>743</v>
      </c>
      <c r="H163" s="8" t="s">
        <v>743</v>
      </c>
      <c r="I163" s="8">
        <v>71.0715</v>
      </c>
      <c r="J163" s="8">
        <v>88.083299999999994</v>
      </c>
      <c r="K163" s="8">
        <v>112.563</v>
      </c>
      <c r="L163" s="8">
        <v>144.17599999999999</v>
      </c>
      <c r="M163" s="8">
        <v>163.00899999999999</v>
      </c>
      <c r="N163" s="8">
        <v>176.339</v>
      </c>
    </row>
    <row r="164" spans="1:14" x14ac:dyDescent="0.3">
      <c r="A164" s="8" t="s">
        <v>739</v>
      </c>
      <c r="B164" s="8" t="s">
        <v>740</v>
      </c>
      <c r="C164" s="8" t="s">
        <v>211</v>
      </c>
      <c r="D164" s="8" t="s">
        <v>754</v>
      </c>
      <c r="E164" s="8" t="s">
        <v>755</v>
      </c>
      <c r="F164" s="8" t="s">
        <v>743</v>
      </c>
      <c r="G164" s="8" t="s">
        <v>743</v>
      </c>
      <c r="H164" s="8">
        <v>44.009500000000003</v>
      </c>
      <c r="I164" s="8">
        <v>42.742699999999999</v>
      </c>
      <c r="J164" s="8">
        <v>48.904800000000002</v>
      </c>
      <c r="K164" s="8">
        <v>58.2712</v>
      </c>
      <c r="L164" s="8">
        <v>63.931600000000003</v>
      </c>
      <c r="M164" s="8">
        <v>65.265299999999996</v>
      </c>
      <c r="N164" s="8">
        <v>73.096299999999999</v>
      </c>
    </row>
    <row r="165" spans="1:14" x14ac:dyDescent="0.3">
      <c r="A165" s="8" t="s">
        <v>739</v>
      </c>
      <c r="B165" s="8" t="s">
        <v>740</v>
      </c>
      <c r="C165" s="8" t="s">
        <v>213</v>
      </c>
      <c r="D165" s="8" t="s">
        <v>754</v>
      </c>
      <c r="E165" s="8" t="s">
        <v>755</v>
      </c>
      <c r="F165" s="8">
        <v>235.001</v>
      </c>
      <c r="G165" s="8">
        <v>259.34699999999998</v>
      </c>
      <c r="H165" s="8">
        <v>291.98399999999998</v>
      </c>
      <c r="I165" s="8">
        <v>302.03100000000001</v>
      </c>
      <c r="J165" s="8">
        <v>347.47300000000001</v>
      </c>
      <c r="K165" s="8">
        <v>394.66199999999998</v>
      </c>
      <c r="L165" s="8">
        <v>431.166</v>
      </c>
      <c r="M165" s="8">
        <v>481.06099999999998</v>
      </c>
      <c r="N165" s="8">
        <v>512.08399999999995</v>
      </c>
    </row>
    <row r="166" spans="1:14" x14ac:dyDescent="0.3">
      <c r="A166" s="8" t="s">
        <v>739</v>
      </c>
      <c r="B166" s="8" t="s">
        <v>740</v>
      </c>
      <c r="C166" s="8" t="s">
        <v>648</v>
      </c>
      <c r="D166" s="8" t="s">
        <v>754</v>
      </c>
      <c r="E166" s="8" t="s">
        <v>755</v>
      </c>
      <c r="F166" s="8">
        <v>2.2062499999999998</v>
      </c>
      <c r="G166" s="8">
        <v>2.48536</v>
      </c>
      <c r="H166" s="8">
        <v>4.19231</v>
      </c>
      <c r="I166" s="8">
        <v>4.8739699999999999</v>
      </c>
      <c r="J166" s="8">
        <v>5.6092399999999998</v>
      </c>
      <c r="K166" s="8">
        <v>6.7509899999999998</v>
      </c>
      <c r="L166" s="8">
        <v>7.9426300000000003</v>
      </c>
      <c r="M166" s="8">
        <v>9.1718499999999992</v>
      </c>
      <c r="N166" s="8">
        <v>9.7878600000000002</v>
      </c>
    </row>
    <row r="167" spans="1:14" x14ac:dyDescent="0.3">
      <c r="A167" s="8" t="s">
        <v>739</v>
      </c>
      <c r="B167" s="8" t="s">
        <v>740</v>
      </c>
      <c r="C167" s="8" t="s">
        <v>652</v>
      </c>
      <c r="D167" s="8" t="s">
        <v>754</v>
      </c>
      <c r="E167" s="8" t="s">
        <v>755</v>
      </c>
      <c r="F167" s="8">
        <v>0.65777699999999995</v>
      </c>
      <c r="G167" s="8">
        <v>0.70801499999999995</v>
      </c>
      <c r="H167" s="8">
        <v>0.93384099999999992</v>
      </c>
      <c r="I167" s="8">
        <v>1.08185</v>
      </c>
      <c r="J167" s="8">
        <v>1.4529700000000001</v>
      </c>
      <c r="K167" s="8">
        <v>1.43241</v>
      </c>
      <c r="L167" s="8">
        <v>1.78149</v>
      </c>
      <c r="M167" s="8">
        <v>2.38903</v>
      </c>
      <c r="N167" s="8">
        <v>2.9318</v>
      </c>
    </row>
    <row r="168" spans="1:14" x14ac:dyDescent="0.3">
      <c r="A168" s="8" t="s">
        <v>739</v>
      </c>
      <c r="B168" s="8" t="s">
        <v>740</v>
      </c>
      <c r="C168" s="8" t="s">
        <v>657</v>
      </c>
      <c r="D168" s="8" t="s">
        <v>754</v>
      </c>
      <c r="E168" s="8" t="s">
        <v>755</v>
      </c>
      <c r="F168" s="8">
        <v>4.0396400000000003</v>
      </c>
      <c r="G168" s="8">
        <v>4.98726</v>
      </c>
      <c r="H168" s="8">
        <v>6.1980700000000004</v>
      </c>
      <c r="I168" s="8">
        <v>7.1820199999999996</v>
      </c>
      <c r="J168" s="8">
        <v>8.15822</v>
      </c>
      <c r="K168" s="8">
        <v>16.409700000000001</v>
      </c>
      <c r="L168" s="8">
        <v>20.7957</v>
      </c>
      <c r="M168" s="8">
        <v>26.062200000000001</v>
      </c>
      <c r="N168" s="8">
        <v>24.889900000000001</v>
      </c>
    </row>
    <row r="169" spans="1:14" x14ac:dyDescent="0.3">
      <c r="A169" s="8" t="s">
        <v>739</v>
      </c>
      <c r="B169" s="8" t="s">
        <v>740</v>
      </c>
      <c r="C169" s="8" t="s">
        <v>216</v>
      </c>
      <c r="D169" s="8" t="s">
        <v>754</v>
      </c>
      <c r="E169" s="8" t="s">
        <v>755</v>
      </c>
      <c r="F169" s="8">
        <v>6.4727500000000004</v>
      </c>
      <c r="G169" s="8">
        <v>6.2697399999999996</v>
      </c>
      <c r="H169" s="8">
        <v>7.6644100000000002</v>
      </c>
      <c r="I169" s="8">
        <v>8.4154700000000009</v>
      </c>
      <c r="J169" s="8">
        <v>8.3341799999999999</v>
      </c>
      <c r="K169" s="8">
        <v>8.7887900000000005</v>
      </c>
      <c r="L169" s="8">
        <v>10.608000000000001</v>
      </c>
      <c r="M169" s="8">
        <v>14.069000000000001</v>
      </c>
      <c r="N169" s="8">
        <v>17.348199999999999</v>
      </c>
    </row>
    <row r="170" spans="1:14" x14ac:dyDescent="0.3">
      <c r="A170" s="8" t="s">
        <v>739</v>
      </c>
      <c r="B170" s="8" t="s">
        <v>740</v>
      </c>
      <c r="C170" s="8" t="s">
        <v>218</v>
      </c>
      <c r="D170" s="8" t="s">
        <v>754</v>
      </c>
      <c r="E170" s="8" t="s">
        <v>755</v>
      </c>
      <c r="F170" s="8">
        <v>185.45400000000001</v>
      </c>
      <c r="G170" s="8">
        <v>241.78899999999999</v>
      </c>
      <c r="H170" s="8">
        <v>396.48200000000003</v>
      </c>
      <c r="I170" s="8">
        <v>595.74</v>
      </c>
      <c r="J170" s="8">
        <v>617.54200000000003</v>
      </c>
      <c r="K170" s="8">
        <v>804.90800000000002</v>
      </c>
      <c r="L170" s="8">
        <v>967.54499999999996</v>
      </c>
      <c r="M170" s="8">
        <v>1119.04</v>
      </c>
      <c r="N170" s="8">
        <v>1205.48</v>
      </c>
    </row>
    <row r="171" spans="1:14" x14ac:dyDescent="0.3">
      <c r="A171" s="8" t="s">
        <v>739</v>
      </c>
      <c r="B171" s="8" t="s">
        <v>740</v>
      </c>
      <c r="C171" s="8" t="s">
        <v>219</v>
      </c>
      <c r="D171" s="8" t="s">
        <v>754</v>
      </c>
      <c r="E171" s="8" t="s">
        <v>755</v>
      </c>
      <c r="F171" s="8" t="s">
        <v>743</v>
      </c>
      <c r="G171" s="8" t="s">
        <v>743</v>
      </c>
      <c r="H171" s="8">
        <v>21.622</v>
      </c>
      <c r="I171" s="8">
        <v>7.27773</v>
      </c>
      <c r="J171" s="8">
        <v>8.3973800000000001</v>
      </c>
      <c r="K171" s="8">
        <v>13.0999</v>
      </c>
      <c r="L171" s="8">
        <v>18.026399999999999</v>
      </c>
      <c r="M171" s="8">
        <v>25.1922</v>
      </c>
      <c r="N171" s="8">
        <v>34.821199999999997</v>
      </c>
    </row>
    <row r="172" spans="1:14" x14ac:dyDescent="0.3">
      <c r="A172" s="8" t="s">
        <v>739</v>
      </c>
      <c r="B172" s="8" t="s">
        <v>740</v>
      </c>
      <c r="C172" s="8" t="s">
        <v>221</v>
      </c>
      <c r="D172" s="8" t="s">
        <v>754</v>
      </c>
      <c r="E172" s="8" t="s">
        <v>755</v>
      </c>
      <c r="F172" s="8" t="s">
        <v>743</v>
      </c>
      <c r="G172" s="8" t="s">
        <v>743</v>
      </c>
      <c r="H172" s="8">
        <v>26.553899999999999</v>
      </c>
      <c r="I172" s="8">
        <v>16.7822</v>
      </c>
      <c r="J172" s="8">
        <v>20.4724</v>
      </c>
      <c r="K172" s="8">
        <v>43.317599999999999</v>
      </c>
      <c r="L172" s="8">
        <v>75.541399999999996</v>
      </c>
      <c r="M172" s="8">
        <v>96.432699999999997</v>
      </c>
      <c r="N172" s="8">
        <v>94.585800000000006</v>
      </c>
    </row>
    <row r="173" spans="1:14" x14ac:dyDescent="0.3">
      <c r="A173" s="8" t="s">
        <v>739</v>
      </c>
      <c r="B173" s="8" t="s">
        <v>740</v>
      </c>
      <c r="C173" s="8" t="s">
        <v>669</v>
      </c>
      <c r="D173" s="8" t="s">
        <v>754</v>
      </c>
      <c r="E173" s="8" t="s">
        <v>755</v>
      </c>
      <c r="F173" s="8" t="s">
        <v>743</v>
      </c>
      <c r="G173" s="8" t="s">
        <v>743</v>
      </c>
      <c r="H173" s="8" t="s">
        <v>743</v>
      </c>
      <c r="I173" s="8" t="s">
        <v>743</v>
      </c>
      <c r="J173" s="8">
        <v>2.0340199999999999</v>
      </c>
      <c r="K173" s="8">
        <v>2.2318099999999998</v>
      </c>
      <c r="L173" s="8">
        <v>3.1645799999999999</v>
      </c>
      <c r="M173" s="8">
        <v>3.8922300000000001</v>
      </c>
      <c r="N173" s="8">
        <v>3.62852</v>
      </c>
    </row>
    <row r="174" spans="1:14" x14ac:dyDescent="0.3">
      <c r="A174" s="8" t="s">
        <v>739</v>
      </c>
      <c r="B174" s="8" t="s">
        <v>740</v>
      </c>
      <c r="C174" s="8" t="s">
        <v>673</v>
      </c>
      <c r="D174" s="8" t="s">
        <v>754</v>
      </c>
      <c r="E174" s="8" t="s">
        <v>755</v>
      </c>
      <c r="F174" s="8">
        <v>0.170098</v>
      </c>
      <c r="G174" s="8">
        <v>0.35226399999999997</v>
      </c>
      <c r="H174" s="8">
        <v>0.39766199999999996</v>
      </c>
      <c r="I174" s="8">
        <v>0.44593299999999997</v>
      </c>
      <c r="J174" s="8">
        <v>0.48156199999999999</v>
      </c>
      <c r="K174" s="8">
        <v>0.49880199999999997</v>
      </c>
      <c r="L174" s="8">
        <v>0.47639000000000004</v>
      </c>
      <c r="M174" s="8">
        <v>0.53098199999999995</v>
      </c>
      <c r="N174" s="8">
        <v>0.59304499999999993</v>
      </c>
    </row>
    <row r="175" spans="1:14" x14ac:dyDescent="0.3">
      <c r="A175" s="8" t="s">
        <v>739</v>
      </c>
      <c r="B175" s="8" t="s">
        <v>740</v>
      </c>
      <c r="C175" s="8" t="s">
        <v>222</v>
      </c>
      <c r="D175" s="8" t="s">
        <v>754</v>
      </c>
      <c r="E175" s="8" t="s">
        <v>755</v>
      </c>
      <c r="F175" s="8">
        <v>16.215599999999998</v>
      </c>
      <c r="G175" s="8">
        <v>14.2681</v>
      </c>
      <c r="H175" s="8">
        <v>12.738799999999999</v>
      </c>
      <c r="I175" s="8">
        <v>15.4434</v>
      </c>
      <c r="J175" s="8">
        <v>22.212900000000001</v>
      </c>
      <c r="K175" s="8">
        <v>31.945</v>
      </c>
      <c r="L175" s="8">
        <v>38.676299999999998</v>
      </c>
      <c r="M175" s="8">
        <v>43.387099999999997</v>
      </c>
      <c r="N175" s="8">
        <v>34.643299999999996</v>
      </c>
    </row>
    <row r="176" spans="1:14" x14ac:dyDescent="0.3">
      <c r="A176" s="8" t="s">
        <v>739</v>
      </c>
      <c r="B176" s="8" t="s">
        <v>740</v>
      </c>
      <c r="C176" s="8" t="s">
        <v>223</v>
      </c>
      <c r="D176" s="8" t="s">
        <v>754</v>
      </c>
      <c r="E176" s="8" t="s">
        <v>755</v>
      </c>
      <c r="F176" s="8">
        <v>33.582700000000003</v>
      </c>
      <c r="G176" s="8">
        <v>41.242600000000003</v>
      </c>
      <c r="H176" s="8">
        <v>48.6738</v>
      </c>
      <c r="I176" s="8">
        <v>58.838700000000003</v>
      </c>
      <c r="J176" s="8">
        <v>77.350099999999998</v>
      </c>
      <c r="K176" s="8">
        <v>94.900999999999996</v>
      </c>
      <c r="L176" s="8">
        <v>118.131</v>
      </c>
      <c r="M176" s="8">
        <v>127.649</v>
      </c>
      <c r="N176" s="8">
        <v>124.535</v>
      </c>
    </row>
    <row r="177" spans="1:14" x14ac:dyDescent="0.3">
      <c r="A177" s="8" t="s">
        <v>739</v>
      </c>
      <c r="B177" s="8" t="s">
        <v>740</v>
      </c>
      <c r="C177" s="8" t="s">
        <v>731</v>
      </c>
      <c r="D177" s="8" t="s">
        <v>754</v>
      </c>
      <c r="E177" s="8" t="s">
        <v>755</v>
      </c>
      <c r="F177" s="8">
        <v>408.55599999999998</v>
      </c>
      <c r="G177" s="8">
        <v>518.03599999999994</v>
      </c>
      <c r="H177" s="8">
        <v>678.89700000000005</v>
      </c>
      <c r="I177" s="8">
        <v>795.12900000000002</v>
      </c>
      <c r="J177" s="8">
        <v>967.94200000000001</v>
      </c>
      <c r="K177" s="8">
        <v>1229.0899999999999</v>
      </c>
      <c r="L177" s="8">
        <v>1436.55</v>
      </c>
      <c r="M177" s="8">
        <v>2021.64</v>
      </c>
      <c r="N177" s="8">
        <v>2375.4899999999998</v>
      </c>
    </row>
    <row r="178" spans="1:14" x14ac:dyDescent="0.3">
      <c r="A178" s="8" t="s">
        <v>739</v>
      </c>
      <c r="B178" s="8" t="s">
        <v>740</v>
      </c>
      <c r="C178" s="8" t="s">
        <v>753</v>
      </c>
      <c r="D178" s="8" t="s">
        <v>754</v>
      </c>
      <c r="E178" s="8" t="s">
        <v>755</v>
      </c>
      <c r="F178" s="8">
        <v>147.87899999999999</v>
      </c>
      <c r="G178" s="8">
        <v>208.73500000000001</v>
      </c>
      <c r="H178" s="8">
        <v>325.30900000000003</v>
      </c>
      <c r="I178" s="8">
        <v>466.95299999999997</v>
      </c>
      <c r="J178" s="8">
        <v>621.71799999999996</v>
      </c>
      <c r="K178" s="8">
        <v>759.57299999999998</v>
      </c>
      <c r="L178" s="8">
        <v>938.56899999999996</v>
      </c>
      <c r="M178" s="8">
        <v>1083.1300000000001</v>
      </c>
      <c r="N178" s="8">
        <v>1252.0999999999999</v>
      </c>
    </row>
    <row r="179" spans="1:14" x14ac:dyDescent="0.3">
      <c r="A179" s="8" t="s">
        <v>739</v>
      </c>
      <c r="B179" s="8" t="s">
        <v>740</v>
      </c>
      <c r="C179" s="8" t="s">
        <v>226</v>
      </c>
      <c r="D179" s="8" t="s">
        <v>754</v>
      </c>
      <c r="E179" s="8" t="s">
        <v>755</v>
      </c>
      <c r="F179" s="8">
        <v>22.922699999999999</v>
      </c>
      <c r="G179" s="8">
        <v>25.667400000000001</v>
      </c>
      <c r="H179" s="8">
        <v>33.612499999999997</v>
      </c>
      <c r="I179" s="8">
        <v>36.7393</v>
      </c>
      <c r="J179" s="8">
        <v>45.366700000000002</v>
      </c>
      <c r="K179" s="8">
        <v>63.770200000000003</v>
      </c>
      <c r="L179" s="8">
        <v>85.655699999999996</v>
      </c>
      <c r="M179" s="8">
        <v>117.578</v>
      </c>
      <c r="N179" s="8">
        <v>160.92099999999999</v>
      </c>
    </row>
    <row r="180" spans="1:14" x14ac:dyDescent="0.3">
      <c r="A180" s="8" t="s">
        <v>739</v>
      </c>
      <c r="B180" s="8" t="s">
        <v>740</v>
      </c>
      <c r="C180" s="8" t="s">
        <v>685</v>
      </c>
      <c r="D180" s="8" t="s">
        <v>754</v>
      </c>
      <c r="E180" s="8" t="s">
        <v>755</v>
      </c>
      <c r="F180" s="8">
        <v>11.7234</v>
      </c>
      <c r="G180" s="8">
        <v>13.003500000000001</v>
      </c>
      <c r="H180" s="8">
        <v>16.752700000000001</v>
      </c>
      <c r="I180" s="8">
        <v>22.638500000000001</v>
      </c>
      <c r="J180" s="8">
        <v>30.048999999999999</v>
      </c>
      <c r="K180" s="8">
        <v>43.232900000000001</v>
      </c>
      <c r="L180" s="8">
        <v>64.150800000000004</v>
      </c>
      <c r="M180" s="8">
        <v>83.910600000000002</v>
      </c>
      <c r="N180" s="8">
        <v>100.78</v>
      </c>
    </row>
    <row r="181" spans="1:14" x14ac:dyDescent="0.3">
      <c r="A181" s="8" t="s">
        <v>739</v>
      </c>
      <c r="B181" s="8" t="s">
        <v>740</v>
      </c>
      <c r="C181" s="8" t="s">
        <v>228</v>
      </c>
      <c r="D181" s="8" t="s">
        <v>754</v>
      </c>
      <c r="E181" s="8" t="s">
        <v>755</v>
      </c>
      <c r="F181" s="8" t="s">
        <v>743</v>
      </c>
      <c r="G181" s="8" t="s">
        <v>743</v>
      </c>
      <c r="H181" s="8">
        <v>852.49699999999996</v>
      </c>
      <c r="I181" s="8">
        <v>392.24799999999999</v>
      </c>
      <c r="J181" s="8">
        <v>355.03500000000003</v>
      </c>
      <c r="K181" s="8">
        <v>513.38499999999999</v>
      </c>
      <c r="L181" s="8">
        <v>539.87199999999996</v>
      </c>
      <c r="M181" s="8">
        <v>480.94099999999997</v>
      </c>
      <c r="N181" s="8">
        <v>518.26300000000003</v>
      </c>
    </row>
    <row r="182" spans="1:14" x14ac:dyDescent="0.3">
      <c r="A182" s="8" t="s">
        <v>739</v>
      </c>
      <c r="B182" s="8" t="s">
        <v>740</v>
      </c>
      <c r="C182" s="8" t="s">
        <v>230</v>
      </c>
      <c r="D182" s="8" t="s">
        <v>754</v>
      </c>
      <c r="E182" s="8" t="s">
        <v>755</v>
      </c>
      <c r="F182" s="8">
        <v>35.906500000000001</v>
      </c>
      <c r="G182" s="8">
        <v>30.848800000000001</v>
      </c>
      <c r="H182" s="8">
        <v>35.7926</v>
      </c>
      <c r="I182" s="8">
        <v>43.413800000000002</v>
      </c>
      <c r="J182" s="8">
        <v>48.603099999999998</v>
      </c>
      <c r="K182" s="8">
        <v>49.0486</v>
      </c>
      <c r="L182" s="8">
        <v>65.519099999999995</v>
      </c>
      <c r="M182" s="8">
        <v>77.351200000000006</v>
      </c>
      <c r="N182" s="8">
        <v>75.691599999999994</v>
      </c>
    </row>
    <row r="183" spans="1:14" x14ac:dyDescent="0.3">
      <c r="A183" s="8" t="s">
        <v>739</v>
      </c>
      <c r="B183" s="8" t="s">
        <v>740</v>
      </c>
      <c r="C183" s="8" t="s">
        <v>231</v>
      </c>
      <c r="D183" s="8" t="s">
        <v>754</v>
      </c>
      <c r="E183" s="8" t="s">
        <v>755</v>
      </c>
      <c r="F183" s="8">
        <v>7257.2</v>
      </c>
      <c r="G183" s="8">
        <v>8536.8700000000008</v>
      </c>
      <c r="H183" s="8">
        <v>10055</v>
      </c>
      <c r="I183" s="8">
        <v>11412.8</v>
      </c>
      <c r="J183" s="8">
        <v>13717.5</v>
      </c>
      <c r="K183" s="8">
        <v>15558.6</v>
      </c>
      <c r="L183" s="8">
        <v>16338.8</v>
      </c>
      <c r="M183" s="8">
        <v>18294.7</v>
      </c>
      <c r="N183" s="8">
        <v>19690.7</v>
      </c>
    </row>
    <row r="184" spans="1:14" x14ac:dyDescent="0.3">
      <c r="A184" s="8" t="s">
        <v>739</v>
      </c>
      <c r="B184" s="8" t="s">
        <v>740</v>
      </c>
      <c r="C184" s="8" t="s">
        <v>233</v>
      </c>
      <c r="D184" s="8" t="s">
        <v>754</v>
      </c>
      <c r="E184" s="8" t="s">
        <v>755</v>
      </c>
      <c r="F184" s="8" t="s">
        <v>743</v>
      </c>
      <c r="G184" s="8" t="s">
        <v>743</v>
      </c>
      <c r="H184" s="8">
        <v>74.633399999999995</v>
      </c>
      <c r="I184" s="8">
        <v>60.764299999999999</v>
      </c>
      <c r="J184" s="8">
        <v>73.409300000000002</v>
      </c>
      <c r="K184" s="8">
        <v>95.259399999999999</v>
      </c>
      <c r="L184" s="8">
        <v>141.49700000000001</v>
      </c>
      <c r="M184" s="8">
        <v>200.34800000000001</v>
      </c>
      <c r="N184" s="8">
        <v>253.58199999999999</v>
      </c>
    </row>
    <row r="185" spans="1:14" x14ac:dyDescent="0.3">
      <c r="A185" s="8" t="s">
        <v>739</v>
      </c>
      <c r="B185" s="8" t="s">
        <v>740</v>
      </c>
      <c r="C185" s="8" t="s">
        <v>730</v>
      </c>
      <c r="D185" s="8" t="s">
        <v>754</v>
      </c>
      <c r="E185" s="8" t="s">
        <v>755</v>
      </c>
      <c r="F185" s="8">
        <v>0.47312499999999996</v>
      </c>
      <c r="G185" s="8">
        <v>0.57159000000000004</v>
      </c>
      <c r="H185" s="8">
        <v>0.74251000000000011</v>
      </c>
      <c r="I185" s="8">
        <v>0.88927699999999998</v>
      </c>
      <c r="J185" s="8">
        <v>1.01189</v>
      </c>
      <c r="K185" s="8">
        <v>1.2143999999999999</v>
      </c>
      <c r="L185" s="8">
        <v>1.2664200000000001</v>
      </c>
      <c r="M185" s="8">
        <v>1.35497</v>
      </c>
      <c r="N185" s="8">
        <v>1.4330000000000001</v>
      </c>
    </row>
    <row r="186" spans="1:14" x14ac:dyDescent="0.3">
      <c r="A186" s="8" t="s">
        <v>739</v>
      </c>
      <c r="B186" s="8" t="s">
        <v>740</v>
      </c>
      <c r="C186" s="8" t="s">
        <v>732</v>
      </c>
      <c r="D186" s="8" t="s">
        <v>754</v>
      </c>
      <c r="E186" s="8" t="s">
        <v>755</v>
      </c>
      <c r="F186" s="8" t="s">
        <v>743</v>
      </c>
      <c r="G186" s="8" t="s">
        <v>743</v>
      </c>
      <c r="H186" s="8" t="s">
        <v>743</v>
      </c>
      <c r="I186" s="8" t="s">
        <v>743</v>
      </c>
      <c r="J186" s="8" t="s">
        <v>743</v>
      </c>
      <c r="K186" s="8" t="s">
        <v>743</v>
      </c>
      <c r="L186" s="8" t="s">
        <v>743</v>
      </c>
      <c r="M186" s="8" t="s">
        <v>743</v>
      </c>
      <c r="N186" s="8">
        <v>3.1029800000000001</v>
      </c>
    </row>
    <row r="187" spans="1:14" x14ac:dyDescent="0.3">
      <c r="A187" s="8" t="s">
        <v>739</v>
      </c>
      <c r="B187" s="8" t="s">
        <v>740</v>
      </c>
      <c r="C187" s="8" t="s">
        <v>234</v>
      </c>
      <c r="D187" s="8" t="s">
        <v>754</v>
      </c>
      <c r="E187" s="8" t="s">
        <v>755</v>
      </c>
      <c r="F187" s="8">
        <v>77.864400000000003</v>
      </c>
      <c r="G187" s="8">
        <v>109.236</v>
      </c>
      <c r="H187" s="8">
        <v>137.798</v>
      </c>
      <c r="I187" s="8">
        <v>204.20699999999999</v>
      </c>
      <c r="J187" s="8">
        <v>285.75599999999997</v>
      </c>
      <c r="K187" s="8">
        <v>407.00900000000001</v>
      </c>
      <c r="L187" s="8">
        <v>552.83299999999997</v>
      </c>
      <c r="M187" s="8">
        <v>745.92899999999997</v>
      </c>
      <c r="N187" s="8">
        <v>1010.06</v>
      </c>
    </row>
    <row r="188" spans="1:14" x14ac:dyDescent="0.3">
      <c r="A188" s="8" t="s">
        <v>739</v>
      </c>
      <c r="B188" s="8" t="s">
        <v>740</v>
      </c>
      <c r="C188" s="8" t="s">
        <v>702</v>
      </c>
      <c r="D188" s="8" t="s">
        <v>754</v>
      </c>
      <c r="E188" s="8" t="s">
        <v>755</v>
      </c>
      <c r="F188" s="8">
        <v>0.27673000000000003</v>
      </c>
      <c r="G188" s="8">
        <v>0.33581299999999997</v>
      </c>
      <c r="H188" s="8">
        <v>0.363006</v>
      </c>
      <c r="I188" s="8">
        <v>0.42631399999999997</v>
      </c>
      <c r="J188" s="8">
        <v>0.49211499999999997</v>
      </c>
      <c r="K188" s="8">
        <v>0.51468000000000003</v>
      </c>
      <c r="L188" s="8">
        <v>0.63273099999999993</v>
      </c>
      <c r="M188" s="8">
        <v>0.68552099999999994</v>
      </c>
      <c r="N188" s="8">
        <v>0.77010800000000001</v>
      </c>
    </row>
    <row r="189" spans="1:14" x14ac:dyDescent="0.3">
      <c r="A189" s="8" t="s">
        <v>739</v>
      </c>
      <c r="B189" s="8" t="s">
        <v>740</v>
      </c>
      <c r="C189" s="8" t="s">
        <v>706</v>
      </c>
      <c r="D189" s="8" t="s">
        <v>754</v>
      </c>
      <c r="E189" s="8" t="s">
        <v>755</v>
      </c>
      <c r="F189" s="8">
        <v>0.49625599999999997</v>
      </c>
      <c r="G189" s="8">
        <v>0.48445299999999997</v>
      </c>
      <c r="H189" s="8">
        <v>0.51986199999999994</v>
      </c>
      <c r="I189" s="8">
        <v>0.60838300000000001</v>
      </c>
      <c r="J189" s="8">
        <v>0.69475799999999999</v>
      </c>
      <c r="K189" s="8">
        <v>0.91150100000000001</v>
      </c>
      <c r="L189" s="8">
        <v>0.9882200000000001</v>
      </c>
      <c r="M189" s="8">
        <v>1.03382</v>
      </c>
      <c r="N189" s="8">
        <v>1.13897</v>
      </c>
    </row>
    <row r="190" spans="1:14" x14ac:dyDescent="0.3">
      <c r="A190" s="8" t="s">
        <v>739</v>
      </c>
      <c r="B190" s="8" t="s">
        <v>740</v>
      </c>
      <c r="C190" s="8" t="s">
        <v>734</v>
      </c>
      <c r="D190" s="8" t="s">
        <v>754</v>
      </c>
      <c r="E190" s="8" t="s">
        <v>755</v>
      </c>
      <c r="F190" s="8" t="s">
        <v>743</v>
      </c>
      <c r="G190" s="8" t="s">
        <v>743</v>
      </c>
      <c r="H190" s="8">
        <v>39.779499999999999</v>
      </c>
      <c r="I190" s="8">
        <v>53.662300000000002</v>
      </c>
      <c r="J190" s="8">
        <v>69.019099999999995</v>
      </c>
      <c r="K190" s="8">
        <v>84.814599999999999</v>
      </c>
      <c r="L190" s="8">
        <v>104.845</v>
      </c>
      <c r="M190" s="8">
        <v>70.5929</v>
      </c>
      <c r="N190" s="8">
        <v>57.161799999999999</v>
      </c>
    </row>
    <row r="191" spans="1:14" x14ac:dyDescent="0.3">
      <c r="A191" s="8" t="s">
        <v>739</v>
      </c>
      <c r="B191" s="8" t="s">
        <v>740</v>
      </c>
      <c r="C191" s="8" t="s">
        <v>236</v>
      </c>
      <c r="D191" s="8" t="s">
        <v>754</v>
      </c>
      <c r="E191" s="8" t="s">
        <v>755</v>
      </c>
      <c r="F191" s="8">
        <v>356.726</v>
      </c>
      <c r="G191" s="8">
        <v>381.55399999999997</v>
      </c>
      <c r="H191" s="8">
        <v>414.40600000000001</v>
      </c>
      <c r="I191" s="8">
        <v>432.37700000000001</v>
      </c>
      <c r="J191" s="8">
        <v>485.25299999999999</v>
      </c>
      <c r="K191" s="8">
        <v>585.62400000000002</v>
      </c>
      <c r="L191" s="8">
        <v>682.16700000000003</v>
      </c>
      <c r="M191" s="8">
        <v>758.9</v>
      </c>
      <c r="N191" s="8">
        <v>739.93700000000001</v>
      </c>
    </row>
    <row r="192" spans="1:14" x14ac:dyDescent="0.3">
      <c r="A192" s="8" t="s">
        <v>739</v>
      </c>
      <c r="B192" s="8" t="s">
        <v>740</v>
      </c>
      <c r="C192" s="8" t="s">
        <v>238</v>
      </c>
      <c r="D192" s="8" t="s">
        <v>754</v>
      </c>
      <c r="E192" s="8" t="s">
        <v>755</v>
      </c>
      <c r="F192" s="8">
        <v>17.4681</v>
      </c>
      <c r="G192" s="8">
        <v>17.787500000000001</v>
      </c>
      <c r="H192" s="8">
        <v>19.215699999999998</v>
      </c>
      <c r="I192" s="8">
        <v>17.3627</v>
      </c>
      <c r="J192" s="8">
        <v>20.736699999999999</v>
      </c>
      <c r="K192" s="8">
        <v>28.0152</v>
      </c>
      <c r="L192" s="8">
        <v>42.525799999999997</v>
      </c>
      <c r="M192" s="8">
        <v>54.6813</v>
      </c>
      <c r="N192" s="8">
        <v>60.259</v>
      </c>
    </row>
    <row r="193" spans="1:14" x14ac:dyDescent="0.3">
      <c r="A193" s="8" t="s">
        <v>739</v>
      </c>
      <c r="B193" s="8" t="s">
        <v>740</v>
      </c>
      <c r="C193" s="8" t="s">
        <v>239</v>
      </c>
      <c r="D193" s="8" t="s">
        <v>754</v>
      </c>
      <c r="E193" s="8" t="s">
        <v>755</v>
      </c>
      <c r="F193" s="8" t="s">
        <v>743</v>
      </c>
      <c r="G193" s="8" t="s">
        <v>743</v>
      </c>
      <c r="H193" s="8">
        <v>27.355599999999999</v>
      </c>
      <c r="I193" s="8">
        <v>29.039400000000001</v>
      </c>
      <c r="J193" s="8">
        <v>33.2273</v>
      </c>
      <c r="K193" s="8">
        <v>22.194299999999998</v>
      </c>
      <c r="L193" s="8">
        <v>22.2393</v>
      </c>
      <c r="M193" s="8">
        <v>31.491199999999999</v>
      </c>
      <c r="N193" s="8">
        <v>30.270900000000001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4785-2FC2-42F8-BA90-9490F84E3D46}">
  <dimension ref="A1:N193"/>
  <sheetViews>
    <sheetView workbookViewId="0">
      <selection activeCell="N147" sqref="N147"/>
    </sheetView>
  </sheetViews>
  <sheetFormatPr defaultColWidth="8.77734375" defaultRowHeight="15.6" x14ac:dyDescent="0.3"/>
  <cols>
    <col min="1" max="16384" width="8.77734375" style="8"/>
  </cols>
  <sheetData>
    <row r="1" spans="1:14" x14ac:dyDescent="0.3">
      <c r="A1" s="8" t="s">
        <v>735</v>
      </c>
      <c r="B1" s="8" t="s">
        <v>736</v>
      </c>
      <c r="C1" s="8" t="s">
        <v>737</v>
      </c>
      <c r="D1" s="8" t="s">
        <v>738</v>
      </c>
      <c r="E1" s="8" t="s">
        <v>718</v>
      </c>
      <c r="F1" s="8" t="s">
        <v>272</v>
      </c>
      <c r="G1" s="8" t="s">
        <v>277</v>
      </c>
      <c r="H1" s="8" t="s">
        <v>282</v>
      </c>
      <c r="I1" s="8" t="s">
        <v>287</v>
      </c>
      <c r="J1" s="8" t="s">
        <v>292</v>
      </c>
      <c r="K1" s="8" t="s">
        <v>297</v>
      </c>
      <c r="L1" s="8" t="s">
        <v>302</v>
      </c>
      <c r="M1" s="8" t="s">
        <v>307</v>
      </c>
      <c r="N1" s="8" t="s">
        <v>312</v>
      </c>
    </row>
    <row r="2" spans="1:14" x14ac:dyDescent="0.3">
      <c r="A2" s="8" t="s">
        <v>739</v>
      </c>
      <c r="B2" s="8" t="s">
        <v>740</v>
      </c>
      <c r="C2" s="8" t="s">
        <v>317</v>
      </c>
      <c r="D2" s="8" t="s">
        <v>741</v>
      </c>
      <c r="E2" s="8" t="s">
        <v>742</v>
      </c>
      <c r="F2" s="8" t="s">
        <v>743</v>
      </c>
      <c r="G2" s="8" t="s">
        <v>743</v>
      </c>
      <c r="H2" s="8">
        <v>32210.5</v>
      </c>
      <c r="I2" s="8">
        <v>37381.9</v>
      </c>
      <c r="J2" s="8">
        <v>38995.199999999997</v>
      </c>
      <c r="K2" s="8">
        <v>41011.1</v>
      </c>
      <c r="L2" s="8">
        <v>35223.4</v>
      </c>
      <c r="M2" s="8">
        <v>38208.800000000003</v>
      </c>
      <c r="N2" s="8">
        <v>29212.7</v>
      </c>
    </row>
    <row r="3" spans="1:14" x14ac:dyDescent="0.3">
      <c r="A3" s="8" t="s">
        <v>739</v>
      </c>
      <c r="B3" s="8" t="s">
        <v>740</v>
      </c>
      <c r="C3" s="8" t="s">
        <v>2</v>
      </c>
      <c r="D3" s="8" t="s">
        <v>741</v>
      </c>
      <c r="E3" s="8" t="s">
        <v>742</v>
      </c>
      <c r="F3" s="8" t="s">
        <v>743</v>
      </c>
      <c r="G3" s="8" t="s">
        <v>743</v>
      </c>
      <c r="H3" s="8">
        <v>5793.08</v>
      </c>
      <c r="I3" s="8">
        <v>4214.83</v>
      </c>
      <c r="J3" s="8">
        <v>4704.03</v>
      </c>
      <c r="K3" s="8">
        <v>6172.74</v>
      </c>
      <c r="L3" s="8">
        <v>7683.57</v>
      </c>
      <c r="M3" s="8">
        <v>7960.42</v>
      </c>
      <c r="N3" s="8">
        <v>6121.6</v>
      </c>
    </row>
    <row r="4" spans="1:14" x14ac:dyDescent="0.3">
      <c r="A4" s="8" t="s">
        <v>739</v>
      </c>
      <c r="B4" s="8" t="s">
        <v>740</v>
      </c>
      <c r="C4" s="8" t="s">
        <v>4</v>
      </c>
      <c r="D4" s="8" t="s">
        <v>741</v>
      </c>
      <c r="E4" s="8" t="s">
        <v>742</v>
      </c>
      <c r="F4" s="8">
        <v>5048.1499999999996</v>
      </c>
      <c r="G4" s="8">
        <v>5172.5600000000004</v>
      </c>
      <c r="H4" s="8">
        <v>5082</v>
      </c>
      <c r="I4" s="8">
        <v>4448.18</v>
      </c>
      <c r="J4" s="8">
        <v>5862.55</v>
      </c>
      <c r="K4" s="8">
        <v>8182.45</v>
      </c>
      <c r="L4" s="8">
        <v>11015.2</v>
      </c>
      <c r="M4" s="8">
        <v>12166.2</v>
      </c>
      <c r="N4" s="8">
        <v>13446</v>
      </c>
    </row>
    <row r="5" spans="1:14" x14ac:dyDescent="0.3">
      <c r="A5" s="8" t="s">
        <v>739</v>
      </c>
      <c r="B5" s="8" t="s">
        <v>740</v>
      </c>
      <c r="C5" s="8" t="s">
        <v>6</v>
      </c>
      <c r="D5" s="8" t="s">
        <v>741</v>
      </c>
      <c r="E5" s="8" t="s">
        <v>742</v>
      </c>
      <c r="F5" s="8">
        <v>167558</v>
      </c>
      <c r="G5" s="8">
        <v>119128</v>
      </c>
      <c r="H5" s="8">
        <v>102387</v>
      </c>
      <c r="I5" s="8">
        <v>96764.7</v>
      </c>
      <c r="J5" s="8">
        <v>96805.1</v>
      </c>
      <c r="K5" s="8">
        <v>96157.5</v>
      </c>
      <c r="L5" s="8">
        <v>56626.7</v>
      </c>
      <c r="M5" s="8">
        <v>68076.7</v>
      </c>
      <c r="N5" s="8">
        <v>67959.100000000006</v>
      </c>
    </row>
    <row r="6" spans="1:14" x14ac:dyDescent="0.3">
      <c r="A6" s="8" t="s">
        <v>739</v>
      </c>
      <c r="B6" s="8" t="s">
        <v>740</v>
      </c>
      <c r="C6" s="8" t="s">
        <v>8</v>
      </c>
      <c r="D6" s="8" t="s">
        <v>741</v>
      </c>
      <c r="E6" s="8" t="s">
        <v>742</v>
      </c>
      <c r="F6" s="8">
        <v>18307.7</v>
      </c>
      <c r="G6" s="8">
        <v>15225.3</v>
      </c>
      <c r="H6" s="8">
        <v>14134</v>
      </c>
      <c r="I6" s="8">
        <v>17300.8</v>
      </c>
      <c r="J6" s="8">
        <v>15558.6</v>
      </c>
      <c r="K6" s="8">
        <v>16241.7</v>
      </c>
      <c r="L6" s="8">
        <v>19605.2</v>
      </c>
      <c r="M6" s="8">
        <v>20043.5</v>
      </c>
      <c r="N6" s="8">
        <v>16713.599999999999</v>
      </c>
    </row>
    <row r="7" spans="1:14" x14ac:dyDescent="0.3">
      <c r="A7" s="8" t="s">
        <v>739</v>
      </c>
      <c r="B7" s="8" t="s">
        <v>740</v>
      </c>
      <c r="C7" s="8" t="s">
        <v>10</v>
      </c>
      <c r="D7" s="8" t="s">
        <v>741</v>
      </c>
      <c r="E7" s="8" t="s">
        <v>742</v>
      </c>
      <c r="F7" s="8" t="s">
        <v>743</v>
      </c>
      <c r="G7" s="8" t="s">
        <v>743</v>
      </c>
      <c r="H7" s="8">
        <v>5153.3</v>
      </c>
      <c r="I7" s="8">
        <v>2915.36</v>
      </c>
      <c r="J7" s="8">
        <v>3858.03</v>
      </c>
      <c r="K7" s="8">
        <v>7248.78</v>
      </c>
      <c r="L7" s="8">
        <v>9058.31</v>
      </c>
      <c r="M7" s="8">
        <v>11504.8</v>
      </c>
      <c r="N7" s="8">
        <v>13339.2</v>
      </c>
    </row>
    <row r="8" spans="1:14" x14ac:dyDescent="0.3">
      <c r="A8" s="8" t="s">
        <v>739</v>
      </c>
      <c r="B8" s="8" t="s">
        <v>740</v>
      </c>
      <c r="C8" s="8" t="s">
        <v>336</v>
      </c>
      <c r="D8" s="8" t="s">
        <v>741</v>
      </c>
      <c r="E8" s="8" t="s">
        <v>742</v>
      </c>
      <c r="F8" s="8">
        <v>8472.9500000000007</v>
      </c>
      <c r="G8" s="8">
        <v>10958.1</v>
      </c>
      <c r="H8" s="8">
        <v>15263.6</v>
      </c>
      <c r="I8" s="8">
        <v>15688.9</v>
      </c>
      <c r="J8" s="8">
        <v>18541.3</v>
      </c>
      <c r="K8" s="8">
        <v>20073.2</v>
      </c>
      <c r="L8" s="8">
        <v>18702.5</v>
      </c>
      <c r="M8" s="8">
        <v>19343.3</v>
      </c>
      <c r="N8" s="8">
        <v>18846</v>
      </c>
    </row>
    <row r="9" spans="1:14" x14ac:dyDescent="0.3">
      <c r="A9" s="8" t="s">
        <v>739</v>
      </c>
      <c r="B9" s="8" t="s">
        <v>740</v>
      </c>
      <c r="C9" s="8" t="s">
        <v>12</v>
      </c>
      <c r="D9" s="8" t="s">
        <v>741</v>
      </c>
      <c r="E9" s="8" t="s">
        <v>742</v>
      </c>
      <c r="F9" s="8">
        <v>26525.1</v>
      </c>
      <c r="G9" s="8">
        <v>28667.200000000001</v>
      </c>
      <c r="H9" s="8">
        <v>31440.7</v>
      </c>
      <c r="I9" s="8">
        <v>34033.4</v>
      </c>
      <c r="J9" s="8">
        <v>37780.1</v>
      </c>
      <c r="K9" s="8">
        <v>42042.3</v>
      </c>
      <c r="L9" s="8">
        <v>44185.9</v>
      </c>
      <c r="M9" s="8">
        <v>46669.7</v>
      </c>
      <c r="N9" s="8">
        <v>47086.7</v>
      </c>
    </row>
    <row r="10" spans="1:14" x14ac:dyDescent="0.3">
      <c r="A10" s="8" t="s">
        <v>739</v>
      </c>
      <c r="B10" s="8" t="s">
        <v>740</v>
      </c>
      <c r="C10" s="8" t="s">
        <v>14</v>
      </c>
      <c r="D10" s="8" t="s">
        <v>741</v>
      </c>
      <c r="E10" s="8" t="s">
        <v>742</v>
      </c>
      <c r="F10" s="8">
        <v>30439.5</v>
      </c>
      <c r="G10" s="8">
        <v>32680.3</v>
      </c>
      <c r="H10" s="8">
        <v>37367.599999999999</v>
      </c>
      <c r="I10" s="8">
        <v>40298.1</v>
      </c>
      <c r="J10" s="8">
        <v>43721.2</v>
      </c>
      <c r="K10" s="8">
        <v>46453.7</v>
      </c>
      <c r="L10" s="8">
        <v>48782.6</v>
      </c>
      <c r="M10" s="8">
        <v>49870.5</v>
      </c>
      <c r="N10" s="8">
        <v>48964</v>
      </c>
    </row>
    <row r="11" spans="1:14" x14ac:dyDescent="0.3">
      <c r="A11" s="8" t="s">
        <v>739</v>
      </c>
      <c r="B11" s="8" t="s">
        <v>740</v>
      </c>
      <c r="C11" s="8" t="s">
        <v>16</v>
      </c>
      <c r="D11" s="8" t="s">
        <v>741</v>
      </c>
      <c r="E11" s="8" t="s">
        <v>742</v>
      </c>
      <c r="F11" s="8" t="s">
        <v>743</v>
      </c>
      <c r="G11" s="8" t="s">
        <v>743</v>
      </c>
      <c r="H11" s="8">
        <v>7357.84</v>
      </c>
      <c r="I11" s="8">
        <v>3044.55</v>
      </c>
      <c r="J11" s="8">
        <v>4107.01</v>
      </c>
      <c r="K11" s="8">
        <v>6891.92</v>
      </c>
      <c r="L11" s="8">
        <v>13794.7</v>
      </c>
      <c r="M11" s="8">
        <v>14531.5</v>
      </c>
      <c r="N11" s="8">
        <v>13493.3</v>
      </c>
    </row>
    <row r="12" spans="1:14" x14ac:dyDescent="0.3">
      <c r="A12" s="8" t="s">
        <v>739</v>
      </c>
      <c r="B12" s="8" t="s">
        <v>740</v>
      </c>
      <c r="C12" s="8" t="s">
        <v>341</v>
      </c>
      <c r="D12" s="8" t="s">
        <v>741</v>
      </c>
      <c r="E12" s="8" t="s">
        <v>742</v>
      </c>
      <c r="F12" s="8">
        <v>864.21400000000006</v>
      </c>
      <c r="G12" s="8">
        <v>970.73299999999995</v>
      </c>
      <c r="H12" s="8">
        <v>1050.77</v>
      </c>
      <c r="I12" s="8">
        <v>861.66499999999996</v>
      </c>
      <c r="J12" s="8">
        <v>807.529</v>
      </c>
      <c r="K12" s="8">
        <v>796.05899999999997</v>
      </c>
      <c r="L12" s="8">
        <v>804.30799999999999</v>
      </c>
      <c r="M12" s="8">
        <v>781.53200000000004</v>
      </c>
      <c r="N12" s="8">
        <v>721.399</v>
      </c>
    </row>
    <row r="13" spans="1:14" x14ac:dyDescent="0.3">
      <c r="A13" s="8" t="s">
        <v>739</v>
      </c>
      <c r="B13" s="8" t="s">
        <v>740</v>
      </c>
      <c r="C13" s="8" t="s">
        <v>17</v>
      </c>
      <c r="D13" s="8" t="s">
        <v>741</v>
      </c>
      <c r="E13" s="8" t="s">
        <v>742</v>
      </c>
      <c r="F13" s="8">
        <v>29509.1</v>
      </c>
      <c r="G13" s="8">
        <v>30767.7</v>
      </c>
      <c r="H13" s="8">
        <v>35534.800000000003</v>
      </c>
      <c r="I13" s="8">
        <v>37939.9</v>
      </c>
      <c r="J13" s="8">
        <v>40142.199999999997</v>
      </c>
      <c r="K13" s="8">
        <v>43133.8</v>
      </c>
      <c r="L13" s="8">
        <v>44886.3</v>
      </c>
      <c r="M13" s="8">
        <v>46306.2</v>
      </c>
      <c r="N13" s="8">
        <v>45791.7</v>
      </c>
    </row>
    <row r="14" spans="1:14" x14ac:dyDescent="0.3">
      <c r="A14" s="8" t="s">
        <v>739</v>
      </c>
      <c r="B14" s="8" t="s">
        <v>740</v>
      </c>
      <c r="C14" s="8" t="s">
        <v>19</v>
      </c>
      <c r="D14" s="8" t="s">
        <v>741</v>
      </c>
      <c r="E14" s="8" t="s">
        <v>742</v>
      </c>
      <c r="F14" s="8">
        <v>2432.4499999999998</v>
      </c>
      <c r="G14" s="8">
        <v>2244.96</v>
      </c>
      <c r="H14" s="8">
        <v>2129.4299999999998</v>
      </c>
      <c r="I14" s="8">
        <v>2221.3200000000002</v>
      </c>
      <c r="J14" s="8">
        <v>2431.44</v>
      </c>
      <c r="K14" s="8">
        <v>2528.67</v>
      </c>
      <c r="L14" s="8">
        <v>2634.13</v>
      </c>
      <c r="M14" s="8">
        <v>2849.81</v>
      </c>
      <c r="N14" s="8">
        <v>3231.54</v>
      </c>
    </row>
    <row r="15" spans="1:14" x14ac:dyDescent="0.3">
      <c r="A15" s="8" t="s">
        <v>739</v>
      </c>
      <c r="B15" s="8" t="s">
        <v>740</v>
      </c>
      <c r="C15" s="8" t="s">
        <v>345</v>
      </c>
      <c r="D15" s="8" t="s">
        <v>741</v>
      </c>
      <c r="E15" s="8" t="s">
        <v>742</v>
      </c>
      <c r="F15" s="8">
        <v>966.68399999999997</v>
      </c>
      <c r="G15" s="8">
        <v>976.86</v>
      </c>
      <c r="H15" s="8">
        <v>987.53499999999997</v>
      </c>
      <c r="I15" s="8">
        <v>1055.1600000000001</v>
      </c>
      <c r="J15" s="8">
        <v>1273.3499999999999</v>
      </c>
      <c r="K15" s="8">
        <v>1484.74</v>
      </c>
      <c r="L15" s="8">
        <v>1670.54</v>
      </c>
      <c r="M15" s="8">
        <v>1872.57</v>
      </c>
      <c r="N15" s="8">
        <v>2133.48</v>
      </c>
    </row>
    <row r="16" spans="1:14" x14ac:dyDescent="0.3">
      <c r="A16" s="8" t="s">
        <v>739</v>
      </c>
      <c r="B16" s="8" t="s">
        <v>740</v>
      </c>
      <c r="C16" s="8" t="s">
        <v>21</v>
      </c>
      <c r="D16" s="8" t="s">
        <v>741</v>
      </c>
      <c r="E16" s="8" t="s">
        <v>742</v>
      </c>
      <c r="F16" s="8">
        <v>1645.75</v>
      </c>
      <c r="G16" s="8">
        <v>1727.48</v>
      </c>
      <c r="H16" s="8">
        <v>1857.99</v>
      </c>
      <c r="I16" s="8">
        <v>2095.14</v>
      </c>
      <c r="J16" s="8">
        <v>2420.67</v>
      </c>
      <c r="K16" s="8">
        <v>2843.52</v>
      </c>
      <c r="L16" s="8">
        <v>3625.4</v>
      </c>
      <c r="M16" s="8">
        <v>4631.24</v>
      </c>
      <c r="N16" s="8">
        <v>6005.84</v>
      </c>
    </row>
    <row r="17" spans="1:14" x14ac:dyDescent="0.3">
      <c r="A17" s="8" t="s">
        <v>739</v>
      </c>
      <c r="B17" s="8" t="s">
        <v>740</v>
      </c>
      <c r="C17" s="8" t="s">
        <v>23</v>
      </c>
      <c r="D17" s="8" t="s">
        <v>741</v>
      </c>
      <c r="E17" s="8" t="s">
        <v>742</v>
      </c>
      <c r="F17" s="8">
        <v>12683.2</v>
      </c>
      <c r="G17" s="8">
        <v>15371.9</v>
      </c>
      <c r="H17" s="8">
        <v>15963.2</v>
      </c>
      <c r="I17" s="8">
        <v>11302.9</v>
      </c>
      <c r="J17" s="8">
        <v>10631.6</v>
      </c>
      <c r="K17" s="8">
        <v>14530.2</v>
      </c>
      <c r="L17" s="8">
        <v>17745.900000000001</v>
      </c>
      <c r="M17" s="8">
        <v>19691.2</v>
      </c>
      <c r="N17" s="8">
        <v>22273.4</v>
      </c>
    </row>
    <row r="18" spans="1:14" x14ac:dyDescent="0.3">
      <c r="A18" s="8" t="s">
        <v>739</v>
      </c>
      <c r="B18" s="8" t="s">
        <v>740</v>
      </c>
      <c r="C18" s="8" t="s">
        <v>25</v>
      </c>
      <c r="D18" s="8" t="s">
        <v>741</v>
      </c>
      <c r="E18" s="8" t="s">
        <v>742</v>
      </c>
      <c r="F18" s="8">
        <v>43759.8</v>
      </c>
      <c r="G18" s="8">
        <v>44118.5</v>
      </c>
      <c r="H18" s="8">
        <v>40721.699999999997</v>
      </c>
      <c r="I18" s="8">
        <v>42631.8</v>
      </c>
      <c r="J18" s="8">
        <v>46150.3</v>
      </c>
      <c r="K18" s="8">
        <v>46818.400000000001</v>
      </c>
      <c r="L18" s="8">
        <v>45598.6</v>
      </c>
      <c r="M18" s="8">
        <v>48452.1</v>
      </c>
      <c r="N18" s="8">
        <v>47462.1</v>
      </c>
    </row>
    <row r="19" spans="1:14" x14ac:dyDescent="0.3">
      <c r="A19" s="8" t="s">
        <v>739</v>
      </c>
      <c r="B19" s="8" t="s">
        <v>740</v>
      </c>
      <c r="C19" s="8" t="s">
        <v>719</v>
      </c>
      <c r="D19" s="8" t="s">
        <v>741</v>
      </c>
      <c r="E19" s="8" t="s">
        <v>742</v>
      </c>
      <c r="F19" s="8">
        <v>31817.200000000001</v>
      </c>
      <c r="G19" s="8">
        <v>34018.800000000003</v>
      </c>
      <c r="H19" s="8">
        <v>34760.699999999997</v>
      </c>
      <c r="I19" s="8">
        <v>31259.200000000001</v>
      </c>
      <c r="J19" s="8">
        <v>36824.699999999997</v>
      </c>
      <c r="K19" s="8">
        <v>37355.800000000003</v>
      </c>
      <c r="L19" s="8">
        <v>34400.6</v>
      </c>
      <c r="M19" s="8">
        <v>34022.5</v>
      </c>
      <c r="N19" s="8">
        <v>26176.799999999999</v>
      </c>
    </row>
    <row r="20" spans="1:14" x14ac:dyDescent="0.3">
      <c r="A20" s="8" t="s">
        <v>739</v>
      </c>
      <c r="B20" s="8" t="s">
        <v>740</v>
      </c>
      <c r="C20" s="8" t="s">
        <v>27</v>
      </c>
      <c r="D20" s="8" t="s">
        <v>741</v>
      </c>
      <c r="E20" s="8" t="s">
        <v>742</v>
      </c>
      <c r="F20" s="8" t="s">
        <v>743</v>
      </c>
      <c r="G20" s="8" t="s">
        <v>743</v>
      </c>
      <c r="H20" s="8" t="s">
        <v>743</v>
      </c>
      <c r="I20" s="8">
        <v>2834.41</v>
      </c>
      <c r="J20" s="8">
        <v>6671.65</v>
      </c>
      <c r="K20" s="8">
        <v>8424.15</v>
      </c>
      <c r="L20" s="8">
        <v>10698.4</v>
      </c>
      <c r="M20" s="8">
        <v>12517.8</v>
      </c>
      <c r="N20" s="8">
        <v>14582.4</v>
      </c>
    </row>
    <row r="21" spans="1:14" x14ac:dyDescent="0.3">
      <c r="A21" s="8" t="s">
        <v>739</v>
      </c>
      <c r="B21" s="8" t="s">
        <v>740</v>
      </c>
      <c r="C21" s="8" t="s">
        <v>29</v>
      </c>
      <c r="D21" s="8" t="s">
        <v>741</v>
      </c>
      <c r="E21" s="8" t="s">
        <v>742</v>
      </c>
      <c r="F21" s="8" t="s">
        <v>743</v>
      </c>
      <c r="G21" s="8" t="s">
        <v>743</v>
      </c>
      <c r="H21" s="8">
        <v>8691.16</v>
      </c>
      <c r="I21" s="8">
        <v>5667.9</v>
      </c>
      <c r="J21" s="8">
        <v>7848.33</v>
      </c>
      <c r="K21" s="8">
        <v>11635.5</v>
      </c>
      <c r="L21" s="8">
        <v>16898.3</v>
      </c>
      <c r="M21" s="8">
        <v>17909.599999999999</v>
      </c>
      <c r="N21" s="8">
        <v>18677.7</v>
      </c>
    </row>
    <row r="22" spans="1:14" x14ac:dyDescent="0.3">
      <c r="A22" s="8" t="s">
        <v>739</v>
      </c>
      <c r="B22" s="8" t="s">
        <v>740</v>
      </c>
      <c r="C22" s="8" t="s">
        <v>354</v>
      </c>
      <c r="D22" s="8" t="s">
        <v>741</v>
      </c>
      <c r="E22" s="8" t="s">
        <v>742</v>
      </c>
      <c r="F22" s="8">
        <v>4002.53</v>
      </c>
      <c r="G22" s="8">
        <v>3834.89</v>
      </c>
      <c r="H22" s="8">
        <v>6392.23</v>
      </c>
      <c r="I22" s="8">
        <v>7671.54</v>
      </c>
      <c r="J22" s="8">
        <v>8702.18</v>
      </c>
      <c r="K22" s="8">
        <v>9648</v>
      </c>
      <c r="L22" s="8">
        <v>8989.07</v>
      </c>
      <c r="M22" s="8">
        <v>9388.08</v>
      </c>
      <c r="N22" s="8">
        <v>7752.25</v>
      </c>
    </row>
    <row r="23" spans="1:14" x14ac:dyDescent="0.3">
      <c r="A23" s="8" t="s">
        <v>739</v>
      </c>
      <c r="B23" s="8" t="s">
        <v>740</v>
      </c>
      <c r="C23" s="8" t="s">
        <v>31</v>
      </c>
      <c r="D23" s="8" t="s">
        <v>741</v>
      </c>
      <c r="E23" s="8" t="s">
        <v>742</v>
      </c>
      <c r="F23" s="8">
        <v>5424.3</v>
      </c>
      <c r="G23" s="8">
        <v>4420.3599999999997</v>
      </c>
      <c r="H23" s="8">
        <v>4437.8100000000004</v>
      </c>
      <c r="I23" s="8">
        <v>4909.05</v>
      </c>
      <c r="J23" s="8">
        <v>5305.53</v>
      </c>
      <c r="K23" s="8">
        <v>5660.5</v>
      </c>
      <c r="L23" s="8">
        <v>6499.85</v>
      </c>
      <c r="M23" s="8">
        <v>7825.8</v>
      </c>
      <c r="N23" s="8">
        <v>7727.7</v>
      </c>
    </row>
    <row r="24" spans="1:14" x14ac:dyDescent="0.3">
      <c r="A24" s="8" t="s">
        <v>739</v>
      </c>
      <c r="B24" s="8" t="s">
        <v>740</v>
      </c>
      <c r="C24" s="8" t="s">
        <v>33</v>
      </c>
      <c r="D24" s="8" t="s">
        <v>741</v>
      </c>
      <c r="E24" s="8" t="s">
        <v>742</v>
      </c>
      <c r="F24" s="8">
        <v>10916.2</v>
      </c>
      <c r="G24" s="8">
        <v>10396.299999999999</v>
      </c>
      <c r="H24" s="8">
        <v>10358.200000000001</v>
      </c>
      <c r="I24" s="8">
        <v>11105.6</v>
      </c>
      <c r="J24" s="8">
        <v>11277.8</v>
      </c>
      <c r="K24" s="8">
        <v>12272.2</v>
      </c>
      <c r="L24" s="8">
        <v>14512.3</v>
      </c>
      <c r="M24" s="8">
        <v>14699.4</v>
      </c>
      <c r="N24" s="8">
        <v>13811.4</v>
      </c>
    </row>
    <row r="25" spans="1:14" x14ac:dyDescent="0.3">
      <c r="A25" s="8" t="s">
        <v>739</v>
      </c>
      <c r="B25" s="8" t="s">
        <v>740</v>
      </c>
      <c r="C25" s="8" t="s">
        <v>360</v>
      </c>
      <c r="D25" s="8" t="s">
        <v>741</v>
      </c>
      <c r="E25" s="8" t="s">
        <v>742</v>
      </c>
      <c r="F25" s="8">
        <v>13146</v>
      </c>
      <c r="G25" s="8">
        <v>12693.2</v>
      </c>
      <c r="H25" s="8">
        <v>14139.2</v>
      </c>
      <c r="I25" s="8">
        <v>13264.5</v>
      </c>
      <c r="J25" s="8">
        <v>15563.8</v>
      </c>
      <c r="K25" s="8">
        <v>16201.3</v>
      </c>
      <c r="L25" s="8">
        <v>16031.1</v>
      </c>
      <c r="M25" s="8">
        <v>15796.4</v>
      </c>
      <c r="N25" s="8">
        <v>13828.8</v>
      </c>
    </row>
    <row r="26" spans="1:14" x14ac:dyDescent="0.3">
      <c r="A26" s="8" t="s">
        <v>739</v>
      </c>
      <c r="B26" s="8" t="s">
        <v>740</v>
      </c>
      <c r="C26" s="8" t="s">
        <v>35</v>
      </c>
      <c r="D26" s="8" t="s">
        <v>741</v>
      </c>
      <c r="E26" s="8" t="s">
        <v>742</v>
      </c>
      <c r="F26" s="8" t="s">
        <v>743</v>
      </c>
      <c r="G26" s="8">
        <v>82686.5</v>
      </c>
      <c r="H26" s="8">
        <v>70356.800000000003</v>
      </c>
      <c r="I26" s="8">
        <v>71961.8</v>
      </c>
      <c r="J26" s="8">
        <v>68864.5</v>
      </c>
      <c r="K26" s="8">
        <v>69480.2</v>
      </c>
      <c r="L26" s="8">
        <v>66482</v>
      </c>
      <c r="M26" s="8">
        <v>62160.1</v>
      </c>
      <c r="N26" s="8">
        <v>61858.3</v>
      </c>
    </row>
    <row r="27" spans="1:14" x14ac:dyDescent="0.3">
      <c r="A27" s="8" t="s">
        <v>739</v>
      </c>
      <c r="B27" s="8" t="s">
        <v>740</v>
      </c>
      <c r="C27" s="8" t="s">
        <v>363</v>
      </c>
      <c r="D27" s="8" t="s">
        <v>741</v>
      </c>
      <c r="E27" s="8" t="s">
        <v>742</v>
      </c>
      <c r="F27" s="8">
        <v>1320.7</v>
      </c>
      <c r="G27" s="8">
        <v>1676.79</v>
      </c>
      <c r="H27" s="8">
        <v>2517.48</v>
      </c>
      <c r="I27" s="8">
        <v>3191.77</v>
      </c>
      <c r="J27" s="8">
        <v>3893.28</v>
      </c>
      <c r="K27" s="8">
        <v>5035.1000000000004</v>
      </c>
      <c r="L27" s="8">
        <v>7357.5</v>
      </c>
      <c r="M27" s="8">
        <v>9347.11</v>
      </c>
      <c r="N27" s="8">
        <v>10910.1</v>
      </c>
    </row>
    <row r="28" spans="1:14" x14ac:dyDescent="0.3">
      <c r="A28" s="8" t="s">
        <v>739</v>
      </c>
      <c r="B28" s="8" t="s">
        <v>740</v>
      </c>
      <c r="C28" s="8" t="s">
        <v>37</v>
      </c>
      <c r="D28" s="8" t="s">
        <v>741</v>
      </c>
      <c r="E28" s="8" t="s">
        <v>742</v>
      </c>
      <c r="F28" s="8">
        <v>5178.78</v>
      </c>
      <c r="G28" s="8">
        <v>6798.97</v>
      </c>
      <c r="H28" s="8">
        <v>10120.5</v>
      </c>
      <c r="I28" s="8">
        <v>10437</v>
      </c>
      <c r="J28" s="8">
        <v>11346.2</v>
      </c>
      <c r="K28" s="8">
        <v>12768.6</v>
      </c>
      <c r="L28" s="8">
        <v>12653.3</v>
      </c>
      <c r="M28" s="8">
        <v>13682.6</v>
      </c>
      <c r="N28" s="8">
        <v>13668.3</v>
      </c>
    </row>
    <row r="29" spans="1:14" x14ac:dyDescent="0.3">
      <c r="A29" s="8" t="s">
        <v>739</v>
      </c>
      <c r="B29" s="8" t="s">
        <v>740</v>
      </c>
      <c r="C29" s="8" t="s">
        <v>366</v>
      </c>
      <c r="D29" s="8" t="s">
        <v>741</v>
      </c>
      <c r="E29" s="8" t="s">
        <v>742</v>
      </c>
      <c r="F29" s="8">
        <v>1187.1099999999999</v>
      </c>
      <c r="G29" s="8">
        <v>1310.5899999999999</v>
      </c>
      <c r="H29" s="8">
        <v>1366.3</v>
      </c>
      <c r="I29" s="8">
        <v>1267.72</v>
      </c>
      <c r="J29" s="8">
        <v>1106.71</v>
      </c>
      <c r="K29" s="8">
        <v>1040.8399999999999</v>
      </c>
      <c r="L29" s="8">
        <v>1130.82</v>
      </c>
      <c r="M29" s="8">
        <v>794.99</v>
      </c>
      <c r="N29" s="8">
        <v>858.80200000000002</v>
      </c>
    </row>
    <row r="30" spans="1:14" x14ac:dyDescent="0.3">
      <c r="A30" s="8" t="s">
        <v>739</v>
      </c>
      <c r="B30" s="8" t="s">
        <v>740</v>
      </c>
      <c r="C30" s="8" t="s">
        <v>39</v>
      </c>
      <c r="D30" s="8" t="s">
        <v>741</v>
      </c>
      <c r="E30" s="8" t="s">
        <v>742</v>
      </c>
      <c r="F30" s="8">
        <v>30107.3</v>
      </c>
      <c r="G30" s="8">
        <v>32556.1</v>
      </c>
      <c r="H30" s="8">
        <v>34605.300000000003</v>
      </c>
      <c r="I30" s="8">
        <v>35564.699999999997</v>
      </c>
      <c r="J30" s="8">
        <v>38860.699999999997</v>
      </c>
      <c r="K30" s="8">
        <v>42035.5</v>
      </c>
      <c r="L30" s="8">
        <v>42221.4</v>
      </c>
      <c r="M30" s="8">
        <v>44633.5</v>
      </c>
      <c r="N30" s="8">
        <v>43696.3</v>
      </c>
    </row>
    <row r="31" spans="1:14" x14ac:dyDescent="0.3">
      <c r="A31" s="8" t="s">
        <v>739</v>
      </c>
      <c r="B31" s="8" t="s">
        <v>740</v>
      </c>
      <c r="C31" s="8" t="s">
        <v>41</v>
      </c>
      <c r="D31" s="8" t="s">
        <v>741</v>
      </c>
      <c r="E31" s="8" t="s">
        <v>742</v>
      </c>
      <c r="F31" s="8">
        <v>47931.5</v>
      </c>
      <c r="G31" s="8">
        <v>50480.5</v>
      </c>
      <c r="H31" s="8">
        <v>56288.9</v>
      </c>
      <c r="I31" s="8">
        <v>54017.2</v>
      </c>
      <c r="J31" s="8">
        <v>57470.400000000001</v>
      </c>
      <c r="K31" s="8">
        <v>59459.1</v>
      </c>
      <c r="L31" s="8">
        <v>63284.800000000003</v>
      </c>
      <c r="M31" s="8">
        <v>65250.400000000001</v>
      </c>
      <c r="N31" s="8">
        <v>66108.7</v>
      </c>
    </row>
    <row r="32" spans="1:14" x14ac:dyDescent="0.3">
      <c r="A32" s="8" t="s">
        <v>739</v>
      </c>
      <c r="B32" s="8" t="s">
        <v>740</v>
      </c>
      <c r="C32" s="8" t="s">
        <v>43</v>
      </c>
      <c r="D32" s="8" t="s">
        <v>741</v>
      </c>
      <c r="E32" s="8" t="s">
        <v>742</v>
      </c>
      <c r="F32" s="8">
        <v>8463.0499999999993</v>
      </c>
      <c r="G32" s="8">
        <v>7585</v>
      </c>
      <c r="H32" s="8">
        <v>9289.1</v>
      </c>
      <c r="I32" s="8">
        <v>13039.2</v>
      </c>
      <c r="J32" s="8">
        <v>14338.7</v>
      </c>
      <c r="K32" s="8">
        <v>17063.8</v>
      </c>
      <c r="L32" s="8">
        <v>19686.099999999999</v>
      </c>
      <c r="M32" s="8">
        <v>22687.1</v>
      </c>
      <c r="N32" s="8">
        <v>21366.2</v>
      </c>
    </row>
    <row r="33" spans="1:14" x14ac:dyDescent="0.3">
      <c r="A33" s="8" t="s">
        <v>739</v>
      </c>
      <c r="B33" s="8" t="s">
        <v>740</v>
      </c>
      <c r="C33" s="8" t="s">
        <v>45</v>
      </c>
      <c r="D33" s="8" t="s">
        <v>741</v>
      </c>
      <c r="E33" s="8" t="s">
        <v>742</v>
      </c>
      <c r="F33" s="8">
        <v>677.99900000000002</v>
      </c>
      <c r="G33" s="8">
        <v>1044.54</v>
      </c>
      <c r="H33" s="8">
        <v>1401.92</v>
      </c>
      <c r="I33" s="8">
        <v>2365.39</v>
      </c>
      <c r="J33" s="8">
        <v>3525.67</v>
      </c>
      <c r="K33" s="8">
        <v>5450.39</v>
      </c>
      <c r="L33" s="8">
        <v>9014.81</v>
      </c>
      <c r="M33" s="8">
        <v>12769.3</v>
      </c>
      <c r="N33" s="8">
        <v>16514.2</v>
      </c>
    </row>
    <row r="34" spans="1:14" x14ac:dyDescent="0.3">
      <c r="A34" s="8" t="s">
        <v>739</v>
      </c>
      <c r="B34" s="8" t="s">
        <v>740</v>
      </c>
      <c r="C34" s="8" t="s">
        <v>46</v>
      </c>
      <c r="D34" s="8" t="s">
        <v>741</v>
      </c>
      <c r="E34" s="8" t="s">
        <v>742</v>
      </c>
      <c r="F34" s="8">
        <v>5953.71</v>
      </c>
      <c r="G34" s="8">
        <v>5093.5</v>
      </c>
      <c r="H34" s="8">
        <v>4576.1000000000004</v>
      </c>
      <c r="I34" s="8">
        <v>4015.09</v>
      </c>
      <c r="J34" s="8">
        <v>4079.93</v>
      </c>
      <c r="K34" s="8">
        <v>3613.17</v>
      </c>
      <c r="L34" s="8">
        <v>3621.39</v>
      </c>
      <c r="M34" s="8">
        <v>4423.82</v>
      </c>
      <c r="N34" s="8">
        <v>5156.43</v>
      </c>
    </row>
    <row r="35" spans="1:14" x14ac:dyDescent="0.3">
      <c r="A35" s="8" t="s">
        <v>739</v>
      </c>
      <c r="B35" s="8" t="s">
        <v>740</v>
      </c>
      <c r="C35" s="8" t="s">
        <v>48</v>
      </c>
      <c r="D35" s="8" t="s">
        <v>741</v>
      </c>
      <c r="E35" s="8" t="s">
        <v>742</v>
      </c>
      <c r="F35" s="8">
        <v>3406.54</v>
      </c>
      <c r="G35" s="8">
        <v>4626.53</v>
      </c>
      <c r="H35" s="8">
        <v>3521.62</v>
      </c>
      <c r="I35" s="8">
        <v>2772.97</v>
      </c>
      <c r="J35" s="8">
        <v>3026.16</v>
      </c>
      <c r="K35" s="8">
        <v>3244.27</v>
      </c>
      <c r="L35" s="8">
        <v>3301.31</v>
      </c>
      <c r="M35" s="8">
        <v>3616.74</v>
      </c>
      <c r="N35" s="8">
        <v>3725.98</v>
      </c>
    </row>
    <row r="36" spans="1:14" x14ac:dyDescent="0.3">
      <c r="A36" s="8" t="s">
        <v>739</v>
      </c>
      <c r="B36" s="8" t="s">
        <v>740</v>
      </c>
      <c r="C36" s="8" t="s">
        <v>720</v>
      </c>
      <c r="D36" s="8" t="s">
        <v>741</v>
      </c>
      <c r="E36" s="8" t="s">
        <v>742</v>
      </c>
      <c r="F36" s="8" t="s">
        <v>743</v>
      </c>
      <c r="G36" s="8" t="s">
        <v>743</v>
      </c>
      <c r="H36" s="8">
        <v>1750.17</v>
      </c>
      <c r="I36" s="8">
        <v>1049.54</v>
      </c>
      <c r="J36" s="8">
        <v>717.41</v>
      </c>
      <c r="K36" s="8">
        <v>783.57</v>
      </c>
      <c r="L36" s="8">
        <v>886.83600000000001</v>
      </c>
      <c r="M36" s="8">
        <v>1094.97</v>
      </c>
      <c r="N36" s="8">
        <v>1092.81</v>
      </c>
    </row>
    <row r="37" spans="1:14" x14ac:dyDescent="0.3">
      <c r="A37" s="8" t="s">
        <v>739</v>
      </c>
      <c r="B37" s="8" t="s">
        <v>740</v>
      </c>
      <c r="C37" s="8" t="s">
        <v>744</v>
      </c>
      <c r="D37" s="8" t="s">
        <v>741</v>
      </c>
      <c r="E37" s="8" t="s">
        <v>742</v>
      </c>
      <c r="F37" s="8">
        <v>3733.27</v>
      </c>
      <c r="G37" s="8">
        <v>3733.27</v>
      </c>
      <c r="H37" s="8">
        <v>5047.7299999999996</v>
      </c>
      <c r="I37" s="8">
        <v>4912.43</v>
      </c>
      <c r="J37" s="8">
        <v>5164.88</v>
      </c>
      <c r="K37" s="8">
        <v>4638.22</v>
      </c>
      <c r="L37" s="8">
        <v>5050.3100000000004</v>
      </c>
      <c r="M37" s="8">
        <v>5082.22</v>
      </c>
      <c r="N37" s="8">
        <v>3793.45</v>
      </c>
    </row>
    <row r="38" spans="1:14" x14ac:dyDescent="0.3">
      <c r="A38" s="8" t="s">
        <v>739</v>
      </c>
      <c r="B38" s="8" t="s">
        <v>740</v>
      </c>
      <c r="C38" s="8" t="s">
        <v>52</v>
      </c>
      <c r="D38" s="8" t="s">
        <v>741</v>
      </c>
      <c r="E38" s="8" t="s">
        <v>742</v>
      </c>
      <c r="F38" s="8">
        <v>7507.18</v>
      </c>
      <c r="G38" s="8">
        <v>7495.36</v>
      </c>
      <c r="H38" s="8">
        <v>8507.84</v>
      </c>
      <c r="I38" s="8">
        <v>9724.2900000000009</v>
      </c>
      <c r="J38" s="8">
        <v>8523.65</v>
      </c>
      <c r="K38" s="8">
        <v>9456.91</v>
      </c>
      <c r="L38" s="8">
        <v>11077.5</v>
      </c>
      <c r="M38" s="8">
        <v>13244</v>
      </c>
      <c r="N38" s="8">
        <v>12522.4</v>
      </c>
    </row>
    <row r="39" spans="1:14" x14ac:dyDescent="0.3">
      <c r="A39" s="8" t="s">
        <v>739</v>
      </c>
      <c r="B39" s="8" t="s">
        <v>740</v>
      </c>
      <c r="C39" s="8" t="s">
        <v>381</v>
      </c>
      <c r="D39" s="8" t="s">
        <v>741</v>
      </c>
      <c r="E39" s="8" t="s">
        <v>742</v>
      </c>
      <c r="F39" s="8">
        <v>2853.28</v>
      </c>
      <c r="G39" s="8">
        <v>3023.84</v>
      </c>
      <c r="H39" s="8">
        <v>3077.11</v>
      </c>
      <c r="I39" s="8">
        <v>2872.41</v>
      </c>
      <c r="J39" s="8">
        <v>2735.46</v>
      </c>
      <c r="K39" s="8">
        <v>3038.13</v>
      </c>
      <c r="L39" s="8">
        <v>3025.59</v>
      </c>
      <c r="M39" s="8">
        <v>3150.97</v>
      </c>
      <c r="N39" s="8">
        <v>3254.12</v>
      </c>
    </row>
    <row r="40" spans="1:14" x14ac:dyDescent="0.3">
      <c r="A40" s="8" t="s">
        <v>739</v>
      </c>
      <c r="B40" s="8" t="s">
        <v>740</v>
      </c>
      <c r="C40" s="8" t="s">
        <v>383</v>
      </c>
      <c r="D40" s="8" t="s">
        <v>741</v>
      </c>
      <c r="E40" s="8" t="s">
        <v>742</v>
      </c>
      <c r="F40" s="8">
        <v>1876.22</v>
      </c>
      <c r="G40" s="8">
        <v>2411.58</v>
      </c>
      <c r="H40" s="8">
        <v>2721.57</v>
      </c>
      <c r="I40" s="8">
        <v>3108.44</v>
      </c>
      <c r="J40" s="8">
        <v>4168.8900000000003</v>
      </c>
      <c r="K40" s="8">
        <v>5170.78</v>
      </c>
      <c r="L40" s="8">
        <v>6598.59</v>
      </c>
      <c r="M40" s="8">
        <v>6692.56</v>
      </c>
      <c r="N40" s="8">
        <v>6195.38</v>
      </c>
    </row>
    <row r="41" spans="1:14" x14ac:dyDescent="0.3">
      <c r="A41" s="8" t="s">
        <v>739</v>
      </c>
      <c r="B41" s="8" t="s">
        <v>740</v>
      </c>
      <c r="C41" s="8" t="s">
        <v>54</v>
      </c>
      <c r="D41" s="8" t="s">
        <v>741</v>
      </c>
      <c r="E41" s="8" t="s">
        <v>742</v>
      </c>
      <c r="F41" s="8">
        <v>10108</v>
      </c>
      <c r="G41" s="8">
        <v>8930.5</v>
      </c>
      <c r="H41" s="8">
        <v>9810.76</v>
      </c>
      <c r="I41" s="8">
        <v>11291.2</v>
      </c>
      <c r="J41" s="8">
        <v>11547.5</v>
      </c>
      <c r="K41" s="8">
        <v>12906.3</v>
      </c>
      <c r="L41" s="8">
        <v>15310.3</v>
      </c>
      <c r="M41" s="8">
        <v>17413.2</v>
      </c>
      <c r="N41" s="8">
        <v>18231.599999999999</v>
      </c>
    </row>
    <row r="42" spans="1:14" x14ac:dyDescent="0.3">
      <c r="A42" s="8" t="s">
        <v>739</v>
      </c>
      <c r="B42" s="8" t="s">
        <v>740</v>
      </c>
      <c r="C42" s="8" t="s">
        <v>388</v>
      </c>
      <c r="D42" s="8" t="s">
        <v>741</v>
      </c>
      <c r="E42" s="8" t="s">
        <v>742</v>
      </c>
      <c r="F42" s="8">
        <v>3082.86</v>
      </c>
      <c r="G42" s="8">
        <v>4489.72</v>
      </c>
      <c r="H42" s="8">
        <v>4244.71</v>
      </c>
      <c r="I42" s="8">
        <v>2863.37</v>
      </c>
      <c r="J42" s="8">
        <v>3517.55</v>
      </c>
      <c r="K42" s="8">
        <v>4438.04</v>
      </c>
      <c r="L42" s="8">
        <v>5747</v>
      </c>
      <c r="M42" s="8">
        <v>6570.55</v>
      </c>
      <c r="N42" s="8">
        <v>6128.75</v>
      </c>
    </row>
    <row r="43" spans="1:14" x14ac:dyDescent="0.3">
      <c r="A43" s="8" t="s">
        <v>739</v>
      </c>
      <c r="B43" s="8" t="s">
        <v>740</v>
      </c>
      <c r="C43" s="8" t="s">
        <v>57</v>
      </c>
      <c r="D43" s="8" t="s">
        <v>741</v>
      </c>
      <c r="E43" s="8" t="s">
        <v>742</v>
      </c>
      <c r="F43" s="8">
        <v>11580.7</v>
      </c>
      <c r="G43" s="8">
        <v>14138.1</v>
      </c>
      <c r="H43" s="8">
        <v>18308</v>
      </c>
      <c r="I43" s="8">
        <v>21617.8</v>
      </c>
      <c r="J43" s="8">
        <v>24123</v>
      </c>
      <c r="K43" s="8">
        <v>26876.9</v>
      </c>
      <c r="L43" s="8">
        <v>28205.1</v>
      </c>
      <c r="M43" s="8">
        <v>24689.8</v>
      </c>
      <c r="N43" s="8">
        <v>28547.3</v>
      </c>
    </row>
    <row r="44" spans="1:14" x14ac:dyDescent="0.3">
      <c r="A44" s="8" t="s">
        <v>739</v>
      </c>
      <c r="B44" s="8" t="s">
        <v>740</v>
      </c>
      <c r="C44" s="8" t="s">
        <v>59</v>
      </c>
      <c r="D44" s="8" t="s">
        <v>741</v>
      </c>
      <c r="E44" s="8" t="s">
        <v>742</v>
      </c>
      <c r="F44" s="8" t="s">
        <v>743</v>
      </c>
      <c r="G44" s="8" t="s">
        <v>743</v>
      </c>
      <c r="H44" s="8">
        <v>26361.8</v>
      </c>
      <c r="I44" s="8">
        <v>22775.200000000001</v>
      </c>
      <c r="J44" s="8">
        <v>23471.5</v>
      </c>
      <c r="K44" s="8">
        <v>28263.8</v>
      </c>
      <c r="L44" s="8">
        <v>31380.799999999999</v>
      </c>
      <c r="M44" s="8">
        <v>33985</v>
      </c>
      <c r="N44" s="8">
        <v>36777.699999999997</v>
      </c>
    </row>
    <row r="45" spans="1:14" x14ac:dyDescent="0.3">
      <c r="A45" s="8" t="s">
        <v>739</v>
      </c>
      <c r="B45" s="8" t="s">
        <v>740</v>
      </c>
      <c r="C45" s="8" t="s">
        <v>61</v>
      </c>
      <c r="D45" s="8" t="s">
        <v>741</v>
      </c>
      <c r="E45" s="8" t="s">
        <v>742</v>
      </c>
      <c r="F45" s="8">
        <v>29779.4</v>
      </c>
      <c r="G45" s="8">
        <v>32008.7</v>
      </c>
      <c r="H45" s="8">
        <v>36814.199999999997</v>
      </c>
      <c r="I45" s="8">
        <v>39646.1</v>
      </c>
      <c r="J45" s="8">
        <v>40275</v>
      </c>
      <c r="K45" s="8">
        <v>41473</v>
      </c>
      <c r="L45" s="8">
        <v>43888.9</v>
      </c>
      <c r="M45" s="8">
        <v>47343.5</v>
      </c>
      <c r="N45" s="8">
        <v>48022.3</v>
      </c>
    </row>
    <row r="46" spans="1:14" x14ac:dyDescent="0.3">
      <c r="A46" s="8" t="s">
        <v>739</v>
      </c>
      <c r="B46" s="8" t="s">
        <v>740</v>
      </c>
      <c r="C46" s="8" t="s">
        <v>396</v>
      </c>
      <c r="D46" s="8" t="s">
        <v>741</v>
      </c>
      <c r="E46" s="8" t="s">
        <v>742</v>
      </c>
      <c r="F46" s="8" t="s">
        <v>743</v>
      </c>
      <c r="G46" s="8" t="s">
        <v>743</v>
      </c>
      <c r="H46" s="8">
        <v>4380.7700000000004</v>
      </c>
      <c r="I46" s="8">
        <v>3428.22</v>
      </c>
      <c r="J46" s="8">
        <v>2870.59</v>
      </c>
      <c r="K46" s="8">
        <v>2946.03</v>
      </c>
      <c r="L46" s="8">
        <v>3282.46</v>
      </c>
      <c r="M46" s="8">
        <v>4073.81</v>
      </c>
      <c r="N46" s="8">
        <v>4793.83</v>
      </c>
    </row>
    <row r="47" spans="1:14" x14ac:dyDescent="0.3">
      <c r="A47" s="8" t="s">
        <v>739</v>
      </c>
      <c r="B47" s="8" t="s">
        <v>740</v>
      </c>
      <c r="C47" s="8" t="s">
        <v>63</v>
      </c>
      <c r="D47" s="8" t="s">
        <v>741</v>
      </c>
      <c r="E47" s="8" t="s">
        <v>742</v>
      </c>
      <c r="F47" s="8">
        <v>31840.799999999999</v>
      </c>
      <c r="G47" s="8">
        <v>36492.6</v>
      </c>
      <c r="H47" s="8">
        <v>39000.1</v>
      </c>
      <c r="I47" s="8">
        <v>43000.7</v>
      </c>
      <c r="J47" s="8">
        <v>45340.800000000003</v>
      </c>
      <c r="K47" s="8">
        <v>47590.3</v>
      </c>
      <c r="L47" s="8">
        <v>47101.599999999999</v>
      </c>
      <c r="M47" s="8">
        <v>49094.5</v>
      </c>
      <c r="N47" s="8">
        <v>51436.4</v>
      </c>
    </row>
    <row r="48" spans="1:14" x14ac:dyDescent="0.3">
      <c r="A48" s="8" t="s">
        <v>739</v>
      </c>
      <c r="B48" s="8" t="s">
        <v>740</v>
      </c>
      <c r="C48" s="8" t="s">
        <v>65</v>
      </c>
      <c r="D48" s="8" t="s">
        <v>741</v>
      </c>
      <c r="E48" s="8" t="s">
        <v>742</v>
      </c>
      <c r="F48" s="8">
        <v>6082.19</v>
      </c>
      <c r="G48" s="8">
        <v>5998.36</v>
      </c>
      <c r="H48" s="8">
        <v>6207.08</v>
      </c>
      <c r="I48" s="8">
        <v>7349.37</v>
      </c>
      <c r="J48" s="8">
        <v>9246.3700000000008</v>
      </c>
      <c r="K48" s="8">
        <v>10215.5</v>
      </c>
      <c r="L48" s="8">
        <v>12677</v>
      </c>
      <c r="M48" s="8">
        <v>15145.5</v>
      </c>
      <c r="N48" s="8">
        <v>16860.900000000001</v>
      </c>
    </row>
    <row r="49" spans="1:14" x14ac:dyDescent="0.3">
      <c r="A49" s="8" t="s">
        <v>739</v>
      </c>
      <c r="B49" s="8" t="s">
        <v>740</v>
      </c>
      <c r="C49" s="8" t="s">
        <v>67</v>
      </c>
      <c r="D49" s="8" t="s">
        <v>741</v>
      </c>
      <c r="E49" s="8" t="s">
        <v>742</v>
      </c>
      <c r="F49" s="8">
        <v>8977.2999999999993</v>
      </c>
      <c r="G49" s="8">
        <v>9790.59</v>
      </c>
      <c r="H49" s="8">
        <v>8721.08</v>
      </c>
      <c r="I49" s="8">
        <v>7903.18</v>
      </c>
      <c r="J49" s="8">
        <v>8640.66</v>
      </c>
      <c r="K49" s="8">
        <v>10391.4</v>
      </c>
      <c r="L49" s="8">
        <v>10821.8</v>
      </c>
      <c r="M49" s="8">
        <v>11553.2</v>
      </c>
      <c r="N49" s="8">
        <v>10761.5</v>
      </c>
    </row>
    <row r="50" spans="1:14" x14ac:dyDescent="0.3">
      <c r="A50" s="8" t="s">
        <v>739</v>
      </c>
      <c r="B50" s="8" t="s">
        <v>740</v>
      </c>
      <c r="C50" s="8" t="s">
        <v>69</v>
      </c>
      <c r="D50" s="8" t="s">
        <v>741</v>
      </c>
      <c r="E50" s="8" t="s">
        <v>742</v>
      </c>
      <c r="F50" s="8">
        <v>8288.41</v>
      </c>
      <c r="G50" s="8">
        <v>8101.59</v>
      </c>
      <c r="H50" s="8">
        <v>7937.69</v>
      </c>
      <c r="I50" s="8">
        <v>8496.73</v>
      </c>
      <c r="J50" s="8">
        <v>8211.59</v>
      </c>
      <c r="K50" s="8">
        <v>9542.1299999999992</v>
      </c>
      <c r="L50" s="8">
        <v>10355.799999999999</v>
      </c>
      <c r="M50" s="8">
        <v>11908.2</v>
      </c>
      <c r="N50" s="8">
        <v>10417.1</v>
      </c>
    </row>
    <row r="51" spans="1:14" x14ac:dyDescent="0.3">
      <c r="A51" s="8" t="s">
        <v>739</v>
      </c>
      <c r="B51" s="8" t="s">
        <v>740</v>
      </c>
      <c r="C51" s="8" t="s">
        <v>721</v>
      </c>
      <c r="D51" s="8" t="s">
        <v>741</v>
      </c>
      <c r="E51" s="8" t="s">
        <v>742</v>
      </c>
      <c r="F51" s="8">
        <v>4957.05</v>
      </c>
      <c r="G51" s="8">
        <v>6004.56</v>
      </c>
      <c r="H51" s="8">
        <v>6288.07</v>
      </c>
      <c r="I51" s="8">
        <v>6431.63</v>
      </c>
      <c r="J51" s="8">
        <v>7724.65</v>
      </c>
      <c r="K51" s="8">
        <v>8357.77</v>
      </c>
      <c r="L51" s="8">
        <v>10221.1</v>
      </c>
      <c r="M51" s="8">
        <v>10534.6</v>
      </c>
      <c r="N51" s="8">
        <v>12095.7</v>
      </c>
    </row>
    <row r="52" spans="1:14" x14ac:dyDescent="0.3">
      <c r="A52" s="8" t="s">
        <v>739</v>
      </c>
      <c r="B52" s="8" t="s">
        <v>740</v>
      </c>
      <c r="C52" s="8" t="s">
        <v>417</v>
      </c>
      <c r="D52" s="8" t="s">
        <v>741</v>
      </c>
      <c r="E52" s="8" t="s">
        <v>742</v>
      </c>
      <c r="F52" s="8" t="s">
        <v>743</v>
      </c>
      <c r="G52" s="8" t="s">
        <v>743</v>
      </c>
      <c r="H52" s="8" t="s">
        <v>743</v>
      </c>
      <c r="I52" s="8">
        <v>1753.76</v>
      </c>
      <c r="J52" s="8">
        <v>1666.97</v>
      </c>
      <c r="K52" s="8">
        <v>1598.49</v>
      </c>
      <c r="L52" s="8">
        <v>1447.07</v>
      </c>
      <c r="M52" s="8">
        <v>1625.6</v>
      </c>
      <c r="N52" s="8">
        <v>1738.39</v>
      </c>
    </row>
    <row r="53" spans="1:14" x14ac:dyDescent="0.3">
      <c r="A53" s="8" t="s">
        <v>739</v>
      </c>
      <c r="B53" s="8" t="s">
        <v>740</v>
      </c>
      <c r="C53" s="8" t="s">
        <v>733</v>
      </c>
      <c r="D53" s="8" t="s">
        <v>741</v>
      </c>
      <c r="E53" s="8" t="s">
        <v>742</v>
      </c>
      <c r="F53" s="8" t="s">
        <v>743</v>
      </c>
      <c r="G53" s="8" t="s">
        <v>743</v>
      </c>
      <c r="H53" s="8" t="s">
        <v>743</v>
      </c>
      <c r="I53" s="8" t="s">
        <v>743</v>
      </c>
      <c r="J53" s="8" t="s">
        <v>743</v>
      </c>
      <c r="K53" s="8" t="s">
        <v>743</v>
      </c>
      <c r="L53" s="8" t="s">
        <v>743</v>
      </c>
      <c r="M53" s="8" t="s">
        <v>743</v>
      </c>
      <c r="N53" s="8">
        <v>1781.7</v>
      </c>
    </row>
    <row r="54" spans="1:14" x14ac:dyDescent="0.3">
      <c r="A54" s="8" t="s">
        <v>739</v>
      </c>
      <c r="B54" s="8" t="s">
        <v>740</v>
      </c>
      <c r="C54" s="8" t="s">
        <v>72</v>
      </c>
      <c r="D54" s="8" t="s">
        <v>741</v>
      </c>
      <c r="E54" s="8" t="s">
        <v>742</v>
      </c>
      <c r="F54" s="8">
        <v>21383.5</v>
      </c>
      <c r="G54" s="8">
        <v>22332.400000000001</v>
      </c>
      <c r="H54" s="8">
        <v>27528</v>
      </c>
      <c r="I54" s="8">
        <v>28975.9</v>
      </c>
      <c r="J54" s="8">
        <v>32318.5</v>
      </c>
      <c r="K54" s="8">
        <v>35424.400000000001</v>
      </c>
      <c r="L54" s="8">
        <v>34852.300000000003</v>
      </c>
      <c r="M54" s="8">
        <v>34929.9</v>
      </c>
      <c r="N54" s="8">
        <v>33691.300000000003</v>
      </c>
    </row>
    <row r="55" spans="1:14" x14ac:dyDescent="0.3">
      <c r="A55" s="8" t="s">
        <v>739</v>
      </c>
      <c r="B55" s="8" t="s">
        <v>740</v>
      </c>
      <c r="C55" s="8" t="s">
        <v>74</v>
      </c>
      <c r="D55" s="8" t="s">
        <v>741</v>
      </c>
      <c r="E55" s="8" t="s">
        <v>742</v>
      </c>
      <c r="F55" s="8" t="s">
        <v>743</v>
      </c>
      <c r="G55" s="8" t="s">
        <v>743</v>
      </c>
      <c r="H55" s="8" t="s">
        <v>743</v>
      </c>
      <c r="I55" s="8">
        <v>12606.1</v>
      </c>
      <c r="J55" s="8">
        <v>16647</v>
      </c>
      <c r="K55" s="8">
        <v>24421.5</v>
      </c>
      <c r="L55" s="8">
        <v>24432.5</v>
      </c>
      <c r="M55" s="8">
        <v>29175.7</v>
      </c>
      <c r="N55" s="8">
        <v>33632.800000000003</v>
      </c>
    </row>
    <row r="56" spans="1:14" x14ac:dyDescent="0.3">
      <c r="A56" s="8" t="s">
        <v>739</v>
      </c>
      <c r="B56" s="8" t="s">
        <v>740</v>
      </c>
      <c r="C56" s="8" t="s">
        <v>76</v>
      </c>
      <c r="D56" s="8" t="s">
        <v>741</v>
      </c>
      <c r="E56" s="8" t="s">
        <v>742</v>
      </c>
      <c r="F56" s="8">
        <v>847.572</v>
      </c>
      <c r="G56" s="8">
        <v>692.80899999999997</v>
      </c>
      <c r="H56" s="8">
        <v>747.94299999999998</v>
      </c>
      <c r="I56" s="8">
        <v>655.57</v>
      </c>
      <c r="J56" s="8">
        <v>734.18200000000002</v>
      </c>
      <c r="K56" s="8">
        <v>853.54</v>
      </c>
      <c r="L56" s="8">
        <v>1249.6199999999999</v>
      </c>
      <c r="M56" s="8">
        <v>1763.52</v>
      </c>
      <c r="N56" s="8">
        <v>2316.6799999999998</v>
      </c>
    </row>
    <row r="57" spans="1:14" x14ac:dyDescent="0.3">
      <c r="A57" s="8" t="s">
        <v>739</v>
      </c>
      <c r="B57" s="8" t="s">
        <v>740</v>
      </c>
      <c r="C57" s="8" t="s">
        <v>78</v>
      </c>
      <c r="D57" s="8" t="s">
        <v>741</v>
      </c>
      <c r="E57" s="8" t="s">
        <v>742</v>
      </c>
      <c r="F57" s="8">
        <v>25428.7</v>
      </c>
      <c r="G57" s="8">
        <v>28363.4</v>
      </c>
      <c r="H57" s="8">
        <v>32956.6</v>
      </c>
      <c r="I57" s="8">
        <v>31516.799999999999</v>
      </c>
      <c r="J57" s="8">
        <v>37614.699999999997</v>
      </c>
      <c r="K57" s="8">
        <v>42226.8</v>
      </c>
      <c r="L57" s="8">
        <v>43253.7</v>
      </c>
      <c r="M57" s="8">
        <v>42497.7</v>
      </c>
      <c r="N57" s="8">
        <v>44698.9</v>
      </c>
    </row>
    <row r="58" spans="1:14" x14ac:dyDescent="0.3">
      <c r="A58" s="8" t="s">
        <v>739</v>
      </c>
      <c r="B58" s="8" t="s">
        <v>740</v>
      </c>
      <c r="C58" s="8" t="s">
        <v>427</v>
      </c>
      <c r="D58" s="8" t="s">
        <v>741</v>
      </c>
      <c r="E58" s="8" t="s">
        <v>742</v>
      </c>
      <c r="F58" s="8">
        <v>7422.95</v>
      </c>
      <c r="G58" s="8">
        <v>6998.71</v>
      </c>
      <c r="H58" s="8">
        <v>8046.93</v>
      </c>
      <c r="I58" s="8">
        <v>9053.3799999999992</v>
      </c>
      <c r="J58" s="8">
        <v>9538.32</v>
      </c>
      <c r="K58" s="8">
        <v>10008.6</v>
      </c>
      <c r="L58" s="8">
        <v>10020.5</v>
      </c>
      <c r="M58" s="8">
        <v>11904.6</v>
      </c>
      <c r="N58" s="8">
        <v>10990.5</v>
      </c>
    </row>
    <row r="59" spans="1:14" x14ac:dyDescent="0.3">
      <c r="A59" s="8" t="s">
        <v>739</v>
      </c>
      <c r="B59" s="8" t="s">
        <v>740</v>
      </c>
      <c r="C59" s="8" t="s">
        <v>80</v>
      </c>
      <c r="D59" s="8" t="s">
        <v>741</v>
      </c>
      <c r="E59" s="8" t="s">
        <v>742</v>
      </c>
      <c r="F59" s="8">
        <v>28619.9</v>
      </c>
      <c r="G59" s="8">
        <v>30221</v>
      </c>
      <c r="H59" s="8">
        <v>34838.5</v>
      </c>
      <c r="I59" s="8">
        <v>36511.699999999997</v>
      </c>
      <c r="J59" s="8">
        <v>38923.800000000003</v>
      </c>
      <c r="K59" s="8">
        <v>40941</v>
      </c>
      <c r="L59" s="8">
        <v>41323.699999999997</v>
      </c>
      <c r="M59" s="8">
        <v>42625.7</v>
      </c>
      <c r="N59" s="8">
        <v>41815.300000000003</v>
      </c>
    </row>
    <row r="60" spans="1:14" x14ac:dyDescent="0.3">
      <c r="A60" s="8" t="s">
        <v>739</v>
      </c>
      <c r="B60" s="8" t="s">
        <v>740</v>
      </c>
      <c r="C60" s="8" t="s">
        <v>745</v>
      </c>
      <c r="D60" s="8" t="s">
        <v>741</v>
      </c>
      <c r="E60" s="8" t="s">
        <v>742</v>
      </c>
      <c r="F60" s="8" t="s">
        <v>743</v>
      </c>
      <c r="G60" s="8" t="s">
        <v>743</v>
      </c>
      <c r="H60" s="8">
        <v>544.71199999999999</v>
      </c>
      <c r="I60" s="8">
        <v>563.90300000000002</v>
      </c>
      <c r="J60" s="8">
        <v>510.488</v>
      </c>
      <c r="K60" s="8">
        <v>524.77200000000005</v>
      </c>
      <c r="L60" s="8">
        <v>531.84400000000005</v>
      </c>
      <c r="M60" s="8">
        <v>522.005</v>
      </c>
      <c r="N60" s="8">
        <v>3024.8</v>
      </c>
    </row>
    <row r="61" spans="1:14" x14ac:dyDescent="0.3">
      <c r="A61" s="8" t="s">
        <v>739</v>
      </c>
      <c r="B61" s="8" t="s">
        <v>740</v>
      </c>
      <c r="C61" s="8" t="s">
        <v>82</v>
      </c>
      <c r="D61" s="8" t="s">
        <v>741</v>
      </c>
      <c r="E61" s="8" t="s">
        <v>742</v>
      </c>
      <c r="F61" s="8">
        <v>19574.099999999999</v>
      </c>
      <c r="G61" s="8">
        <v>19367.5</v>
      </c>
      <c r="H61" s="8">
        <v>17556.5</v>
      </c>
      <c r="I61" s="8">
        <v>17903.7</v>
      </c>
      <c r="J61" s="8">
        <v>15985.2</v>
      </c>
      <c r="K61" s="8">
        <v>14569.3</v>
      </c>
      <c r="L61" s="8">
        <v>13683.1</v>
      </c>
      <c r="M61" s="8">
        <v>14892.3</v>
      </c>
      <c r="N61" s="8">
        <v>14054.2</v>
      </c>
    </row>
    <row r="62" spans="1:14" x14ac:dyDescent="0.3">
      <c r="A62" s="8" t="s">
        <v>739</v>
      </c>
      <c r="B62" s="8" t="s">
        <v>740</v>
      </c>
      <c r="C62" s="8" t="s">
        <v>84</v>
      </c>
      <c r="D62" s="8" t="s">
        <v>741</v>
      </c>
      <c r="E62" s="8" t="s">
        <v>742</v>
      </c>
      <c r="F62" s="8">
        <v>23833.3</v>
      </c>
      <c r="G62" s="8">
        <v>26599.3</v>
      </c>
      <c r="H62" s="8">
        <v>31062.7</v>
      </c>
      <c r="I62" s="8">
        <v>32827.4</v>
      </c>
      <c r="J62" s="8">
        <v>36808.699999999997</v>
      </c>
      <c r="K62" s="8">
        <v>40658.400000000001</v>
      </c>
      <c r="L62" s="8">
        <v>39992.300000000003</v>
      </c>
      <c r="M62" s="8">
        <v>42425.8</v>
      </c>
      <c r="N62" s="8">
        <v>39953.4</v>
      </c>
    </row>
    <row r="63" spans="1:14" x14ac:dyDescent="0.3">
      <c r="A63" s="8" t="s">
        <v>739</v>
      </c>
      <c r="B63" s="8" t="s">
        <v>740</v>
      </c>
      <c r="C63" s="8" t="s">
        <v>86</v>
      </c>
      <c r="D63" s="8" t="s">
        <v>741</v>
      </c>
      <c r="E63" s="8" t="s">
        <v>742</v>
      </c>
      <c r="F63" s="8" t="s">
        <v>743</v>
      </c>
      <c r="G63" s="8" t="s">
        <v>743</v>
      </c>
      <c r="H63" s="8">
        <v>9984.36</v>
      </c>
      <c r="I63" s="8">
        <v>3118.31</v>
      </c>
      <c r="J63" s="8">
        <v>4704.21</v>
      </c>
      <c r="K63" s="8">
        <v>7209.38</v>
      </c>
      <c r="L63" s="8">
        <v>9608.01</v>
      </c>
      <c r="M63" s="8">
        <v>12451.8</v>
      </c>
      <c r="N63" s="8">
        <v>13794.2</v>
      </c>
    </row>
    <row r="64" spans="1:14" x14ac:dyDescent="0.3">
      <c r="A64" s="8" t="s">
        <v>739</v>
      </c>
      <c r="B64" s="8" t="s">
        <v>740</v>
      </c>
      <c r="C64" s="8" t="s">
        <v>88</v>
      </c>
      <c r="D64" s="8" t="s">
        <v>741</v>
      </c>
      <c r="E64" s="8" t="s">
        <v>742</v>
      </c>
      <c r="F64" s="8">
        <v>2353.23</v>
      </c>
      <c r="G64" s="8">
        <v>1970.58</v>
      </c>
      <c r="H64" s="8">
        <v>2274.36</v>
      </c>
      <c r="I64" s="8">
        <v>2492.69</v>
      </c>
      <c r="J64" s="8">
        <v>2786.01</v>
      </c>
      <c r="K64" s="8">
        <v>3113.43</v>
      </c>
      <c r="L64" s="8">
        <v>3744.66</v>
      </c>
      <c r="M64" s="8">
        <v>4616.62</v>
      </c>
      <c r="N64" s="8">
        <v>5318.26</v>
      </c>
    </row>
    <row r="65" spans="1:14" x14ac:dyDescent="0.3">
      <c r="A65" s="8" t="s">
        <v>739</v>
      </c>
      <c r="B65" s="8" t="s">
        <v>740</v>
      </c>
      <c r="C65" s="8" t="s">
        <v>440</v>
      </c>
      <c r="D65" s="8" t="s">
        <v>741</v>
      </c>
      <c r="E65" s="8" t="s">
        <v>742</v>
      </c>
      <c r="F65" s="8">
        <v>1418.99</v>
      </c>
      <c r="G65" s="8">
        <v>1409.07</v>
      </c>
      <c r="H65" s="8">
        <v>1507.12</v>
      </c>
      <c r="I65" s="8">
        <v>1552.26</v>
      </c>
      <c r="J65" s="8">
        <v>1685.02</v>
      </c>
      <c r="K65" s="8">
        <v>1788.12</v>
      </c>
      <c r="L65" s="8">
        <v>1856.5</v>
      </c>
      <c r="M65" s="8">
        <v>2053.12</v>
      </c>
      <c r="N65" s="8">
        <v>2631.37</v>
      </c>
    </row>
    <row r="66" spans="1:14" x14ac:dyDescent="0.3">
      <c r="A66" s="8" t="s">
        <v>739</v>
      </c>
      <c r="B66" s="8" t="s">
        <v>740</v>
      </c>
      <c r="C66" s="8" t="s">
        <v>723</v>
      </c>
      <c r="D66" s="8" t="s">
        <v>741</v>
      </c>
      <c r="E66" s="8" t="s">
        <v>742</v>
      </c>
      <c r="F66" s="8">
        <v>2210.44</v>
      </c>
      <c r="G66" s="8">
        <v>2203.79</v>
      </c>
      <c r="H66" s="8">
        <v>2139.31</v>
      </c>
      <c r="I66" s="8">
        <v>1930.98</v>
      </c>
      <c r="J66" s="8">
        <v>2082.25</v>
      </c>
      <c r="K66" s="8">
        <v>2060.65</v>
      </c>
      <c r="L66" s="8">
        <v>2172.35</v>
      </c>
      <c r="M66" s="8">
        <v>1905.94</v>
      </c>
      <c r="N66" s="8">
        <v>2069.2399999999998</v>
      </c>
    </row>
    <row r="67" spans="1:14" x14ac:dyDescent="0.3">
      <c r="A67" s="8" t="s">
        <v>739</v>
      </c>
      <c r="B67" s="8" t="s">
        <v>740</v>
      </c>
      <c r="C67" s="8" t="s">
        <v>444</v>
      </c>
      <c r="D67" s="8" t="s">
        <v>741</v>
      </c>
      <c r="E67" s="8" t="s">
        <v>742</v>
      </c>
      <c r="F67" s="8">
        <v>1656.01</v>
      </c>
      <c r="G67" s="8">
        <v>1685.93</v>
      </c>
      <c r="H67" s="8">
        <v>1788.38</v>
      </c>
      <c r="I67" s="8">
        <v>1888.38</v>
      </c>
      <c r="J67" s="8">
        <v>1726.37</v>
      </c>
      <c r="K67" s="8">
        <v>1798.24</v>
      </c>
      <c r="L67" s="8">
        <v>1885.05</v>
      </c>
      <c r="M67" s="8">
        <v>1941.17</v>
      </c>
      <c r="N67" s="8">
        <v>2115.7800000000002</v>
      </c>
    </row>
    <row r="68" spans="1:14" x14ac:dyDescent="0.3">
      <c r="A68" s="8" t="s">
        <v>739</v>
      </c>
      <c r="B68" s="8" t="s">
        <v>740</v>
      </c>
      <c r="C68" s="8" t="s">
        <v>446</v>
      </c>
      <c r="D68" s="8" t="s">
        <v>741</v>
      </c>
      <c r="E68" s="8" t="s">
        <v>742</v>
      </c>
      <c r="F68" s="8">
        <v>759.67399999999998</v>
      </c>
      <c r="G68" s="8">
        <v>734.25099999999998</v>
      </c>
      <c r="H68" s="8">
        <v>632.85900000000004</v>
      </c>
      <c r="I68" s="8">
        <v>1126.49</v>
      </c>
      <c r="J68" s="8">
        <v>11594.5</v>
      </c>
      <c r="K68" s="8">
        <v>28392</v>
      </c>
      <c r="L68" s="8">
        <v>29943.599999999999</v>
      </c>
      <c r="M68" s="8">
        <v>24563.1</v>
      </c>
      <c r="N68" s="8">
        <v>15214.3</v>
      </c>
    </row>
    <row r="69" spans="1:14" x14ac:dyDescent="0.3">
      <c r="A69" s="8" t="s">
        <v>739</v>
      </c>
      <c r="B69" s="8" t="s">
        <v>740</v>
      </c>
      <c r="C69" s="8" t="s">
        <v>90</v>
      </c>
      <c r="D69" s="8" t="s">
        <v>741</v>
      </c>
      <c r="E69" s="8" t="s">
        <v>742</v>
      </c>
      <c r="F69" s="8">
        <v>24825.200000000001</v>
      </c>
      <c r="G69" s="8">
        <v>23640.7</v>
      </c>
      <c r="H69" s="8">
        <v>24014.9</v>
      </c>
      <c r="I69" s="8">
        <v>24536.1</v>
      </c>
      <c r="J69" s="8">
        <v>27007.3</v>
      </c>
      <c r="K69" s="8">
        <v>32457.9</v>
      </c>
      <c r="L69" s="8">
        <v>32158.400000000001</v>
      </c>
      <c r="M69" s="8">
        <v>26796</v>
      </c>
      <c r="N69" s="8">
        <v>26018.2</v>
      </c>
    </row>
    <row r="70" spans="1:14" x14ac:dyDescent="0.3">
      <c r="A70" s="8" t="s">
        <v>739</v>
      </c>
      <c r="B70" s="8" t="s">
        <v>740</v>
      </c>
      <c r="C70" s="8" t="s">
        <v>449</v>
      </c>
      <c r="D70" s="8" t="s">
        <v>741</v>
      </c>
      <c r="E70" s="8" t="s">
        <v>742</v>
      </c>
      <c r="F70" s="8">
        <v>5695.29</v>
      </c>
      <c r="G70" s="8">
        <v>6449.05</v>
      </c>
      <c r="H70" s="8">
        <v>8532.33</v>
      </c>
      <c r="I70" s="8">
        <v>8340.1</v>
      </c>
      <c r="J70" s="8">
        <v>11115.2</v>
      </c>
      <c r="K70" s="8">
        <v>13520.9</v>
      </c>
      <c r="L70" s="8">
        <v>12493.3</v>
      </c>
      <c r="M70" s="8">
        <v>13944.1</v>
      </c>
      <c r="N70" s="8">
        <v>13225.4</v>
      </c>
    </row>
    <row r="71" spans="1:14" x14ac:dyDescent="0.3">
      <c r="A71" s="8" t="s">
        <v>739</v>
      </c>
      <c r="B71" s="8" t="s">
        <v>740</v>
      </c>
      <c r="C71" s="8" t="s">
        <v>92</v>
      </c>
      <c r="D71" s="8" t="s">
        <v>741</v>
      </c>
      <c r="E71" s="8" t="s">
        <v>742</v>
      </c>
      <c r="F71" s="8">
        <v>6845.73</v>
      </c>
      <c r="G71" s="8">
        <v>5701.29</v>
      </c>
      <c r="H71" s="8">
        <v>5746.43</v>
      </c>
      <c r="I71" s="8">
        <v>6063.92</v>
      </c>
      <c r="J71" s="8">
        <v>6370.96</v>
      </c>
      <c r="K71" s="8">
        <v>6658.78</v>
      </c>
      <c r="L71" s="8">
        <v>7193.01</v>
      </c>
      <c r="M71" s="8">
        <v>7905.43</v>
      </c>
      <c r="N71" s="8">
        <v>8207.59</v>
      </c>
    </row>
    <row r="72" spans="1:14" x14ac:dyDescent="0.3">
      <c r="A72" s="8" t="s">
        <v>739</v>
      </c>
      <c r="B72" s="8" t="s">
        <v>740</v>
      </c>
      <c r="C72" s="8" t="s">
        <v>722</v>
      </c>
      <c r="D72" s="8" t="s">
        <v>741</v>
      </c>
      <c r="E72" s="8" t="s">
        <v>742</v>
      </c>
      <c r="F72" s="8" t="s">
        <v>743</v>
      </c>
      <c r="G72" s="8" t="s">
        <v>743</v>
      </c>
      <c r="H72" s="8" t="s">
        <v>743</v>
      </c>
      <c r="I72" s="8" t="s">
        <v>743</v>
      </c>
      <c r="J72" s="8" t="s">
        <v>743</v>
      </c>
      <c r="K72" s="8" t="s">
        <v>743</v>
      </c>
      <c r="L72" s="8" t="s">
        <v>743</v>
      </c>
      <c r="M72" s="8" t="s">
        <v>743</v>
      </c>
      <c r="N72" s="8">
        <v>35395.199999999997</v>
      </c>
    </row>
    <row r="73" spans="1:14" x14ac:dyDescent="0.3">
      <c r="A73" s="8" t="s">
        <v>739</v>
      </c>
      <c r="B73" s="8" t="s">
        <v>740</v>
      </c>
      <c r="C73" s="8" t="s">
        <v>454</v>
      </c>
      <c r="D73" s="8" t="s">
        <v>741</v>
      </c>
      <c r="E73" s="8" t="s">
        <v>742</v>
      </c>
      <c r="F73" s="8" t="s">
        <v>743</v>
      </c>
      <c r="G73" s="8" t="s">
        <v>743</v>
      </c>
      <c r="H73" s="8" t="s">
        <v>743</v>
      </c>
      <c r="I73" s="8" t="s">
        <v>743</v>
      </c>
      <c r="J73" s="8" t="s">
        <v>743</v>
      </c>
      <c r="K73" s="8" t="s">
        <v>743</v>
      </c>
      <c r="L73" s="8" t="s">
        <v>743</v>
      </c>
      <c r="M73" s="8" t="s">
        <v>743</v>
      </c>
      <c r="N73" s="8">
        <v>21465.1</v>
      </c>
    </row>
    <row r="74" spans="1:14" x14ac:dyDescent="0.3">
      <c r="A74" s="8" t="s">
        <v>739</v>
      </c>
      <c r="B74" s="8" t="s">
        <v>740</v>
      </c>
      <c r="C74" s="8" t="s">
        <v>456</v>
      </c>
      <c r="D74" s="8" t="s">
        <v>741</v>
      </c>
      <c r="E74" s="8" t="s">
        <v>742</v>
      </c>
      <c r="F74" s="8">
        <v>6445.27</v>
      </c>
      <c r="G74" s="8">
        <v>5395.99</v>
      </c>
      <c r="H74" s="8">
        <v>4819.63</v>
      </c>
      <c r="I74" s="8">
        <v>6748.86</v>
      </c>
      <c r="J74" s="8">
        <v>7651.01</v>
      </c>
      <c r="K74" s="8">
        <v>7823.58</v>
      </c>
      <c r="L74" s="8">
        <v>9831.7900000000009</v>
      </c>
      <c r="M74" s="8">
        <v>11447</v>
      </c>
      <c r="N74" s="8">
        <v>18555.7</v>
      </c>
    </row>
    <row r="75" spans="1:14" x14ac:dyDescent="0.3">
      <c r="A75" s="8" t="s">
        <v>739</v>
      </c>
      <c r="B75" s="8" t="s">
        <v>740</v>
      </c>
      <c r="C75" s="8" t="s">
        <v>746</v>
      </c>
      <c r="D75" s="8" t="s">
        <v>741</v>
      </c>
      <c r="E75" s="8" t="s">
        <v>742</v>
      </c>
      <c r="F75" s="8">
        <v>17224.900000000001</v>
      </c>
      <c r="G75" s="8">
        <v>20909.3</v>
      </c>
      <c r="H75" s="8">
        <v>28136.400000000001</v>
      </c>
      <c r="I75" s="8">
        <v>34059.9</v>
      </c>
      <c r="J75" s="8">
        <v>35959.199999999997</v>
      </c>
      <c r="K75" s="8">
        <v>42910.400000000001</v>
      </c>
      <c r="L75" s="8">
        <v>50580.4</v>
      </c>
      <c r="M75" s="8">
        <v>56375.6</v>
      </c>
      <c r="N75" s="8">
        <v>55736.4</v>
      </c>
    </row>
    <row r="76" spans="1:14" x14ac:dyDescent="0.3">
      <c r="A76" s="8" t="s">
        <v>739</v>
      </c>
      <c r="B76" s="8" t="s">
        <v>740</v>
      </c>
      <c r="C76" s="8" t="s">
        <v>95</v>
      </c>
      <c r="D76" s="8" t="s">
        <v>741</v>
      </c>
      <c r="E76" s="8" t="s">
        <v>742</v>
      </c>
      <c r="F76" s="8">
        <v>3956.05</v>
      </c>
      <c r="G76" s="8">
        <v>3734.04</v>
      </c>
      <c r="H76" s="8">
        <v>3912.72</v>
      </c>
      <c r="I76" s="8">
        <v>3953.09</v>
      </c>
      <c r="J76" s="8">
        <v>4058.02</v>
      </c>
      <c r="K76" s="8">
        <v>4482.76</v>
      </c>
      <c r="L76" s="8">
        <v>4790.1099999999997</v>
      </c>
      <c r="M76" s="8">
        <v>5180.17</v>
      </c>
      <c r="N76" s="8">
        <v>5068.1899999999996</v>
      </c>
    </row>
    <row r="77" spans="1:14" x14ac:dyDescent="0.3">
      <c r="A77" s="8" t="s">
        <v>739</v>
      </c>
      <c r="B77" s="8" t="s">
        <v>740</v>
      </c>
      <c r="C77" s="8" t="s">
        <v>97</v>
      </c>
      <c r="D77" s="8" t="s">
        <v>741</v>
      </c>
      <c r="E77" s="8" t="s">
        <v>742</v>
      </c>
      <c r="F77" s="8" t="s">
        <v>743</v>
      </c>
      <c r="G77" s="8" t="s">
        <v>743</v>
      </c>
      <c r="H77" s="8" t="s">
        <v>743</v>
      </c>
      <c r="I77" s="8">
        <v>14403.2</v>
      </c>
      <c r="J77" s="8">
        <v>17994.099999999999</v>
      </c>
      <c r="K77" s="8">
        <v>23134.6</v>
      </c>
      <c r="L77" s="8">
        <v>24155.1</v>
      </c>
      <c r="M77" s="8">
        <v>24607.9</v>
      </c>
      <c r="N77" s="8">
        <v>26501.1</v>
      </c>
    </row>
    <row r="78" spans="1:14" x14ac:dyDescent="0.3">
      <c r="A78" s="8" t="s">
        <v>739</v>
      </c>
      <c r="B78" s="8" t="s">
        <v>740</v>
      </c>
      <c r="C78" s="8" t="s">
        <v>99</v>
      </c>
      <c r="D78" s="8" t="s">
        <v>741</v>
      </c>
      <c r="E78" s="8" t="s">
        <v>742</v>
      </c>
      <c r="F78" s="8">
        <v>4415.37</v>
      </c>
      <c r="G78" s="8">
        <v>3899.54</v>
      </c>
      <c r="H78" s="8">
        <v>3475.46</v>
      </c>
      <c r="I78" s="8">
        <v>2884.86</v>
      </c>
      <c r="J78" s="8">
        <v>2980.22</v>
      </c>
      <c r="K78" s="8">
        <v>2898.34</v>
      </c>
      <c r="L78" s="8">
        <v>2932.3</v>
      </c>
      <c r="M78" s="8">
        <v>3141.07</v>
      </c>
      <c r="N78" s="8">
        <v>2978.16</v>
      </c>
    </row>
    <row r="79" spans="1:14" x14ac:dyDescent="0.3">
      <c r="A79" s="8" t="s">
        <v>739</v>
      </c>
      <c r="B79" s="8" t="s">
        <v>740</v>
      </c>
      <c r="C79" s="8" t="s">
        <v>101</v>
      </c>
      <c r="D79" s="8" t="s">
        <v>741</v>
      </c>
      <c r="E79" s="8" t="s">
        <v>742</v>
      </c>
      <c r="F79" s="8">
        <v>16142.2</v>
      </c>
      <c r="G79" s="8">
        <v>17873.099999999999</v>
      </c>
      <c r="H79" s="8">
        <v>18639.400000000001</v>
      </c>
      <c r="I79" s="8">
        <v>16613.400000000001</v>
      </c>
      <c r="J79" s="8">
        <v>18912.2</v>
      </c>
      <c r="K79" s="8">
        <v>23796.9</v>
      </c>
      <c r="L79" s="8">
        <v>23857.8</v>
      </c>
      <c r="M79" s="8">
        <v>26792.5</v>
      </c>
      <c r="N79" s="8">
        <v>30344.1</v>
      </c>
    </row>
    <row r="80" spans="1:14" x14ac:dyDescent="0.3">
      <c r="A80" s="8" t="s">
        <v>739</v>
      </c>
      <c r="B80" s="8" t="s">
        <v>740</v>
      </c>
      <c r="C80" s="8" t="s">
        <v>103</v>
      </c>
      <c r="D80" s="8" t="s">
        <v>741</v>
      </c>
      <c r="E80" s="8" t="s">
        <v>742</v>
      </c>
      <c r="F80" s="8">
        <v>2925.25</v>
      </c>
      <c r="G80" s="8">
        <v>3350</v>
      </c>
      <c r="H80" s="8">
        <v>4359.6099999999997</v>
      </c>
      <c r="I80" s="8">
        <v>5843.02</v>
      </c>
      <c r="J80" s="8">
        <v>5662.52</v>
      </c>
      <c r="K80" s="8">
        <v>6674.24</v>
      </c>
      <c r="L80" s="8">
        <v>8290.66</v>
      </c>
      <c r="M80" s="8">
        <v>10218</v>
      </c>
      <c r="N80" s="8">
        <v>11669.4</v>
      </c>
    </row>
    <row r="81" spans="1:14" x14ac:dyDescent="0.3">
      <c r="A81" s="8" t="s">
        <v>739</v>
      </c>
      <c r="B81" s="8" t="s">
        <v>740</v>
      </c>
      <c r="C81" s="8" t="s">
        <v>105</v>
      </c>
      <c r="D81" s="8" t="s">
        <v>741</v>
      </c>
      <c r="E81" s="8" t="s">
        <v>742</v>
      </c>
      <c r="F81" s="8">
        <v>1292.6199999999999</v>
      </c>
      <c r="G81" s="8">
        <v>1505.52</v>
      </c>
      <c r="H81" s="8">
        <v>1797.11</v>
      </c>
      <c r="I81" s="8">
        <v>2038.95</v>
      </c>
      <c r="J81" s="8">
        <v>2539.41</v>
      </c>
      <c r="K81" s="8">
        <v>3144.11</v>
      </c>
      <c r="L81" s="8">
        <v>4113.1000000000004</v>
      </c>
      <c r="M81" s="8">
        <v>5262.89</v>
      </c>
      <c r="N81" s="8">
        <v>6118.01</v>
      </c>
    </row>
    <row r="82" spans="1:14" x14ac:dyDescent="0.3">
      <c r="A82" s="8" t="s">
        <v>739</v>
      </c>
      <c r="B82" s="8" t="s">
        <v>740</v>
      </c>
      <c r="C82" s="8" t="s">
        <v>107</v>
      </c>
      <c r="D82" s="8" t="s">
        <v>741</v>
      </c>
      <c r="E82" s="8" t="s">
        <v>742</v>
      </c>
      <c r="F82" s="8">
        <v>19725.099999999999</v>
      </c>
      <c r="G82" s="8">
        <v>21640.799999999999</v>
      </c>
      <c r="H82" s="8">
        <v>27394.400000000001</v>
      </c>
      <c r="I82" s="8">
        <v>33455.199999999997</v>
      </c>
      <c r="J82" s="8">
        <v>47755.7</v>
      </c>
      <c r="K82" s="8">
        <v>57343.1</v>
      </c>
      <c r="L82" s="8">
        <v>52825.8</v>
      </c>
      <c r="M82" s="8">
        <v>69752.3</v>
      </c>
      <c r="N82" s="8">
        <v>90204.5</v>
      </c>
    </row>
    <row r="83" spans="1:14" x14ac:dyDescent="0.3">
      <c r="A83" s="8" t="s">
        <v>739</v>
      </c>
      <c r="B83" s="8" t="s">
        <v>740</v>
      </c>
      <c r="C83" s="8" t="s">
        <v>747</v>
      </c>
      <c r="D83" s="8" t="s">
        <v>741</v>
      </c>
      <c r="E83" s="8" t="s">
        <v>742</v>
      </c>
      <c r="F83" s="8">
        <v>10988</v>
      </c>
      <c r="G83" s="8">
        <v>10930.1</v>
      </c>
      <c r="H83" s="8">
        <v>9442.2800000000007</v>
      </c>
      <c r="I83" s="8">
        <v>10007</v>
      </c>
      <c r="J83" s="8">
        <v>11026.1</v>
      </c>
      <c r="K83" s="8">
        <v>13329</v>
      </c>
      <c r="L83" s="8">
        <v>15099.5</v>
      </c>
      <c r="M83" s="8">
        <v>14010.9</v>
      </c>
      <c r="N83" s="8">
        <v>14482.2</v>
      </c>
    </row>
    <row r="84" spans="1:14" x14ac:dyDescent="0.3">
      <c r="A84" s="8" t="s">
        <v>739</v>
      </c>
      <c r="B84" s="8" t="s">
        <v>740</v>
      </c>
      <c r="C84" s="8" t="s">
        <v>110</v>
      </c>
      <c r="D84" s="8" t="s">
        <v>741</v>
      </c>
      <c r="E84" s="8" t="s">
        <v>742</v>
      </c>
      <c r="F84" s="8" t="s">
        <v>743</v>
      </c>
      <c r="G84" s="8" t="s">
        <v>743</v>
      </c>
      <c r="H84" s="8">
        <v>7449.47</v>
      </c>
      <c r="I84" s="8">
        <v>4136.33</v>
      </c>
      <c r="J84" s="8">
        <v>3469.84</v>
      </c>
      <c r="K84" s="8">
        <v>7272.62</v>
      </c>
      <c r="L84" s="8">
        <v>8553.99</v>
      </c>
      <c r="M84" s="8">
        <v>9648.91</v>
      </c>
      <c r="N84" s="8">
        <v>9356.2199999999993</v>
      </c>
    </row>
    <row r="85" spans="1:14" x14ac:dyDescent="0.3">
      <c r="A85" s="8" t="s">
        <v>739</v>
      </c>
      <c r="B85" s="8" t="s">
        <v>740</v>
      </c>
      <c r="C85" s="8" t="s">
        <v>112</v>
      </c>
      <c r="D85" s="8" t="s">
        <v>741</v>
      </c>
      <c r="E85" s="8" t="s">
        <v>742</v>
      </c>
      <c r="F85" s="8">
        <v>29715.200000000001</v>
      </c>
      <c r="G85" s="8">
        <v>31474.3</v>
      </c>
      <c r="H85" s="8">
        <v>34854</v>
      </c>
      <c r="I85" s="8">
        <v>33643.300000000003</v>
      </c>
      <c r="J85" s="8">
        <v>39155.4</v>
      </c>
      <c r="K85" s="8">
        <v>45350.5</v>
      </c>
      <c r="L85" s="8">
        <v>44744.1</v>
      </c>
      <c r="M85" s="8">
        <v>49170.1</v>
      </c>
      <c r="N85" s="8">
        <v>49058.400000000001</v>
      </c>
    </row>
    <row r="86" spans="1:14" x14ac:dyDescent="0.3">
      <c r="A86" s="8" t="s">
        <v>739</v>
      </c>
      <c r="B86" s="8" t="s">
        <v>740</v>
      </c>
      <c r="C86" s="8" t="s">
        <v>113</v>
      </c>
      <c r="D86" s="8" t="s">
        <v>741</v>
      </c>
      <c r="E86" s="8" t="s">
        <v>742</v>
      </c>
      <c r="F86" s="8">
        <v>19807.3</v>
      </c>
      <c r="G86" s="8">
        <v>20696.2</v>
      </c>
      <c r="H86" s="8">
        <v>22345.8</v>
      </c>
      <c r="I86" s="8">
        <v>27116.5</v>
      </c>
      <c r="J86" s="8">
        <v>29881</v>
      </c>
      <c r="K86" s="8">
        <v>30167.3</v>
      </c>
      <c r="L86" s="8">
        <v>34043.699999999997</v>
      </c>
      <c r="M86" s="8">
        <v>37445.599999999999</v>
      </c>
      <c r="N86" s="8">
        <v>40097</v>
      </c>
    </row>
    <row r="87" spans="1:14" x14ac:dyDescent="0.3">
      <c r="A87" s="8" t="s">
        <v>739</v>
      </c>
      <c r="B87" s="8" t="s">
        <v>740</v>
      </c>
      <c r="C87" s="8" t="s">
        <v>115</v>
      </c>
      <c r="D87" s="8" t="s">
        <v>741</v>
      </c>
      <c r="E87" s="8" t="s">
        <v>742</v>
      </c>
      <c r="F87" s="8">
        <v>29083.5</v>
      </c>
      <c r="G87" s="8">
        <v>31466.7</v>
      </c>
      <c r="H87" s="8">
        <v>36628.300000000003</v>
      </c>
      <c r="I87" s="8">
        <v>39011.599999999999</v>
      </c>
      <c r="J87" s="8">
        <v>39521.699999999997</v>
      </c>
      <c r="K87" s="8">
        <v>40434.300000000003</v>
      </c>
      <c r="L87" s="8">
        <v>38710.300000000003</v>
      </c>
      <c r="M87" s="8">
        <v>37177.4</v>
      </c>
      <c r="N87" s="8">
        <v>35690.699999999997</v>
      </c>
    </row>
    <row r="88" spans="1:14" x14ac:dyDescent="0.3">
      <c r="A88" s="8" t="s">
        <v>739</v>
      </c>
      <c r="B88" s="8" t="s">
        <v>740</v>
      </c>
      <c r="C88" s="8" t="s">
        <v>117</v>
      </c>
      <c r="D88" s="8" t="s">
        <v>741</v>
      </c>
      <c r="E88" s="8" t="s">
        <v>742</v>
      </c>
      <c r="F88" s="8">
        <v>7869.37</v>
      </c>
      <c r="G88" s="8">
        <v>8223.08</v>
      </c>
      <c r="H88" s="8">
        <v>9572.19</v>
      </c>
      <c r="I88" s="8">
        <v>10094.799999999999</v>
      </c>
      <c r="J88" s="8">
        <v>9611.75</v>
      </c>
      <c r="K88" s="8">
        <v>10135.5</v>
      </c>
      <c r="L88" s="8">
        <v>9781.64</v>
      </c>
      <c r="M88" s="8">
        <v>9819.36</v>
      </c>
      <c r="N88" s="8">
        <v>9227.1200000000008</v>
      </c>
    </row>
    <row r="89" spans="1:14" x14ac:dyDescent="0.3">
      <c r="A89" s="8" t="s">
        <v>739</v>
      </c>
      <c r="B89" s="8" t="s">
        <v>740</v>
      </c>
      <c r="C89" s="8" t="s">
        <v>118</v>
      </c>
      <c r="D89" s="8" t="s">
        <v>741</v>
      </c>
      <c r="E89" s="8" t="s">
        <v>742</v>
      </c>
      <c r="F89" s="8">
        <v>10482.6</v>
      </c>
      <c r="G89" s="8">
        <v>10868.8</v>
      </c>
      <c r="H89" s="8">
        <v>8455.7199999999993</v>
      </c>
      <c r="I89" s="8">
        <v>8450.2999999999993</v>
      </c>
      <c r="J89" s="8">
        <v>8745.92</v>
      </c>
      <c r="K89" s="8">
        <v>10674.2</v>
      </c>
      <c r="L89" s="8">
        <v>11867</v>
      </c>
      <c r="M89" s="8">
        <v>9912.85</v>
      </c>
      <c r="N89" s="8">
        <v>9278.9699999999993</v>
      </c>
    </row>
    <row r="90" spans="1:14" x14ac:dyDescent="0.3">
      <c r="A90" s="8" t="s">
        <v>739</v>
      </c>
      <c r="B90" s="8" t="s">
        <v>740</v>
      </c>
      <c r="C90" s="8" t="s">
        <v>119</v>
      </c>
      <c r="D90" s="8" t="s">
        <v>741</v>
      </c>
      <c r="E90" s="8" t="s">
        <v>742</v>
      </c>
      <c r="F90" s="8">
        <v>21887.5</v>
      </c>
      <c r="G90" s="8">
        <v>26206.1</v>
      </c>
      <c r="H90" s="8">
        <v>32745.1</v>
      </c>
      <c r="I90" s="8">
        <v>34878.1</v>
      </c>
      <c r="J90" s="8">
        <v>36780.5</v>
      </c>
      <c r="K90" s="8">
        <v>38712.699999999997</v>
      </c>
      <c r="L90" s="8">
        <v>38526.800000000003</v>
      </c>
      <c r="M90" s="8">
        <v>40863.4</v>
      </c>
      <c r="N90" s="8">
        <v>40727.699999999997</v>
      </c>
    </row>
    <row r="91" spans="1:14" x14ac:dyDescent="0.3">
      <c r="A91" s="8" t="s">
        <v>739</v>
      </c>
      <c r="B91" s="8" t="s">
        <v>740</v>
      </c>
      <c r="C91" s="8" t="s">
        <v>121</v>
      </c>
      <c r="D91" s="8" t="s">
        <v>741</v>
      </c>
      <c r="E91" s="8" t="s">
        <v>742</v>
      </c>
      <c r="F91" s="8" t="s">
        <v>743</v>
      </c>
      <c r="G91" s="8" t="s">
        <v>743</v>
      </c>
      <c r="H91" s="8">
        <v>13061.3</v>
      </c>
      <c r="I91" s="8">
        <v>8255.7999999999993</v>
      </c>
      <c r="J91" s="8">
        <v>10068.4</v>
      </c>
      <c r="K91" s="8">
        <v>16046.7</v>
      </c>
      <c r="L91" s="8">
        <v>20430.900000000001</v>
      </c>
      <c r="M91" s="8">
        <v>23984.6</v>
      </c>
      <c r="N91" s="8">
        <v>25193.8</v>
      </c>
    </row>
    <row r="92" spans="1:14" x14ac:dyDescent="0.3">
      <c r="A92" s="8" t="s">
        <v>739</v>
      </c>
      <c r="B92" s="8" t="s">
        <v>740</v>
      </c>
      <c r="C92" s="8" t="s">
        <v>123</v>
      </c>
      <c r="D92" s="8" t="s">
        <v>741</v>
      </c>
      <c r="E92" s="8" t="s">
        <v>742</v>
      </c>
      <c r="F92" s="8">
        <v>3494.08</v>
      </c>
      <c r="G92" s="8">
        <v>3415.77</v>
      </c>
      <c r="H92" s="8">
        <v>3750.82</v>
      </c>
      <c r="I92" s="8">
        <v>3461.3</v>
      </c>
      <c r="J92" s="8">
        <v>3341.12</v>
      </c>
      <c r="K92" s="8">
        <v>3420</v>
      </c>
      <c r="L92" s="8">
        <v>3736.6</v>
      </c>
      <c r="M92" s="8">
        <v>4164.82</v>
      </c>
      <c r="N92" s="8">
        <v>4544.28</v>
      </c>
    </row>
    <row r="93" spans="1:14" x14ac:dyDescent="0.3">
      <c r="A93" s="8" t="s">
        <v>739</v>
      </c>
      <c r="B93" s="8" t="s">
        <v>740</v>
      </c>
      <c r="C93" s="8" t="s">
        <v>725</v>
      </c>
      <c r="D93" s="8" t="s">
        <v>741</v>
      </c>
      <c r="E93" s="8" t="s">
        <v>742</v>
      </c>
      <c r="F93" s="8" t="s">
        <v>743</v>
      </c>
      <c r="G93" s="8" t="s">
        <v>743</v>
      </c>
      <c r="H93" s="8">
        <v>5154.17</v>
      </c>
      <c r="I93" s="8">
        <v>2516.89</v>
      </c>
      <c r="J93" s="8">
        <v>3079.64</v>
      </c>
      <c r="K93" s="8">
        <v>3524.16</v>
      </c>
      <c r="L93" s="8">
        <v>4113.92</v>
      </c>
      <c r="M93" s="8">
        <v>4839.12</v>
      </c>
      <c r="N93" s="8">
        <v>4932.3999999999996</v>
      </c>
    </row>
    <row r="94" spans="1:14" x14ac:dyDescent="0.3">
      <c r="A94" s="8" t="s">
        <v>739</v>
      </c>
      <c r="B94" s="8" t="s">
        <v>740</v>
      </c>
      <c r="C94" s="8" t="s">
        <v>126</v>
      </c>
      <c r="D94" s="8" t="s">
        <v>741</v>
      </c>
      <c r="E94" s="8" t="s">
        <v>742</v>
      </c>
      <c r="F94" s="8" t="s">
        <v>743</v>
      </c>
      <c r="G94" s="8" t="s">
        <v>743</v>
      </c>
      <c r="H94" s="8">
        <v>1029.06</v>
      </c>
      <c r="I94" s="8">
        <v>1153.93</v>
      </c>
      <c r="J94" s="8">
        <v>1480.46</v>
      </c>
      <c r="K94" s="8">
        <v>2124.84</v>
      </c>
      <c r="L94" s="8">
        <v>2706.99</v>
      </c>
      <c r="M94" s="8">
        <v>3567.59</v>
      </c>
      <c r="N94" s="8">
        <v>4302.58</v>
      </c>
    </row>
    <row r="95" spans="1:14" x14ac:dyDescent="0.3">
      <c r="A95" s="8" t="s">
        <v>739</v>
      </c>
      <c r="B95" s="8" t="s">
        <v>740</v>
      </c>
      <c r="C95" s="8" t="s">
        <v>496</v>
      </c>
      <c r="D95" s="8" t="s">
        <v>741</v>
      </c>
      <c r="E95" s="8" t="s">
        <v>742</v>
      </c>
      <c r="F95" s="8">
        <v>2228.67</v>
      </c>
      <c r="G95" s="8">
        <v>1941.09</v>
      </c>
      <c r="H95" s="8">
        <v>1836.36</v>
      </c>
      <c r="I95" s="8">
        <v>1752.53</v>
      </c>
      <c r="J95" s="8">
        <v>1852.94</v>
      </c>
      <c r="K95" s="8">
        <v>1799.91</v>
      </c>
      <c r="L95" s="8">
        <v>1636.09</v>
      </c>
      <c r="M95" s="8">
        <v>1835.39</v>
      </c>
      <c r="N95" s="8">
        <v>1719.84</v>
      </c>
    </row>
    <row r="96" spans="1:14" x14ac:dyDescent="0.3">
      <c r="A96" s="8" t="s">
        <v>739</v>
      </c>
      <c r="B96" s="8" t="s">
        <v>740</v>
      </c>
      <c r="C96" s="8" t="s">
        <v>748</v>
      </c>
      <c r="D96" s="8" t="s">
        <v>741</v>
      </c>
      <c r="E96" s="8" t="s">
        <v>742</v>
      </c>
      <c r="F96" s="8">
        <v>5474.26</v>
      </c>
      <c r="G96" s="8">
        <v>7958.6</v>
      </c>
      <c r="H96" s="8">
        <v>12297.5</v>
      </c>
      <c r="I96" s="8">
        <v>18000.5</v>
      </c>
      <c r="J96" s="8">
        <v>22520.9</v>
      </c>
      <c r="K96" s="8">
        <v>28129.5</v>
      </c>
      <c r="L96" s="8">
        <v>34083.5</v>
      </c>
      <c r="M96" s="8">
        <v>37917.5</v>
      </c>
      <c r="N96" s="8">
        <v>41367.599999999999</v>
      </c>
    </row>
    <row r="97" spans="1:14" x14ac:dyDescent="0.3">
      <c r="A97" s="8" t="s">
        <v>739</v>
      </c>
      <c r="B97" s="8" t="s">
        <v>740</v>
      </c>
      <c r="C97" s="8" t="s">
        <v>129</v>
      </c>
      <c r="D97" s="8" t="s">
        <v>741</v>
      </c>
      <c r="E97" s="8" t="s">
        <v>742</v>
      </c>
      <c r="F97" s="8">
        <v>55773.599999999999</v>
      </c>
      <c r="G97" s="8">
        <v>34322.699999999997</v>
      </c>
      <c r="H97" s="8">
        <v>37965.599999999999</v>
      </c>
      <c r="I97" s="8">
        <v>61825.3</v>
      </c>
      <c r="J97" s="8">
        <v>58117.7</v>
      </c>
      <c r="K97" s="8">
        <v>74295</v>
      </c>
      <c r="L97" s="8">
        <v>59779.199999999997</v>
      </c>
      <c r="M97" s="8">
        <v>53807.3</v>
      </c>
      <c r="N97" s="8">
        <v>42861.5</v>
      </c>
    </row>
    <row r="98" spans="1:14" x14ac:dyDescent="0.3">
      <c r="A98" s="8" t="s">
        <v>739</v>
      </c>
      <c r="B98" s="8" t="s">
        <v>740</v>
      </c>
      <c r="C98" s="8" t="s">
        <v>749</v>
      </c>
      <c r="D98" s="8" t="s">
        <v>741</v>
      </c>
      <c r="E98" s="8" t="s">
        <v>742</v>
      </c>
      <c r="F98" s="8">
        <v>1486.07</v>
      </c>
      <c r="G98" s="8">
        <v>1892.22</v>
      </c>
      <c r="H98" s="8">
        <v>1955.5</v>
      </c>
      <c r="I98" s="8">
        <v>2335.42</v>
      </c>
      <c r="J98" s="8">
        <v>2795.62</v>
      </c>
      <c r="K98" s="8">
        <v>3532.98</v>
      </c>
      <c r="L98" s="8">
        <v>4805.45</v>
      </c>
      <c r="M98" s="8">
        <v>6499.16</v>
      </c>
      <c r="N98" s="8">
        <v>7689.29</v>
      </c>
    </row>
    <row r="99" spans="1:14" x14ac:dyDescent="0.3">
      <c r="A99" s="8" t="s">
        <v>739</v>
      </c>
      <c r="B99" s="8" t="s">
        <v>740</v>
      </c>
      <c r="C99" s="8" t="s">
        <v>131</v>
      </c>
      <c r="D99" s="8" t="s">
        <v>741</v>
      </c>
      <c r="E99" s="8" t="s">
        <v>742</v>
      </c>
      <c r="F99" s="8">
        <v>16342.4</v>
      </c>
      <c r="G99" s="8">
        <v>21024</v>
      </c>
      <c r="H99" s="8">
        <v>7380.79</v>
      </c>
      <c r="I99" s="8">
        <v>11908</v>
      </c>
      <c r="J99" s="8">
        <v>13036.4</v>
      </c>
      <c r="K99" s="8">
        <v>14348.2</v>
      </c>
      <c r="L99" s="8">
        <v>19216.3</v>
      </c>
      <c r="M99" s="8">
        <v>16591.599999999999</v>
      </c>
      <c r="N99" s="8">
        <v>12928.2</v>
      </c>
    </row>
    <row r="100" spans="1:14" x14ac:dyDescent="0.3">
      <c r="A100" s="8" t="s">
        <v>739</v>
      </c>
      <c r="B100" s="8" t="s">
        <v>740</v>
      </c>
      <c r="C100" s="8" t="s">
        <v>507</v>
      </c>
      <c r="D100" s="8" t="s">
        <v>741</v>
      </c>
      <c r="E100" s="8" t="s">
        <v>742</v>
      </c>
      <c r="F100" s="8" t="s">
        <v>743</v>
      </c>
      <c r="G100" s="8" t="s">
        <v>743</v>
      </c>
      <c r="H100" s="8" t="s">
        <v>743</v>
      </c>
      <c r="I100" s="8" t="s">
        <v>743</v>
      </c>
      <c r="J100" s="8">
        <v>1578.85</v>
      </c>
      <c r="K100" s="8">
        <v>1173.75</v>
      </c>
      <c r="L100" s="8">
        <v>1388.87</v>
      </c>
      <c r="M100" s="8">
        <v>1549.57</v>
      </c>
      <c r="N100" s="8">
        <v>1370.46</v>
      </c>
    </row>
    <row r="101" spans="1:14" x14ac:dyDescent="0.3">
      <c r="A101" s="8" t="s">
        <v>739</v>
      </c>
      <c r="B101" s="8" t="s">
        <v>740</v>
      </c>
      <c r="C101" s="8" t="s">
        <v>133</v>
      </c>
      <c r="D101" s="8" t="s">
        <v>741</v>
      </c>
      <c r="E101" s="8" t="s">
        <v>742</v>
      </c>
      <c r="F101" s="8">
        <v>78003.899999999994</v>
      </c>
      <c r="G101" s="8">
        <v>44759.4</v>
      </c>
      <c r="H101" s="8">
        <v>35202.5</v>
      </c>
      <c r="I101" s="8">
        <v>29369.200000000001</v>
      </c>
      <c r="J101" s="8">
        <v>27557.599999999999</v>
      </c>
      <c r="K101" s="8">
        <v>32692.799999999999</v>
      </c>
      <c r="L101" s="8">
        <v>31394</v>
      </c>
      <c r="M101" s="8">
        <v>19108.900000000001</v>
      </c>
      <c r="N101" s="8">
        <v>15794.2</v>
      </c>
    </row>
    <row r="102" spans="1:14" x14ac:dyDescent="0.3">
      <c r="A102" s="8" t="s">
        <v>739</v>
      </c>
      <c r="B102" s="8" t="s">
        <v>740</v>
      </c>
      <c r="C102" s="8" t="s">
        <v>729</v>
      </c>
      <c r="D102" s="8" t="s">
        <v>741</v>
      </c>
      <c r="E102" s="8" t="s">
        <v>742</v>
      </c>
      <c r="F102" s="8">
        <v>5974.84</v>
      </c>
      <c r="G102" s="8">
        <v>7435.65</v>
      </c>
      <c r="H102" s="8">
        <v>11246.3</v>
      </c>
      <c r="I102" s="8">
        <v>11836.4</v>
      </c>
      <c r="J102" s="8">
        <v>12615.6</v>
      </c>
      <c r="K102" s="8">
        <v>13142.9</v>
      </c>
      <c r="L102" s="8">
        <v>14277.8</v>
      </c>
      <c r="M102" s="8">
        <v>14346.3</v>
      </c>
      <c r="N102" s="8">
        <v>11855.5</v>
      </c>
    </row>
    <row r="103" spans="1:14" x14ac:dyDescent="0.3">
      <c r="A103" s="8" t="s">
        <v>739</v>
      </c>
      <c r="B103" s="8" t="s">
        <v>740</v>
      </c>
      <c r="C103" s="8" t="s">
        <v>135</v>
      </c>
      <c r="D103" s="8" t="s">
        <v>741</v>
      </c>
      <c r="E103" s="8" t="s">
        <v>742</v>
      </c>
      <c r="F103" s="8">
        <v>2867.09</v>
      </c>
      <c r="G103" s="8">
        <v>3415.71</v>
      </c>
      <c r="H103" s="8">
        <v>3768.66</v>
      </c>
      <c r="I103" s="8">
        <v>4714.84</v>
      </c>
      <c r="J103" s="8">
        <v>6194.4</v>
      </c>
      <c r="K103" s="8">
        <v>7135.93</v>
      </c>
      <c r="L103" s="8">
        <v>9254.83</v>
      </c>
      <c r="M103" s="8">
        <v>12207.1</v>
      </c>
      <c r="N103" s="8">
        <v>13080.2</v>
      </c>
    </row>
    <row r="104" spans="1:14" x14ac:dyDescent="0.3">
      <c r="A104" s="8" t="s">
        <v>739</v>
      </c>
      <c r="B104" s="8" t="s">
        <v>740</v>
      </c>
      <c r="C104" s="8" t="s">
        <v>525</v>
      </c>
      <c r="D104" s="8" t="s">
        <v>741</v>
      </c>
      <c r="E104" s="8" t="s">
        <v>742</v>
      </c>
      <c r="F104" s="8">
        <v>1064.45</v>
      </c>
      <c r="G104" s="8">
        <v>1120.92</v>
      </c>
      <c r="H104" s="8">
        <v>1305.97</v>
      </c>
      <c r="I104" s="8">
        <v>1577.39</v>
      </c>
      <c r="J104" s="8">
        <v>1764.67</v>
      </c>
      <c r="K104" s="8">
        <v>2074.46</v>
      </c>
      <c r="L104" s="8">
        <v>2410.02</v>
      </c>
      <c r="M104" s="8">
        <v>2726.16</v>
      </c>
      <c r="N104" s="8">
        <v>2375.84</v>
      </c>
    </row>
    <row r="105" spans="1:14" x14ac:dyDescent="0.3">
      <c r="A105" s="8" t="s">
        <v>739</v>
      </c>
      <c r="B105" s="8" t="s">
        <v>740</v>
      </c>
      <c r="C105" s="8" t="s">
        <v>137</v>
      </c>
      <c r="D105" s="8" t="s">
        <v>741</v>
      </c>
      <c r="E105" s="8" t="s">
        <v>742</v>
      </c>
      <c r="F105" s="8" t="s">
        <v>743</v>
      </c>
      <c r="G105" s="8" t="s">
        <v>743</v>
      </c>
      <c r="H105" s="8" t="s">
        <v>743</v>
      </c>
      <c r="I105" s="8">
        <v>10304.700000000001</v>
      </c>
      <c r="J105" s="8">
        <v>12623.6</v>
      </c>
      <c r="K105" s="8">
        <v>19444</v>
      </c>
      <c r="L105" s="8">
        <v>22153.7</v>
      </c>
      <c r="M105" s="8">
        <v>28261.4</v>
      </c>
      <c r="N105" s="8">
        <v>34360.9</v>
      </c>
    </row>
    <row r="106" spans="1:14" x14ac:dyDescent="0.3">
      <c r="A106" s="8" t="s">
        <v>739</v>
      </c>
      <c r="B106" s="8" t="s">
        <v>740</v>
      </c>
      <c r="C106" s="8" t="s">
        <v>139</v>
      </c>
      <c r="D106" s="8" t="s">
        <v>741</v>
      </c>
      <c r="E106" s="8" t="s">
        <v>742</v>
      </c>
      <c r="F106" s="8">
        <v>46011.5</v>
      </c>
      <c r="G106" s="8">
        <v>51633.4</v>
      </c>
      <c r="H106" s="8">
        <v>71168.7</v>
      </c>
      <c r="I106" s="8">
        <v>80799.600000000006</v>
      </c>
      <c r="J106" s="8">
        <v>95013.5</v>
      </c>
      <c r="K106" s="8">
        <v>103938</v>
      </c>
      <c r="L106" s="8">
        <v>109201</v>
      </c>
      <c r="M106" s="8">
        <v>108130</v>
      </c>
      <c r="N106" s="8">
        <v>108051</v>
      </c>
    </row>
    <row r="107" spans="1:14" x14ac:dyDescent="0.3">
      <c r="A107" s="8" t="s">
        <v>739</v>
      </c>
      <c r="B107" s="8" t="s">
        <v>740</v>
      </c>
      <c r="C107" s="8" t="s">
        <v>141</v>
      </c>
      <c r="D107" s="8" t="s">
        <v>741</v>
      </c>
      <c r="E107" s="8" t="s">
        <v>742</v>
      </c>
      <c r="F107" s="8" t="s">
        <v>743</v>
      </c>
      <c r="G107" s="8" t="s">
        <v>743</v>
      </c>
      <c r="H107" s="8" t="s">
        <v>743</v>
      </c>
      <c r="I107" s="8">
        <v>9281.2199999999993</v>
      </c>
      <c r="J107" s="8">
        <v>12054.9</v>
      </c>
      <c r="K107" s="8">
        <v>19115.5</v>
      </c>
      <c r="L107" s="8">
        <v>19819.099999999999</v>
      </c>
      <c r="M107" s="8">
        <v>24791.599999999999</v>
      </c>
      <c r="N107" s="8">
        <v>27637.599999999999</v>
      </c>
    </row>
    <row r="108" spans="1:14" x14ac:dyDescent="0.3">
      <c r="A108" s="8" t="s">
        <v>739</v>
      </c>
      <c r="B108" s="8" t="s">
        <v>740</v>
      </c>
      <c r="C108" s="8" t="s">
        <v>750</v>
      </c>
      <c r="D108" s="8" t="s">
        <v>741</v>
      </c>
      <c r="E108" s="8" t="s">
        <v>742</v>
      </c>
      <c r="F108" s="8" t="s">
        <v>743</v>
      </c>
      <c r="G108" s="8" t="s">
        <v>743</v>
      </c>
      <c r="H108" s="8">
        <v>47879.7</v>
      </c>
      <c r="I108" s="8">
        <v>56243.6</v>
      </c>
      <c r="J108" s="8">
        <v>50539.6</v>
      </c>
      <c r="K108" s="8">
        <v>76483.899999999994</v>
      </c>
      <c r="L108" s="8">
        <v>114042</v>
      </c>
      <c r="M108" s="8">
        <v>116856</v>
      </c>
      <c r="N108" s="8">
        <v>55674.7</v>
      </c>
    </row>
    <row r="109" spans="1:14" x14ac:dyDescent="0.3">
      <c r="A109" s="8" t="s">
        <v>739</v>
      </c>
      <c r="B109" s="8" t="s">
        <v>740</v>
      </c>
      <c r="C109" s="8" t="s">
        <v>143</v>
      </c>
      <c r="D109" s="8" t="s">
        <v>741</v>
      </c>
      <c r="E109" s="8" t="s">
        <v>742</v>
      </c>
      <c r="F109" s="8">
        <v>3622.1</v>
      </c>
      <c r="G109" s="8">
        <v>3752.46</v>
      </c>
      <c r="H109" s="8">
        <v>4233.32</v>
      </c>
      <c r="I109" s="8">
        <v>4221.82</v>
      </c>
      <c r="J109" s="8">
        <v>4821.7299999999996</v>
      </c>
      <c r="K109" s="8">
        <v>5768.34</v>
      </c>
      <c r="L109" s="8">
        <v>6859.98</v>
      </c>
      <c r="M109" s="8">
        <v>7796.67</v>
      </c>
      <c r="N109" s="8">
        <v>7703.07</v>
      </c>
    </row>
    <row r="110" spans="1:14" x14ac:dyDescent="0.3">
      <c r="A110" s="8" t="s">
        <v>739</v>
      </c>
      <c r="B110" s="8" t="s">
        <v>740</v>
      </c>
      <c r="C110" s="8" t="s">
        <v>145</v>
      </c>
      <c r="D110" s="8" t="s">
        <v>741</v>
      </c>
      <c r="E110" s="8" t="s">
        <v>742</v>
      </c>
      <c r="F110" s="8" t="s">
        <v>743</v>
      </c>
      <c r="G110" s="8" t="s">
        <v>743</v>
      </c>
      <c r="H110" s="8" t="s">
        <v>743</v>
      </c>
      <c r="I110" s="8">
        <v>3729.1</v>
      </c>
      <c r="J110" s="8">
        <v>3449.84</v>
      </c>
      <c r="K110" s="8">
        <v>5159.8500000000004</v>
      </c>
      <c r="L110" s="8">
        <v>6575.77</v>
      </c>
      <c r="M110" s="8">
        <v>8858.1200000000008</v>
      </c>
      <c r="N110" s="8">
        <v>10092.6</v>
      </c>
    </row>
    <row r="111" spans="1:14" x14ac:dyDescent="0.3">
      <c r="A111" s="8" t="s">
        <v>739</v>
      </c>
      <c r="B111" s="8" t="s">
        <v>740</v>
      </c>
      <c r="C111" s="8" t="s">
        <v>540</v>
      </c>
      <c r="D111" s="8" t="s">
        <v>741</v>
      </c>
      <c r="E111" s="8" t="s">
        <v>742</v>
      </c>
      <c r="F111" s="8">
        <v>2282.69</v>
      </c>
      <c r="G111" s="8">
        <v>1822.96</v>
      </c>
      <c r="H111" s="8">
        <v>1808.77</v>
      </c>
      <c r="I111" s="8">
        <v>1524.51</v>
      </c>
      <c r="J111" s="8">
        <v>1569.64</v>
      </c>
      <c r="K111" s="8">
        <v>1522.09</v>
      </c>
      <c r="L111" s="8">
        <v>1512</v>
      </c>
      <c r="M111" s="8">
        <v>1508.39</v>
      </c>
      <c r="N111" s="8">
        <v>1454.05</v>
      </c>
    </row>
    <row r="112" spans="1:14" x14ac:dyDescent="0.3">
      <c r="A112" s="8" t="s">
        <v>739</v>
      </c>
      <c r="B112" s="8" t="s">
        <v>740</v>
      </c>
      <c r="C112" s="8" t="s">
        <v>542</v>
      </c>
      <c r="D112" s="8" t="s">
        <v>741</v>
      </c>
      <c r="E112" s="8" t="s">
        <v>742</v>
      </c>
      <c r="F112" s="8">
        <v>4298.46</v>
      </c>
      <c r="G112" s="8">
        <v>6020.53</v>
      </c>
      <c r="H112" s="8">
        <v>6867.72</v>
      </c>
      <c r="I112" s="8">
        <v>8286.32</v>
      </c>
      <c r="J112" s="8">
        <v>11250.4</v>
      </c>
      <c r="K112" s="8">
        <v>13123.9</v>
      </c>
      <c r="L112" s="8">
        <v>16492.400000000001</v>
      </c>
      <c r="M112" s="8">
        <v>18051.2</v>
      </c>
      <c r="N112" s="8">
        <v>13512.5</v>
      </c>
    </row>
    <row r="113" spans="1:14" x14ac:dyDescent="0.3">
      <c r="A113" s="8" t="s">
        <v>739</v>
      </c>
      <c r="B113" s="8" t="s">
        <v>740</v>
      </c>
      <c r="C113" s="8" t="s">
        <v>147</v>
      </c>
      <c r="D113" s="8" t="s">
        <v>741</v>
      </c>
      <c r="E113" s="8" t="s">
        <v>742</v>
      </c>
      <c r="F113" s="8">
        <v>16531.599999999999</v>
      </c>
      <c r="G113" s="8">
        <v>16457.7</v>
      </c>
      <c r="H113" s="8">
        <v>16482</v>
      </c>
      <c r="I113" s="8">
        <v>16177.9</v>
      </c>
      <c r="J113" s="8">
        <v>18373.900000000001</v>
      </c>
      <c r="K113" s="8">
        <v>18124.900000000001</v>
      </c>
      <c r="L113" s="8">
        <v>18040</v>
      </c>
      <c r="M113" s="8">
        <v>19216.099999999999</v>
      </c>
      <c r="N113" s="8">
        <v>17701.900000000001</v>
      </c>
    </row>
    <row r="114" spans="1:14" x14ac:dyDescent="0.3">
      <c r="A114" s="8" t="s">
        <v>739</v>
      </c>
      <c r="B114" s="8" t="s">
        <v>740</v>
      </c>
      <c r="C114" s="8" t="s">
        <v>149</v>
      </c>
      <c r="D114" s="8" t="s">
        <v>741</v>
      </c>
      <c r="E114" s="8" t="s">
        <v>742</v>
      </c>
      <c r="F114" s="8" t="s">
        <v>743</v>
      </c>
      <c r="G114" s="8" t="s">
        <v>743</v>
      </c>
      <c r="H114" s="8">
        <v>11111.2</v>
      </c>
      <c r="I114" s="8">
        <v>8994.02</v>
      </c>
      <c r="J114" s="8">
        <v>10127.6</v>
      </c>
      <c r="K114" s="8">
        <v>10945.9</v>
      </c>
      <c r="L114" s="8">
        <v>13213.5</v>
      </c>
      <c r="M114" s="8">
        <v>14811.2</v>
      </c>
      <c r="N114" s="8">
        <v>15644.1</v>
      </c>
    </row>
    <row r="115" spans="1:14" x14ac:dyDescent="0.3">
      <c r="A115" s="8" t="s">
        <v>739</v>
      </c>
      <c r="B115" s="8" t="s">
        <v>740</v>
      </c>
      <c r="C115" s="8" t="s">
        <v>552</v>
      </c>
      <c r="D115" s="8" t="s">
        <v>741</v>
      </c>
      <c r="E115" s="8" t="s">
        <v>742</v>
      </c>
      <c r="F115" s="8">
        <v>1381.58</v>
      </c>
      <c r="G115" s="8">
        <v>1146.44</v>
      </c>
      <c r="H115" s="8">
        <v>1381.35</v>
      </c>
      <c r="I115" s="8">
        <v>1461.68</v>
      </c>
      <c r="J115" s="8">
        <v>1585.33</v>
      </c>
      <c r="K115" s="8">
        <v>1898.6</v>
      </c>
      <c r="L115" s="8">
        <v>2018.03</v>
      </c>
      <c r="M115" s="8">
        <v>2060.06</v>
      </c>
      <c r="N115" s="8">
        <v>2158.09</v>
      </c>
    </row>
    <row r="116" spans="1:14" x14ac:dyDescent="0.3">
      <c r="A116" s="8" t="s">
        <v>739</v>
      </c>
      <c r="B116" s="8" t="s">
        <v>740</v>
      </c>
      <c r="C116" s="8" t="s">
        <v>151</v>
      </c>
      <c r="D116" s="8" t="s">
        <v>741</v>
      </c>
      <c r="E116" s="8" t="s">
        <v>742</v>
      </c>
      <c r="F116" s="8">
        <v>14822</v>
      </c>
      <c r="G116" s="8">
        <v>15419.2</v>
      </c>
      <c r="H116" s="8">
        <v>19350.2</v>
      </c>
      <c r="I116" s="8">
        <v>24626.1</v>
      </c>
      <c r="J116" s="8">
        <v>27289.3</v>
      </c>
      <c r="K116" s="8">
        <v>29000.9</v>
      </c>
      <c r="L116" s="8">
        <v>33057.599999999999</v>
      </c>
      <c r="M116" s="8">
        <v>39466.300000000003</v>
      </c>
      <c r="N116" s="8">
        <v>42841.5</v>
      </c>
    </row>
    <row r="117" spans="1:14" x14ac:dyDescent="0.3">
      <c r="A117" s="8" t="s">
        <v>739</v>
      </c>
      <c r="B117" s="8" t="s">
        <v>740</v>
      </c>
      <c r="C117" s="8" t="s">
        <v>152</v>
      </c>
      <c r="D117" s="8" t="s">
        <v>741</v>
      </c>
      <c r="E117" s="8" t="s">
        <v>742</v>
      </c>
      <c r="F117" s="8" t="s">
        <v>743</v>
      </c>
      <c r="G117" s="8" t="s">
        <v>743</v>
      </c>
      <c r="H117" s="8">
        <v>581.61300000000006</v>
      </c>
      <c r="I117" s="8">
        <v>708.505</v>
      </c>
      <c r="J117" s="8">
        <v>1131.26</v>
      </c>
      <c r="K117" s="8">
        <v>1978.39</v>
      </c>
      <c r="L117" s="8">
        <v>2879.44</v>
      </c>
      <c r="M117" s="8">
        <v>3892.7</v>
      </c>
      <c r="N117" s="8">
        <v>4965.99</v>
      </c>
    </row>
    <row r="118" spans="1:14" x14ac:dyDescent="0.3">
      <c r="A118" s="8" t="s">
        <v>739</v>
      </c>
      <c r="B118" s="8" t="s">
        <v>740</v>
      </c>
      <c r="C118" s="8" t="s">
        <v>153</v>
      </c>
      <c r="D118" s="8" t="s">
        <v>741</v>
      </c>
      <c r="E118" s="8" t="s">
        <v>742</v>
      </c>
      <c r="F118" s="8" t="s">
        <v>743</v>
      </c>
      <c r="G118" s="8" t="s">
        <v>743</v>
      </c>
      <c r="H118" s="8" t="s">
        <v>743</v>
      </c>
      <c r="I118" s="8" t="s">
        <v>743</v>
      </c>
      <c r="J118" s="8">
        <v>11881.4</v>
      </c>
      <c r="K118" s="8">
        <v>13660.7</v>
      </c>
      <c r="L118" s="8">
        <v>16477.400000000001</v>
      </c>
      <c r="M118" s="8">
        <v>17944</v>
      </c>
      <c r="N118" s="8">
        <v>18032.7</v>
      </c>
    </row>
    <row r="119" spans="1:14" x14ac:dyDescent="0.3">
      <c r="A119" s="8" t="s">
        <v>739</v>
      </c>
      <c r="B119" s="8" t="s">
        <v>740</v>
      </c>
      <c r="C119" s="8" t="s">
        <v>155</v>
      </c>
      <c r="D119" s="8" t="s">
        <v>741</v>
      </c>
      <c r="E119" s="8" t="s">
        <v>742</v>
      </c>
      <c r="F119" s="8">
        <v>3902.3</v>
      </c>
      <c r="G119" s="8">
        <v>4797.8100000000004</v>
      </c>
      <c r="H119" s="8">
        <v>5157.5</v>
      </c>
      <c r="I119" s="8">
        <v>4146.71</v>
      </c>
      <c r="J119" s="8">
        <v>4511.6400000000003</v>
      </c>
      <c r="K119" s="8">
        <v>5954.88</v>
      </c>
      <c r="L119" s="8">
        <v>7516.54</v>
      </c>
      <c r="M119" s="8">
        <v>11134.7</v>
      </c>
      <c r="N119" s="8">
        <v>11766.2</v>
      </c>
    </row>
    <row r="120" spans="1:14" x14ac:dyDescent="0.3">
      <c r="A120" s="8" t="s">
        <v>739</v>
      </c>
      <c r="B120" s="8" t="s">
        <v>740</v>
      </c>
      <c r="C120" s="8" t="s">
        <v>157</v>
      </c>
      <c r="D120" s="8" t="s">
        <v>741</v>
      </c>
      <c r="E120" s="8" t="s">
        <v>742</v>
      </c>
      <c r="F120" s="8">
        <v>520.33900000000006</v>
      </c>
      <c r="G120" s="8">
        <v>364.49099999999999</v>
      </c>
      <c r="H120" s="8">
        <v>453.10899999999998</v>
      </c>
      <c r="I120" s="8">
        <v>465.839</v>
      </c>
      <c r="J120" s="8">
        <v>628.70100000000002</v>
      </c>
      <c r="K120" s="8">
        <v>832.84799999999996</v>
      </c>
      <c r="L120" s="8">
        <v>1047.5999999999999</v>
      </c>
      <c r="M120" s="8">
        <v>1271.98</v>
      </c>
      <c r="N120" s="8">
        <v>1251.81</v>
      </c>
    </row>
    <row r="121" spans="1:14" x14ac:dyDescent="0.3">
      <c r="A121" s="8" t="s">
        <v>739</v>
      </c>
      <c r="B121" s="8" t="s">
        <v>740</v>
      </c>
      <c r="C121" s="8" t="s">
        <v>563</v>
      </c>
      <c r="D121" s="8" t="s">
        <v>741</v>
      </c>
      <c r="E121" s="8" t="s">
        <v>742</v>
      </c>
      <c r="F121" s="8" t="s">
        <v>743</v>
      </c>
      <c r="G121" s="8" t="s">
        <v>743</v>
      </c>
      <c r="H121" s="8">
        <v>4699.1099999999997</v>
      </c>
      <c r="I121" s="8">
        <v>4542.71</v>
      </c>
      <c r="J121" s="8">
        <v>4170.93</v>
      </c>
      <c r="K121" s="8">
        <v>4562.78</v>
      </c>
      <c r="L121" s="8">
        <v>4773.75</v>
      </c>
      <c r="M121" s="8">
        <v>5151.96</v>
      </c>
      <c r="N121" s="8">
        <v>5390.73</v>
      </c>
    </row>
    <row r="122" spans="1:14" x14ac:dyDescent="0.3">
      <c r="A122" s="8" t="s">
        <v>739</v>
      </c>
      <c r="B122" s="8" t="s">
        <v>740</v>
      </c>
      <c r="C122" s="8" t="s">
        <v>159</v>
      </c>
      <c r="D122" s="8" t="s">
        <v>741</v>
      </c>
      <c r="E122" s="8" t="s">
        <v>742</v>
      </c>
      <c r="F122" s="8">
        <v>5067.8500000000004</v>
      </c>
      <c r="G122" s="8">
        <v>5923.54</v>
      </c>
      <c r="H122" s="8">
        <v>8056.52</v>
      </c>
      <c r="I122" s="8">
        <v>9610.9699999999993</v>
      </c>
      <c r="J122" s="8">
        <v>12051</v>
      </c>
      <c r="K122" s="8">
        <v>13701.5</v>
      </c>
      <c r="L122" s="8">
        <v>16867.099999999999</v>
      </c>
      <c r="M122" s="8">
        <v>20063.8</v>
      </c>
      <c r="N122" s="8">
        <v>19737</v>
      </c>
    </row>
    <row r="123" spans="1:14" x14ac:dyDescent="0.3">
      <c r="A123" s="8" t="s">
        <v>739</v>
      </c>
      <c r="B123" s="8" t="s">
        <v>740</v>
      </c>
      <c r="C123" s="8" t="s">
        <v>566</v>
      </c>
      <c r="D123" s="8" t="s">
        <v>741</v>
      </c>
      <c r="E123" s="8" t="s">
        <v>742</v>
      </c>
      <c r="F123" s="8">
        <v>1144.94</v>
      </c>
      <c r="G123" s="8">
        <v>1044.5</v>
      </c>
      <c r="H123" s="8">
        <v>935.66099999999994</v>
      </c>
      <c r="I123" s="8">
        <v>995.89300000000003</v>
      </c>
      <c r="J123" s="8">
        <v>1108.6500000000001</v>
      </c>
      <c r="K123" s="8">
        <v>1096.3499999999999</v>
      </c>
      <c r="L123" s="8">
        <v>1358.73</v>
      </c>
      <c r="M123" s="8">
        <v>1443.85</v>
      </c>
      <c r="N123" s="8">
        <v>1511.24</v>
      </c>
    </row>
    <row r="124" spans="1:14" x14ac:dyDescent="0.3">
      <c r="A124" s="8" t="s">
        <v>739</v>
      </c>
      <c r="B124" s="8" t="s">
        <v>740</v>
      </c>
      <c r="C124" s="8" t="s">
        <v>160</v>
      </c>
      <c r="D124" s="8" t="s">
        <v>741</v>
      </c>
      <c r="E124" s="8" t="s">
        <v>742</v>
      </c>
      <c r="F124" s="8">
        <v>7887.16</v>
      </c>
      <c r="G124" s="8">
        <v>8871.2999999999993</v>
      </c>
      <c r="H124" s="8">
        <v>10660.4</v>
      </c>
      <c r="I124" s="8">
        <v>14581</v>
      </c>
      <c r="J124" s="8">
        <v>16142</v>
      </c>
      <c r="K124" s="8">
        <v>17948.599999999999</v>
      </c>
      <c r="L124" s="8">
        <v>20188.099999999999</v>
      </c>
      <c r="M124" s="8">
        <v>24151.200000000001</v>
      </c>
      <c r="N124" s="8">
        <v>26006</v>
      </c>
    </row>
    <row r="125" spans="1:14" x14ac:dyDescent="0.3">
      <c r="A125" s="8" t="s">
        <v>739</v>
      </c>
      <c r="B125" s="8" t="s">
        <v>740</v>
      </c>
      <c r="C125" s="8" t="s">
        <v>727</v>
      </c>
      <c r="D125" s="8" t="s">
        <v>741</v>
      </c>
      <c r="E125" s="8" t="s">
        <v>742</v>
      </c>
      <c r="F125" s="8" t="s">
        <v>743</v>
      </c>
      <c r="G125" s="8" t="s">
        <v>743</v>
      </c>
      <c r="H125" s="8" t="s">
        <v>743</v>
      </c>
      <c r="I125" s="8" t="s">
        <v>743</v>
      </c>
      <c r="J125" s="8" t="s">
        <v>743</v>
      </c>
      <c r="K125" s="8" t="s">
        <v>743</v>
      </c>
      <c r="L125" s="8" t="s">
        <v>743</v>
      </c>
      <c r="M125" s="8" t="s">
        <v>743</v>
      </c>
      <c r="N125" s="8">
        <v>21224.7</v>
      </c>
    </row>
    <row r="126" spans="1:14" x14ac:dyDescent="0.3">
      <c r="A126" s="8" t="s">
        <v>739</v>
      </c>
      <c r="B126" s="8" t="s">
        <v>740</v>
      </c>
      <c r="C126" s="8" t="s">
        <v>162</v>
      </c>
      <c r="D126" s="8" t="s">
        <v>741</v>
      </c>
      <c r="E126" s="8" t="s">
        <v>742</v>
      </c>
      <c r="F126" s="8" t="s">
        <v>743</v>
      </c>
      <c r="G126" s="8" t="s">
        <v>743</v>
      </c>
      <c r="H126" s="8">
        <v>6526.86</v>
      </c>
      <c r="I126" s="8">
        <v>6759.47</v>
      </c>
      <c r="J126" s="8">
        <v>7089.15</v>
      </c>
      <c r="K126" s="8">
        <v>8288.61</v>
      </c>
      <c r="L126" s="8">
        <v>9115.4500000000007</v>
      </c>
      <c r="M126" s="8">
        <v>10813.2</v>
      </c>
      <c r="N126" s="8">
        <v>9122.41</v>
      </c>
    </row>
    <row r="127" spans="1:14" x14ac:dyDescent="0.3">
      <c r="A127" s="8" t="s">
        <v>739</v>
      </c>
      <c r="B127" s="8" t="s">
        <v>740</v>
      </c>
      <c r="C127" s="8" t="s">
        <v>572</v>
      </c>
      <c r="D127" s="8" t="s">
        <v>741</v>
      </c>
      <c r="E127" s="8" t="s">
        <v>742</v>
      </c>
      <c r="F127" s="8" t="s">
        <v>743</v>
      </c>
      <c r="G127" s="8" t="s">
        <v>743</v>
      </c>
      <c r="H127" s="8" t="s">
        <v>743</v>
      </c>
      <c r="I127" s="8" t="s">
        <v>743</v>
      </c>
      <c r="J127" s="8" t="s">
        <v>743</v>
      </c>
      <c r="K127" s="8" t="s">
        <v>743</v>
      </c>
      <c r="L127" s="8" t="s">
        <v>743</v>
      </c>
      <c r="M127" s="8" t="s">
        <v>743</v>
      </c>
      <c r="N127" s="8">
        <v>21887.4</v>
      </c>
    </row>
    <row r="128" spans="1:14" x14ac:dyDescent="0.3">
      <c r="A128" s="8" t="s">
        <v>739</v>
      </c>
      <c r="B128" s="8" t="s">
        <v>740</v>
      </c>
      <c r="C128" s="8" t="s">
        <v>164</v>
      </c>
      <c r="D128" s="8" t="s">
        <v>741</v>
      </c>
      <c r="E128" s="8" t="s">
        <v>742</v>
      </c>
      <c r="F128" s="8">
        <v>1467.61</v>
      </c>
      <c r="G128" s="8">
        <v>1107.3900000000001</v>
      </c>
      <c r="H128" s="8">
        <v>1077.78</v>
      </c>
      <c r="I128" s="8">
        <v>977.37400000000002</v>
      </c>
      <c r="J128" s="8">
        <v>909.19500000000005</v>
      </c>
      <c r="K128" s="8">
        <v>944.86699999999996</v>
      </c>
      <c r="L128" s="8">
        <v>1024.82</v>
      </c>
      <c r="M128" s="8">
        <v>1124.3900000000001</v>
      </c>
      <c r="N128" s="8">
        <v>1237.5</v>
      </c>
    </row>
    <row r="129" spans="1:14" x14ac:dyDescent="0.3">
      <c r="A129" s="8" t="s">
        <v>739</v>
      </c>
      <c r="B129" s="8" t="s">
        <v>740</v>
      </c>
      <c r="C129" s="8" t="s">
        <v>166</v>
      </c>
      <c r="D129" s="8" t="s">
        <v>741</v>
      </c>
      <c r="E129" s="8" t="s">
        <v>742</v>
      </c>
      <c r="F129" s="8" t="s">
        <v>743</v>
      </c>
      <c r="G129" s="8" t="s">
        <v>743</v>
      </c>
      <c r="H129" s="8">
        <v>2902.57</v>
      </c>
      <c r="I129" s="8">
        <v>2693.12</v>
      </c>
      <c r="J129" s="8">
        <v>2760.27</v>
      </c>
      <c r="K129" s="8">
        <v>3818.51</v>
      </c>
      <c r="L129" s="8">
        <v>4933.5</v>
      </c>
      <c r="M129" s="8">
        <v>5429.1</v>
      </c>
      <c r="N129" s="8">
        <v>4925.3</v>
      </c>
    </row>
    <row r="130" spans="1:14" x14ac:dyDescent="0.3">
      <c r="A130" s="8" t="s">
        <v>739</v>
      </c>
      <c r="B130" s="8" t="s">
        <v>740</v>
      </c>
      <c r="C130" s="8" t="s">
        <v>167</v>
      </c>
      <c r="D130" s="8" t="s">
        <v>741</v>
      </c>
      <c r="E130" s="8" t="s">
        <v>742</v>
      </c>
      <c r="F130" s="8" t="s">
        <v>743</v>
      </c>
      <c r="G130" s="8" t="s">
        <v>743</v>
      </c>
      <c r="H130" s="8">
        <v>3365.69</v>
      </c>
      <c r="I130" s="8">
        <v>3346.04</v>
      </c>
      <c r="J130" s="8">
        <v>3940.29</v>
      </c>
      <c r="K130" s="8">
        <v>4322.53</v>
      </c>
      <c r="L130" s="8">
        <v>4586.8999999999996</v>
      </c>
      <c r="M130" s="8">
        <v>5563.04</v>
      </c>
      <c r="N130" s="8">
        <v>5266.57</v>
      </c>
    </row>
    <row r="131" spans="1:14" x14ac:dyDescent="0.3">
      <c r="A131" s="8" t="s">
        <v>739</v>
      </c>
      <c r="B131" s="8" t="s">
        <v>740</v>
      </c>
      <c r="C131" s="8" t="s">
        <v>169</v>
      </c>
      <c r="D131" s="8" t="s">
        <v>741</v>
      </c>
      <c r="E131" s="8" t="s">
        <v>742</v>
      </c>
      <c r="F131" s="8">
        <v>31018.2</v>
      </c>
      <c r="G131" s="8">
        <v>31943.4</v>
      </c>
      <c r="H131" s="8">
        <v>36528.1</v>
      </c>
      <c r="I131" s="8">
        <v>39616.199999999997</v>
      </c>
      <c r="J131" s="8">
        <v>45105</v>
      </c>
      <c r="K131" s="8">
        <v>47067.6</v>
      </c>
      <c r="L131" s="8">
        <v>49380.6</v>
      </c>
      <c r="M131" s="8">
        <v>50000.2</v>
      </c>
      <c r="N131" s="8">
        <v>51621.1</v>
      </c>
    </row>
    <row r="132" spans="1:14" x14ac:dyDescent="0.3">
      <c r="A132" s="8" t="s">
        <v>739</v>
      </c>
      <c r="B132" s="8" t="s">
        <v>740</v>
      </c>
      <c r="C132" s="8" t="s">
        <v>171</v>
      </c>
      <c r="D132" s="8" t="s">
        <v>741</v>
      </c>
      <c r="E132" s="8" t="s">
        <v>742</v>
      </c>
      <c r="F132" s="8">
        <v>34068.300000000003</v>
      </c>
      <c r="G132" s="8">
        <v>39730.199999999997</v>
      </c>
      <c r="H132" s="8">
        <v>42301.8</v>
      </c>
      <c r="I132" s="8">
        <v>49454.2</v>
      </c>
      <c r="J132" s="8">
        <v>55083</v>
      </c>
      <c r="K132" s="8">
        <v>59690.5</v>
      </c>
      <c r="L132" s="8">
        <v>59105.2</v>
      </c>
      <c r="M132" s="8">
        <v>60719.1</v>
      </c>
      <c r="N132" s="8">
        <v>61258.3</v>
      </c>
    </row>
    <row r="133" spans="1:14" x14ac:dyDescent="0.3">
      <c r="A133" s="8" t="s">
        <v>739</v>
      </c>
      <c r="B133" s="8" t="s">
        <v>740</v>
      </c>
      <c r="C133" s="8" t="s">
        <v>173</v>
      </c>
      <c r="D133" s="8" t="s">
        <v>741</v>
      </c>
      <c r="E133" s="8" t="s">
        <v>742</v>
      </c>
      <c r="F133" s="8">
        <v>1219.92</v>
      </c>
      <c r="G133" s="8">
        <v>1377.95</v>
      </c>
      <c r="H133" s="8">
        <v>1540.44</v>
      </c>
      <c r="I133" s="8">
        <v>1744.4</v>
      </c>
      <c r="J133" s="8">
        <v>2004.99</v>
      </c>
      <c r="K133" s="8">
        <v>2230.7800000000002</v>
      </c>
      <c r="L133" s="8">
        <v>2682.69</v>
      </c>
      <c r="M133" s="8">
        <v>3260.03</v>
      </c>
      <c r="N133" s="8">
        <v>3807.12</v>
      </c>
    </row>
    <row r="134" spans="1:14" x14ac:dyDescent="0.3">
      <c r="A134" s="8" t="s">
        <v>739</v>
      </c>
      <c r="B134" s="8" t="s">
        <v>740</v>
      </c>
      <c r="C134" s="8" t="s">
        <v>175</v>
      </c>
      <c r="D134" s="8" t="s">
        <v>741</v>
      </c>
      <c r="E134" s="8" t="s">
        <v>742</v>
      </c>
      <c r="F134" s="8">
        <v>24229</v>
      </c>
      <c r="G134" s="8">
        <v>27158.3</v>
      </c>
      <c r="H134" s="8">
        <v>26786</v>
      </c>
      <c r="I134" s="8">
        <v>28546.2</v>
      </c>
      <c r="J134" s="8">
        <v>29388.6</v>
      </c>
      <c r="K134" s="8">
        <v>33009.4</v>
      </c>
      <c r="L134" s="8">
        <v>34116.300000000003</v>
      </c>
      <c r="M134" s="8">
        <v>37093.699999999997</v>
      </c>
      <c r="N134" s="8">
        <v>39011.4</v>
      </c>
    </row>
    <row r="135" spans="1:14" x14ac:dyDescent="0.3">
      <c r="A135" s="8" t="s">
        <v>739</v>
      </c>
      <c r="B135" s="8" t="s">
        <v>740</v>
      </c>
      <c r="C135" s="8" t="s">
        <v>177</v>
      </c>
      <c r="D135" s="8" t="s">
        <v>741</v>
      </c>
      <c r="E135" s="8" t="s">
        <v>742</v>
      </c>
      <c r="F135" s="8">
        <v>23125.200000000001</v>
      </c>
      <c r="G135" s="8">
        <v>34333.300000000003</v>
      </c>
      <c r="H135" s="8">
        <v>29658</v>
      </c>
      <c r="I135" s="8">
        <v>32748</v>
      </c>
      <c r="J135" s="8">
        <v>36269.4</v>
      </c>
      <c r="K135" s="8">
        <v>35974.699999999997</v>
      </c>
      <c r="L135" s="8">
        <v>40820.300000000003</v>
      </c>
      <c r="M135" s="8">
        <v>35188</v>
      </c>
      <c r="N135" s="8">
        <v>32768.1</v>
      </c>
    </row>
    <row r="136" spans="1:14" x14ac:dyDescent="0.3">
      <c r="A136" s="8" t="s">
        <v>739</v>
      </c>
      <c r="B136" s="8" t="s">
        <v>740</v>
      </c>
      <c r="C136" s="8" t="s">
        <v>179</v>
      </c>
      <c r="D136" s="8" t="s">
        <v>741</v>
      </c>
      <c r="E136" s="8" t="s">
        <v>742</v>
      </c>
      <c r="F136" s="8">
        <v>2335.59</v>
      </c>
      <c r="G136" s="8">
        <v>2673.42</v>
      </c>
      <c r="H136" s="8">
        <v>2954.02</v>
      </c>
      <c r="I136" s="8">
        <v>3242.41</v>
      </c>
      <c r="J136" s="8">
        <v>3396.12</v>
      </c>
      <c r="K136" s="8">
        <v>3911.16</v>
      </c>
      <c r="L136" s="8">
        <v>4204.78</v>
      </c>
      <c r="M136" s="8">
        <v>4608.5</v>
      </c>
      <c r="N136" s="8">
        <v>5095.6899999999996</v>
      </c>
    </row>
    <row r="137" spans="1:14" x14ac:dyDescent="0.3">
      <c r="A137" s="8" t="s">
        <v>739</v>
      </c>
      <c r="B137" s="8" t="s">
        <v>740</v>
      </c>
      <c r="C137" s="8" t="s">
        <v>181</v>
      </c>
      <c r="D137" s="8" t="s">
        <v>741</v>
      </c>
      <c r="E137" s="8" t="s">
        <v>742</v>
      </c>
      <c r="F137" s="8">
        <v>11878.4</v>
      </c>
      <c r="G137" s="8">
        <v>12530.8</v>
      </c>
      <c r="H137" s="8">
        <v>10868.1</v>
      </c>
      <c r="I137" s="8">
        <v>12808.6</v>
      </c>
      <c r="J137" s="8">
        <v>15178.4</v>
      </c>
      <c r="K137" s="8">
        <v>17018.2</v>
      </c>
      <c r="L137" s="8">
        <v>22236.9</v>
      </c>
      <c r="M137" s="8">
        <v>29551.599999999999</v>
      </c>
      <c r="N137" s="8">
        <v>26786.5</v>
      </c>
    </row>
    <row r="138" spans="1:14" x14ac:dyDescent="0.3">
      <c r="A138" s="8" t="s">
        <v>739</v>
      </c>
      <c r="B138" s="8" t="s">
        <v>740</v>
      </c>
      <c r="C138" s="8" t="s">
        <v>183</v>
      </c>
      <c r="D138" s="8" t="s">
        <v>741</v>
      </c>
      <c r="E138" s="8" t="s">
        <v>742</v>
      </c>
      <c r="F138" s="8">
        <v>7459.1</v>
      </c>
      <c r="G138" s="8">
        <v>6673.77</v>
      </c>
      <c r="H138" s="8">
        <v>5358.45</v>
      </c>
      <c r="I138" s="8">
        <v>6254.35</v>
      </c>
      <c r="J138" s="8">
        <v>6519.4</v>
      </c>
      <c r="K138" s="8">
        <v>7611.77</v>
      </c>
      <c r="L138" s="8">
        <v>10221.9</v>
      </c>
      <c r="M138" s="8">
        <v>12285.6</v>
      </c>
      <c r="N138" s="8">
        <v>11503</v>
      </c>
    </row>
    <row r="139" spans="1:14" x14ac:dyDescent="0.3">
      <c r="A139" s="8" t="s">
        <v>739</v>
      </c>
      <c r="B139" s="8" t="s">
        <v>740</v>
      </c>
      <c r="C139" s="8" t="s">
        <v>185</v>
      </c>
      <c r="D139" s="8" t="s">
        <v>741</v>
      </c>
      <c r="E139" s="8" t="s">
        <v>742</v>
      </c>
      <c r="F139" s="8">
        <v>4552.82</v>
      </c>
      <c r="G139" s="8">
        <v>3771.93</v>
      </c>
      <c r="H139" s="8">
        <v>4232.4799999999996</v>
      </c>
      <c r="I139" s="8">
        <v>4197.34</v>
      </c>
      <c r="J139" s="8">
        <v>4455.67</v>
      </c>
      <c r="K139" s="8">
        <v>5058.04</v>
      </c>
      <c r="L139" s="8">
        <v>5876.47</v>
      </c>
      <c r="M139" s="8">
        <v>7235.08</v>
      </c>
      <c r="N139" s="8">
        <v>7836.35</v>
      </c>
    </row>
    <row r="140" spans="1:14" x14ac:dyDescent="0.3">
      <c r="A140" s="8" t="s">
        <v>739</v>
      </c>
      <c r="B140" s="8" t="s">
        <v>740</v>
      </c>
      <c r="C140" s="8" t="s">
        <v>594</v>
      </c>
      <c r="D140" s="8" t="s">
        <v>741</v>
      </c>
      <c r="E140" s="8" t="s">
        <v>742</v>
      </c>
      <c r="F140" s="8">
        <v>2611.37</v>
      </c>
      <c r="G140" s="8">
        <v>2544.4699999999998</v>
      </c>
      <c r="H140" s="8">
        <v>2421.63</v>
      </c>
      <c r="I140" s="8">
        <v>3057.18</v>
      </c>
      <c r="J140" s="8">
        <v>2659.48</v>
      </c>
      <c r="K140" s="8">
        <v>2570.09</v>
      </c>
      <c r="L140" s="8">
        <v>2855.46</v>
      </c>
      <c r="M140" s="8">
        <v>3315.69</v>
      </c>
      <c r="N140" s="8">
        <v>3287.62</v>
      </c>
    </row>
    <row r="141" spans="1:14" x14ac:dyDescent="0.3">
      <c r="A141" s="8" t="s">
        <v>739</v>
      </c>
      <c r="B141" s="8" t="s">
        <v>740</v>
      </c>
      <c r="C141" s="8" t="s">
        <v>187</v>
      </c>
      <c r="D141" s="8" t="s">
        <v>741</v>
      </c>
      <c r="E141" s="8" t="s">
        <v>742</v>
      </c>
      <c r="F141" s="8">
        <v>12247.9</v>
      </c>
      <c r="G141" s="8">
        <v>10950.8</v>
      </c>
      <c r="H141" s="8">
        <v>11276.4</v>
      </c>
      <c r="I141" s="8">
        <v>12446.8</v>
      </c>
      <c r="J141" s="8">
        <v>15678.7</v>
      </c>
      <c r="K141" s="8">
        <v>18056.099999999999</v>
      </c>
      <c r="L141" s="8">
        <v>22599.200000000001</v>
      </c>
      <c r="M141" s="8">
        <v>26374.9</v>
      </c>
      <c r="N141" s="8">
        <v>31036.6</v>
      </c>
    </row>
    <row r="142" spans="1:14" x14ac:dyDescent="0.3">
      <c r="A142" s="8" t="s">
        <v>739</v>
      </c>
      <c r="B142" s="8" t="s">
        <v>740</v>
      </c>
      <c r="C142" s="8" t="s">
        <v>728</v>
      </c>
      <c r="D142" s="8" t="s">
        <v>741</v>
      </c>
      <c r="E142" s="8" t="s">
        <v>742</v>
      </c>
      <c r="F142" s="8">
        <v>16739.7</v>
      </c>
      <c r="G142" s="8">
        <v>17034.400000000001</v>
      </c>
      <c r="H142" s="8">
        <v>21555.5</v>
      </c>
      <c r="I142" s="8">
        <v>25138.2</v>
      </c>
      <c r="J142" s="8">
        <v>29993.7</v>
      </c>
      <c r="K142" s="8">
        <v>34513</v>
      </c>
      <c r="L142" s="8">
        <v>32991.9</v>
      </c>
      <c r="M142" s="8">
        <v>34076.1</v>
      </c>
      <c r="N142" s="8">
        <v>32401.1</v>
      </c>
    </row>
    <row r="143" spans="1:14" x14ac:dyDescent="0.3">
      <c r="A143" s="8" t="s">
        <v>739</v>
      </c>
      <c r="B143" s="8" t="s">
        <v>740</v>
      </c>
      <c r="C143" s="8" t="s">
        <v>751</v>
      </c>
      <c r="D143" s="8" t="s">
        <v>741</v>
      </c>
      <c r="E143" s="8" t="s">
        <v>742</v>
      </c>
      <c r="F143" s="8" t="s">
        <v>743</v>
      </c>
      <c r="G143" s="8" t="s">
        <v>743</v>
      </c>
      <c r="H143" s="8" t="s">
        <v>743</v>
      </c>
      <c r="I143" s="8" t="s">
        <v>743</v>
      </c>
      <c r="J143" s="8" t="s">
        <v>743</v>
      </c>
      <c r="K143" s="8" t="s">
        <v>743</v>
      </c>
      <c r="L143" s="8" t="s">
        <v>743</v>
      </c>
      <c r="M143" s="8" t="s">
        <v>743</v>
      </c>
      <c r="N143" s="8">
        <v>1828.6</v>
      </c>
    </row>
    <row r="144" spans="1:14" x14ac:dyDescent="0.3">
      <c r="A144" s="8" t="s">
        <v>739</v>
      </c>
      <c r="B144" s="8" t="s">
        <v>740</v>
      </c>
      <c r="C144" s="8" t="s">
        <v>189</v>
      </c>
      <c r="D144" s="8" t="s">
        <v>741</v>
      </c>
      <c r="E144" s="8" t="s">
        <v>742</v>
      </c>
      <c r="F144" s="8">
        <v>17452.099999999999</v>
      </c>
      <c r="G144" s="8">
        <v>17853.8</v>
      </c>
      <c r="H144" s="8">
        <v>23499.7</v>
      </c>
      <c r="I144" s="8">
        <v>25459.7</v>
      </c>
      <c r="J144" s="8">
        <v>28929.200000000001</v>
      </c>
      <c r="K144" s="8">
        <v>29564.1</v>
      </c>
      <c r="L144" s="8">
        <v>30264.2</v>
      </c>
      <c r="M144" s="8">
        <v>29639.4</v>
      </c>
      <c r="N144" s="8">
        <v>30507.3</v>
      </c>
    </row>
    <row r="145" spans="1:14" x14ac:dyDescent="0.3">
      <c r="A145" s="8" t="s">
        <v>739</v>
      </c>
      <c r="B145" s="8" t="s">
        <v>740</v>
      </c>
      <c r="C145" s="8" t="s">
        <v>191</v>
      </c>
      <c r="D145" s="8" t="s">
        <v>741</v>
      </c>
      <c r="E145" s="8" t="s">
        <v>742</v>
      </c>
      <c r="F145" s="8">
        <v>8569.2199999999993</v>
      </c>
      <c r="G145" s="8">
        <v>8318.07</v>
      </c>
      <c r="H145" s="8">
        <v>8818.94</v>
      </c>
      <c r="I145" s="8">
        <v>9661.06</v>
      </c>
      <c r="J145" s="8">
        <v>8862.14</v>
      </c>
      <c r="K145" s="8">
        <v>9113.4</v>
      </c>
      <c r="L145" s="8">
        <v>11281.2</v>
      </c>
      <c r="M145" s="8">
        <v>12806.1</v>
      </c>
      <c r="N145" s="8">
        <v>13409.8</v>
      </c>
    </row>
    <row r="146" spans="1:14" x14ac:dyDescent="0.3">
      <c r="A146" s="8" t="s">
        <v>739</v>
      </c>
      <c r="B146" s="8" t="s">
        <v>740</v>
      </c>
      <c r="C146" s="8" t="s">
        <v>611</v>
      </c>
      <c r="D146" s="8" t="s">
        <v>741</v>
      </c>
      <c r="E146" s="8" t="s">
        <v>742</v>
      </c>
      <c r="F146" s="8">
        <v>21470</v>
      </c>
      <c r="G146" s="8">
        <v>20252.400000000001</v>
      </c>
      <c r="H146" s="8">
        <v>20406.5</v>
      </c>
      <c r="I146" s="8">
        <v>18379.8</v>
      </c>
      <c r="J146" s="8">
        <v>17999.900000000001</v>
      </c>
      <c r="K146" s="8">
        <v>17322.599999999999</v>
      </c>
      <c r="L146" s="8">
        <v>15858.9</v>
      </c>
      <c r="M146" s="8">
        <v>15245.9</v>
      </c>
      <c r="N146" s="8">
        <v>15334.3</v>
      </c>
    </row>
    <row r="147" spans="1:14" x14ac:dyDescent="0.3">
      <c r="A147" s="8" t="s">
        <v>739</v>
      </c>
      <c r="B147" s="8" t="s">
        <v>740</v>
      </c>
      <c r="C147" s="8" t="s">
        <v>193</v>
      </c>
      <c r="D147" s="8" t="s">
        <v>741</v>
      </c>
      <c r="E147" s="8" t="s">
        <v>742</v>
      </c>
      <c r="F147" s="8">
        <v>124134</v>
      </c>
      <c r="G147" s="8">
        <v>79304.600000000006</v>
      </c>
      <c r="H147" s="8">
        <v>64688.9</v>
      </c>
      <c r="I147" s="8">
        <v>61148.4</v>
      </c>
      <c r="J147" s="8">
        <v>79444.100000000006</v>
      </c>
      <c r="K147" s="8">
        <v>90242.2</v>
      </c>
      <c r="L147" s="8">
        <v>105837</v>
      </c>
      <c r="M147" s="8">
        <v>101972</v>
      </c>
      <c r="N147" s="8">
        <v>86871.3</v>
      </c>
    </row>
    <row r="148" spans="1:14" x14ac:dyDescent="0.3">
      <c r="A148" s="8" t="s">
        <v>739</v>
      </c>
      <c r="B148" s="8" t="s">
        <v>740</v>
      </c>
      <c r="C148" s="8" t="s">
        <v>194</v>
      </c>
      <c r="D148" s="8" t="s">
        <v>741</v>
      </c>
      <c r="E148" s="8" t="s">
        <v>742</v>
      </c>
      <c r="F148" s="8">
        <v>13159.3</v>
      </c>
      <c r="G148" s="8">
        <v>15089.5</v>
      </c>
      <c r="H148" s="8">
        <v>13589.5</v>
      </c>
      <c r="I148" s="8">
        <v>12265.5</v>
      </c>
      <c r="J148" s="8">
        <v>11264</v>
      </c>
      <c r="K148" s="8">
        <v>15400.3</v>
      </c>
      <c r="L148" s="8">
        <v>18365.2</v>
      </c>
      <c r="M148" s="8">
        <v>21525.200000000001</v>
      </c>
      <c r="N148" s="8">
        <v>25950.7</v>
      </c>
    </row>
    <row r="149" spans="1:14" x14ac:dyDescent="0.3">
      <c r="A149" s="8" t="s">
        <v>739</v>
      </c>
      <c r="B149" s="8" t="s">
        <v>740</v>
      </c>
      <c r="C149" s="8" t="s">
        <v>196</v>
      </c>
      <c r="D149" s="8" t="s">
        <v>741</v>
      </c>
      <c r="E149" s="8" t="s">
        <v>742</v>
      </c>
      <c r="F149" s="8" t="s">
        <v>743</v>
      </c>
      <c r="G149" s="8" t="s">
        <v>743</v>
      </c>
      <c r="H149" s="8">
        <v>21268.5</v>
      </c>
      <c r="I149" s="8">
        <v>13162.6</v>
      </c>
      <c r="J149" s="8">
        <v>13564.1</v>
      </c>
      <c r="K149" s="8">
        <v>18644.2</v>
      </c>
      <c r="L149" s="8">
        <v>22544.400000000001</v>
      </c>
      <c r="M149" s="8">
        <v>24334</v>
      </c>
      <c r="N149" s="8">
        <v>25198.400000000001</v>
      </c>
    </row>
    <row r="150" spans="1:14" x14ac:dyDescent="0.3">
      <c r="A150" s="8" t="s">
        <v>739</v>
      </c>
      <c r="B150" s="8" t="s">
        <v>740</v>
      </c>
      <c r="C150" s="8" t="s">
        <v>616</v>
      </c>
      <c r="D150" s="8" t="s">
        <v>741</v>
      </c>
      <c r="E150" s="8" t="s">
        <v>742</v>
      </c>
      <c r="F150" s="8">
        <v>1021.43</v>
      </c>
      <c r="G150" s="8">
        <v>1068.93</v>
      </c>
      <c r="H150" s="8">
        <v>914.19799999999998</v>
      </c>
      <c r="I150" s="8">
        <v>778.61099999999999</v>
      </c>
      <c r="J150" s="8">
        <v>849.15700000000004</v>
      </c>
      <c r="K150" s="8">
        <v>1124.8399999999999</v>
      </c>
      <c r="L150" s="8">
        <v>1468.22</v>
      </c>
      <c r="M150" s="8">
        <v>1845.52</v>
      </c>
      <c r="N150" s="8">
        <v>2091.91</v>
      </c>
    </row>
    <row r="151" spans="1:14" x14ac:dyDescent="0.3">
      <c r="A151" s="8" t="s">
        <v>739</v>
      </c>
      <c r="B151" s="8" t="s">
        <v>740</v>
      </c>
      <c r="C151" s="8" t="s">
        <v>198</v>
      </c>
      <c r="D151" s="8" t="s">
        <v>741</v>
      </c>
      <c r="E151" s="8" t="s">
        <v>742</v>
      </c>
      <c r="F151" s="8">
        <v>57718.2</v>
      </c>
      <c r="G151" s="8">
        <v>36075.199999999997</v>
      </c>
      <c r="H151" s="8">
        <v>34392.6</v>
      </c>
      <c r="I151" s="8">
        <v>33563.300000000003</v>
      </c>
      <c r="J151" s="8">
        <v>33153.5</v>
      </c>
      <c r="K151" s="8">
        <v>37188.9</v>
      </c>
      <c r="L151" s="8">
        <v>40948.1</v>
      </c>
      <c r="M151" s="8">
        <v>48190.9</v>
      </c>
      <c r="N151" s="8">
        <v>44161.7</v>
      </c>
    </row>
    <row r="152" spans="1:14" x14ac:dyDescent="0.3">
      <c r="A152" s="8" t="s">
        <v>739</v>
      </c>
      <c r="B152" s="8" t="s">
        <v>740</v>
      </c>
      <c r="C152" s="8" t="s">
        <v>200</v>
      </c>
      <c r="D152" s="8" t="s">
        <v>741</v>
      </c>
      <c r="E152" s="8" t="s">
        <v>742</v>
      </c>
      <c r="F152" s="8">
        <v>3243.23</v>
      </c>
      <c r="G152" s="8">
        <v>2833.23</v>
      </c>
      <c r="H152" s="8">
        <v>3272.7</v>
      </c>
      <c r="I152" s="8">
        <v>3876.07</v>
      </c>
      <c r="J152" s="8">
        <v>4695.25</v>
      </c>
      <c r="K152" s="8">
        <v>5796.31</v>
      </c>
      <c r="L152" s="8">
        <v>5994.87</v>
      </c>
      <c r="M152" s="8">
        <v>4764.8999999999996</v>
      </c>
      <c r="N152" s="8">
        <v>4019.69</v>
      </c>
    </row>
    <row r="153" spans="1:14" x14ac:dyDescent="0.3">
      <c r="A153" s="8" t="s">
        <v>739</v>
      </c>
      <c r="B153" s="8" t="s">
        <v>740</v>
      </c>
      <c r="C153" s="8" t="s">
        <v>201</v>
      </c>
      <c r="D153" s="8" t="s">
        <v>741</v>
      </c>
      <c r="E153" s="8" t="s">
        <v>742</v>
      </c>
      <c r="F153" s="8">
        <v>2540.0300000000002</v>
      </c>
      <c r="G153" s="8">
        <v>2553.96</v>
      </c>
      <c r="H153" s="8">
        <v>2481.94</v>
      </c>
      <c r="I153" s="8">
        <v>2412.4699999999998</v>
      </c>
      <c r="J153" s="8">
        <v>2620.09</v>
      </c>
      <c r="K153" s="8">
        <v>2787.52</v>
      </c>
      <c r="L153" s="8">
        <v>2830.14</v>
      </c>
      <c r="M153" s="8">
        <v>3012.37</v>
      </c>
      <c r="N153" s="8">
        <v>3430.49</v>
      </c>
    </row>
    <row r="154" spans="1:14" x14ac:dyDescent="0.3">
      <c r="A154" s="8" t="s">
        <v>739</v>
      </c>
      <c r="B154" s="8" t="s">
        <v>740</v>
      </c>
      <c r="C154" s="8" t="s">
        <v>203</v>
      </c>
      <c r="D154" s="8" t="s">
        <v>741</v>
      </c>
      <c r="E154" s="8" t="s">
        <v>742</v>
      </c>
      <c r="F154" s="8">
        <v>22503.599999999999</v>
      </c>
      <c r="G154" s="8">
        <v>28017</v>
      </c>
      <c r="H154" s="8">
        <v>37634.199999999997</v>
      </c>
      <c r="I154" s="8">
        <v>48458.8</v>
      </c>
      <c r="J154" s="8">
        <v>55604</v>
      </c>
      <c r="K154" s="8">
        <v>65822.100000000006</v>
      </c>
      <c r="L154" s="8">
        <v>76876.5</v>
      </c>
      <c r="M154" s="8">
        <v>87431.2</v>
      </c>
      <c r="N154" s="8">
        <v>91565</v>
      </c>
    </row>
    <row r="155" spans="1:14" x14ac:dyDescent="0.3">
      <c r="A155" s="8" t="s">
        <v>739</v>
      </c>
      <c r="B155" s="8" t="s">
        <v>740</v>
      </c>
      <c r="C155" s="8" t="s">
        <v>624</v>
      </c>
      <c r="D155" s="8" t="s">
        <v>741</v>
      </c>
      <c r="E155" s="8" t="s">
        <v>742</v>
      </c>
      <c r="F155" s="8">
        <v>2433.9699999999998</v>
      </c>
      <c r="G155" s="8">
        <v>1997.64</v>
      </c>
      <c r="H155" s="8">
        <v>1993.71</v>
      </c>
      <c r="I155" s="8">
        <v>2547.14</v>
      </c>
      <c r="J155" s="8">
        <v>1933.64</v>
      </c>
      <c r="K155" s="8">
        <v>1848.55</v>
      </c>
      <c r="L155" s="8">
        <v>2130.6999999999998</v>
      </c>
      <c r="M155" s="8">
        <v>2212.71</v>
      </c>
      <c r="N155" s="8">
        <v>2181.58</v>
      </c>
    </row>
    <row r="156" spans="1:14" x14ac:dyDescent="0.3">
      <c r="A156" s="8" t="s">
        <v>739</v>
      </c>
      <c r="B156" s="8" t="s">
        <v>740</v>
      </c>
      <c r="C156" s="8" t="s">
        <v>626</v>
      </c>
      <c r="D156" s="8" t="s">
        <v>741</v>
      </c>
      <c r="E156" s="8" t="s">
        <v>742</v>
      </c>
      <c r="F156" s="8">
        <v>2326.89</v>
      </c>
      <c r="G156" s="8">
        <v>2022.9</v>
      </c>
      <c r="H156" s="8">
        <v>1956.55</v>
      </c>
      <c r="I156" s="8">
        <v>1515.94</v>
      </c>
      <c r="J156" s="8">
        <v>838.23199999999997</v>
      </c>
      <c r="K156" s="8">
        <v>1230.17</v>
      </c>
      <c r="L156" s="8">
        <v>1401.57</v>
      </c>
      <c r="M156" s="8">
        <v>1515.53</v>
      </c>
      <c r="N156" s="8">
        <v>1604.46</v>
      </c>
    </row>
    <row r="157" spans="1:14" x14ac:dyDescent="0.3">
      <c r="A157" s="8" t="s">
        <v>739</v>
      </c>
      <c r="B157" s="8" t="s">
        <v>740</v>
      </c>
      <c r="C157" s="8" t="s">
        <v>205</v>
      </c>
      <c r="D157" s="8" t="s">
        <v>741</v>
      </c>
      <c r="E157" s="8" t="s">
        <v>742</v>
      </c>
      <c r="F157" s="8">
        <v>6102.77</v>
      </c>
      <c r="G157" s="8">
        <v>5159.93</v>
      </c>
      <c r="H157" s="8">
        <v>5192.5200000000004</v>
      </c>
      <c r="I157" s="8">
        <v>6110.39</v>
      </c>
      <c r="J157" s="8">
        <v>6500.13</v>
      </c>
      <c r="K157" s="8">
        <v>6917.76</v>
      </c>
      <c r="L157" s="8">
        <v>7413.87</v>
      </c>
      <c r="M157" s="8">
        <v>8267.69</v>
      </c>
      <c r="N157" s="8">
        <v>8311.9699999999993</v>
      </c>
    </row>
    <row r="158" spans="1:14" x14ac:dyDescent="0.3">
      <c r="A158" s="8" t="s">
        <v>739</v>
      </c>
      <c r="B158" s="8" t="s">
        <v>740</v>
      </c>
      <c r="C158" s="8" t="s">
        <v>631</v>
      </c>
      <c r="D158" s="8" t="s">
        <v>741</v>
      </c>
      <c r="E158" s="8" t="s">
        <v>742</v>
      </c>
      <c r="F158" s="8" t="s">
        <v>743</v>
      </c>
      <c r="G158" s="8" t="s">
        <v>743</v>
      </c>
      <c r="H158" s="8" t="s">
        <v>743</v>
      </c>
      <c r="I158" s="8" t="s">
        <v>743</v>
      </c>
      <c r="J158" s="8" t="s">
        <v>743</v>
      </c>
      <c r="K158" s="8" t="s">
        <v>743</v>
      </c>
      <c r="L158" s="8" t="s">
        <v>743</v>
      </c>
      <c r="M158" s="8">
        <v>1556.61</v>
      </c>
      <c r="N158" s="8">
        <v>1480.18</v>
      </c>
    </row>
    <row r="159" spans="1:14" x14ac:dyDescent="0.3">
      <c r="A159" s="8" t="s">
        <v>739</v>
      </c>
      <c r="B159" s="8" t="s">
        <v>740</v>
      </c>
      <c r="C159" s="8" t="s">
        <v>207</v>
      </c>
      <c r="D159" s="8" t="s">
        <v>741</v>
      </c>
      <c r="E159" s="8" t="s">
        <v>742</v>
      </c>
      <c r="F159" s="8" t="s">
        <v>743</v>
      </c>
      <c r="G159" s="8" t="s">
        <v>743</v>
      </c>
      <c r="H159" s="8" t="s">
        <v>743</v>
      </c>
      <c r="I159" s="8">
        <v>7405.39</v>
      </c>
      <c r="J159" s="8">
        <v>8436.27</v>
      </c>
      <c r="K159" s="8">
        <v>11673.6</v>
      </c>
      <c r="L159" s="8">
        <v>13832.8</v>
      </c>
      <c r="M159" s="8">
        <v>14708.8</v>
      </c>
      <c r="N159" s="8">
        <v>17074</v>
      </c>
    </row>
    <row r="160" spans="1:14" x14ac:dyDescent="0.3">
      <c r="A160" s="8" t="s">
        <v>739</v>
      </c>
      <c r="B160" s="8" t="s">
        <v>740</v>
      </c>
      <c r="C160" s="8" t="s">
        <v>636</v>
      </c>
      <c r="D160" s="8" t="s">
        <v>741</v>
      </c>
      <c r="E160" s="8" t="s">
        <v>742</v>
      </c>
      <c r="F160" s="8" t="s">
        <v>743</v>
      </c>
      <c r="G160" s="8" t="s">
        <v>743</v>
      </c>
      <c r="H160" s="8" t="s">
        <v>743</v>
      </c>
      <c r="I160" s="8" t="s">
        <v>743</v>
      </c>
      <c r="J160" s="8" t="s">
        <v>743</v>
      </c>
      <c r="K160" s="8" t="s">
        <v>743</v>
      </c>
      <c r="L160" s="8" t="s">
        <v>743</v>
      </c>
      <c r="M160" s="8">
        <v>631.50099999999998</v>
      </c>
      <c r="N160" s="8">
        <v>505.27699999999999</v>
      </c>
    </row>
    <row r="161" spans="1:14" x14ac:dyDescent="0.3">
      <c r="A161" s="8" t="s">
        <v>739</v>
      </c>
      <c r="B161" s="8" t="s">
        <v>740</v>
      </c>
      <c r="C161" s="8" t="s">
        <v>642</v>
      </c>
      <c r="D161" s="8" t="s">
        <v>741</v>
      </c>
      <c r="E161" s="8" t="s">
        <v>742</v>
      </c>
      <c r="F161" s="8">
        <v>3540.86</v>
      </c>
      <c r="G161" s="8">
        <v>2947.89</v>
      </c>
      <c r="H161" s="8">
        <v>2456.63</v>
      </c>
      <c r="I161" s="8">
        <v>2387.04</v>
      </c>
      <c r="J161" s="8">
        <v>2391.1799999999998</v>
      </c>
      <c r="K161" s="8">
        <v>2640.27</v>
      </c>
      <c r="L161" s="8">
        <v>2993.97</v>
      </c>
      <c r="M161" s="8">
        <v>3187.97</v>
      </c>
      <c r="N161" s="8">
        <v>3547.99</v>
      </c>
    </row>
    <row r="162" spans="1:14" x14ac:dyDescent="0.3">
      <c r="A162" s="8" t="s">
        <v>739</v>
      </c>
      <c r="B162" s="8" t="s">
        <v>740</v>
      </c>
      <c r="C162" s="8" t="s">
        <v>209</v>
      </c>
      <c r="D162" s="8" t="s">
        <v>741</v>
      </c>
      <c r="E162" s="8" t="s">
        <v>742</v>
      </c>
      <c r="F162" s="8">
        <v>17236.900000000001</v>
      </c>
      <c r="G162" s="8">
        <v>14545</v>
      </c>
      <c r="H162" s="8">
        <v>13559.8</v>
      </c>
      <c r="I162" s="8">
        <v>11679.5</v>
      </c>
      <c r="J162" s="8">
        <v>12753.1</v>
      </c>
      <c r="K162" s="8">
        <v>15397</v>
      </c>
      <c r="L162" s="8">
        <v>18255.8</v>
      </c>
      <c r="M162" s="8">
        <v>18768.8</v>
      </c>
      <c r="N162" s="8">
        <v>15413.6</v>
      </c>
    </row>
    <row r="163" spans="1:14" x14ac:dyDescent="0.3">
      <c r="A163" s="8" t="s">
        <v>739</v>
      </c>
      <c r="B163" s="8" t="s">
        <v>740</v>
      </c>
      <c r="C163" s="8" t="s">
        <v>752</v>
      </c>
      <c r="D163" s="8" t="s">
        <v>741</v>
      </c>
      <c r="E163" s="8" t="s">
        <v>742</v>
      </c>
      <c r="F163" s="8" t="s">
        <v>743</v>
      </c>
      <c r="G163" s="8" t="s">
        <v>743</v>
      </c>
      <c r="H163" s="8" t="s">
        <v>743</v>
      </c>
      <c r="I163" s="8">
        <v>13284.4</v>
      </c>
      <c r="J163" s="8">
        <v>16382.4</v>
      </c>
      <c r="K163" s="8">
        <v>20937.2</v>
      </c>
      <c r="L163" s="8">
        <v>26717</v>
      </c>
      <c r="M163" s="8">
        <v>30050.799999999999</v>
      </c>
      <c r="N163" s="8">
        <v>32311</v>
      </c>
    </row>
    <row r="164" spans="1:14" x14ac:dyDescent="0.3">
      <c r="A164" s="8" t="s">
        <v>739</v>
      </c>
      <c r="B164" s="8" t="s">
        <v>740</v>
      </c>
      <c r="C164" s="8" t="s">
        <v>211</v>
      </c>
      <c r="D164" s="8" t="s">
        <v>741</v>
      </c>
      <c r="E164" s="8" t="s">
        <v>742</v>
      </c>
      <c r="F164" s="8" t="s">
        <v>743</v>
      </c>
      <c r="G164" s="8" t="s">
        <v>743</v>
      </c>
      <c r="H164" s="8">
        <v>22159.599999999999</v>
      </c>
      <c r="I164" s="8">
        <v>21466.799999999999</v>
      </c>
      <c r="J164" s="8">
        <v>24645.4</v>
      </c>
      <c r="K164" s="8">
        <v>29066.2</v>
      </c>
      <c r="L164" s="8">
        <v>31075.7</v>
      </c>
      <c r="M164" s="8">
        <v>31364.6</v>
      </c>
      <c r="N164" s="8">
        <v>34540.400000000001</v>
      </c>
    </row>
    <row r="165" spans="1:14" x14ac:dyDescent="0.3">
      <c r="A165" s="8" t="s">
        <v>739</v>
      </c>
      <c r="B165" s="8" t="s">
        <v>740</v>
      </c>
      <c r="C165" s="8" t="s">
        <v>213</v>
      </c>
      <c r="D165" s="8" t="s">
        <v>741</v>
      </c>
      <c r="E165" s="8" t="s">
        <v>742</v>
      </c>
      <c r="F165" s="8">
        <v>28273.3</v>
      </c>
      <c r="G165" s="8">
        <v>30911.7</v>
      </c>
      <c r="H165" s="8">
        <v>34156.6</v>
      </c>
      <c r="I165" s="8">
        <v>34484.400000000001</v>
      </c>
      <c r="J165" s="8">
        <v>39169.300000000003</v>
      </c>
      <c r="K165" s="8">
        <v>43600.7</v>
      </c>
      <c r="L165" s="8">
        <v>45958</v>
      </c>
      <c r="M165" s="8">
        <v>48841.9</v>
      </c>
      <c r="N165" s="8">
        <v>49613.8</v>
      </c>
    </row>
    <row r="166" spans="1:14" x14ac:dyDescent="0.3">
      <c r="A166" s="8" t="s">
        <v>739</v>
      </c>
      <c r="B166" s="8" t="s">
        <v>740</v>
      </c>
      <c r="C166" s="8" t="s">
        <v>648</v>
      </c>
      <c r="D166" s="8" t="s">
        <v>741</v>
      </c>
      <c r="E166" s="8" t="s">
        <v>742</v>
      </c>
      <c r="F166" s="8">
        <v>3685.86</v>
      </c>
      <c r="G166" s="8">
        <v>3538.36</v>
      </c>
      <c r="H166" s="8">
        <v>4908.97</v>
      </c>
      <c r="I166" s="8">
        <v>5111.2700000000004</v>
      </c>
      <c r="J166" s="8">
        <v>5443.24</v>
      </c>
      <c r="K166" s="8">
        <v>6298.24</v>
      </c>
      <c r="L166" s="8">
        <v>7221.1</v>
      </c>
      <c r="M166" s="8">
        <v>8088.51</v>
      </c>
      <c r="N166" s="8">
        <v>8335.61</v>
      </c>
    </row>
    <row r="167" spans="1:14" x14ac:dyDescent="0.3">
      <c r="A167" s="8" t="s">
        <v>739</v>
      </c>
      <c r="B167" s="8" t="s">
        <v>740</v>
      </c>
      <c r="C167" s="8" t="s">
        <v>652</v>
      </c>
      <c r="D167" s="8" t="s">
        <v>741</v>
      </c>
      <c r="E167" s="8" t="s">
        <v>742</v>
      </c>
      <c r="F167" s="8">
        <v>10074.4</v>
      </c>
      <c r="G167" s="8">
        <v>10436.5</v>
      </c>
      <c r="H167" s="8">
        <v>13141</v>
      </c>
      <c r="I167" s="8">
        <v>14475.4</v>
      </c>
      <c r="J167" s="8">
        <v>18147.2</v>
      </c>
      <c r="K167" s="8">
        <v>16677.2</v>
      </c>
      <c r="L167" s="8">
        <v>19277.7</v>
      </c>
      <c r="M167" s="8">
        <v>24072.3</v>
      </c>
      <c r="N167" s="8">
        <v>27920.3</v>
      </c>
    </row>
    <row r="168" spans="1:14" x14ac:dyDescent="0.3">
      <c r="A168" s="8" t="s">
        <v>739</v>
      </c>
      <c r="B168" s="8" t="s">
        <v>740</v>
      </c>
      <c r="C168" s="8" t="s">
        <v>657</v>
      </c>
      <c r="D168" s="8" t="s">
        <v>741</v>
      </c>
      <c r="E168" s="8" t="s">
        <v>742</v>
      </c>
      <c r="F168" s="8">
        <v>916.38699999999994</v>
      </c>
      <c r="G168" s="8">
        <v>1003.96</v>
      </c>
      <c r="H168" s="8">
        <v>1063.67</v>
      </c>
      <c r="I168" s="8">
        <v>1042.56</v>
      </c>
      <c r="J168" s="8">
        <v>987.78099999999995</v>
      </c>
      <c r="K168" s="8">
        <v>1640.15</v>
      </c>
      <c r="L168" s="8">
        <v>1748.31</v>
      </c>
      <c r="M168" s="8">
        <v>1843.12</v>
      </c>
      <c r="N168" s="8">
        <v>1519.61</v>
      </c>
    </row>
    <row r="169" spans="1:14" x14ac:dyDescent="0.3">
      <c r="A169" s="8" t="s">
        <v>739</v>
      </c>
      <c r="B169" s="8" t="s">
        <v>740</v>
      </c>
      <c r="C169" s="8" t="s">
        <v>216</v>
      </c>
      <c r="D169" s="8" t="s">
        <v>741</v>
      </c>
      <c r="E169" s="8" t="s">
        <v>742</v>
      </c>
      <c r="F169" s="8">
        <v>2280.65</v>
      </c>
      <c r="G169" s="8">
        <v>1879.13</v>
      </c>
      <c r="H169" s="8">
        <v>1977.43</v>
      </c>
      <c r="I169" s="8">
        <v>1966.43</v>
      </c>
      <c r="J169" s="8">
        <v>1664.16</v>
      </c>
      <c r="K169" s="8">
        <v>1538.76</v>
      </c>
      <c r="L169" s="8">
        <v>1614.15</v>
      </c>
      <c r="M169" s="8">
        <v>1882.59</v>
      </c>
      <c r="N169" s="8">
        <v>2079.56</v>
      </c>
    </row>
    <row r="170" spans="1:14" x14ac:dyDescent="0.3">
      <c r="A170" s="8" t="s">
        <v>739</v>
      </c>
      <c r="B170" s="8" t="s">
        <v>740</v>
      </c>
      <c r="C170" s="8" t="s">
        <v>218</v>
      </c>
      <c r="D170" s="8" t="s">
        <v>741</v>
      </c>
      <c r="E170" s="8" t="s">
        <v>742</v>
      </c>
      <c r="F170" s="8">
        <v>4054.72</v>
      </c>
      <c r="G170" s="8">
        <v>4778.91</v>
      </c>
      <c r="H170" s="8">
        <v>7178.94</v>
      </c>
      <c r="I170" s="8">
        <v>10025.1</v>
      </c>
      <c r="J170" s="8">
        <v>9791.9</v>
      </c>
      <c r="K170" s="8">
        <v>12228.7</v>
      </c>
      <c r="L170" s="8">
        <v>14172.2</v>
      </c>
      <c r="M170" s="8">
        <v>15919.4</v>
      </c>
      <c r="N170" s="8">
        <v>16885.900000000001</v>
      </c>
    </row>
    <row r="171" spans="1:14" x14ac:dyDescent="0.3">
      <c r="A171" s="8" t="s">
        <v>739</v>
      </c>
      <c r="B171" s="8" t="s">
        <v>740</v>
      </c>
      <c r="C171" s="8" t="s">
        <v>219</v>
      </c>
      <c r="D171" s="8" t="s">
        <v>741</v>
      </c>
      <c r="E171" s="8" t="s">
        <v>742</v>
      </c>
      <c r="F171" s="8" t="s">
        <v>743</v>
      </c>
      <c r="G171" s="8" t="s">
        <v>743</v>
      </c>
      <c r="H171" s="8">
        <v>3990.87</v>
      </c>
      <c r="I171" s="8">
        <v>1230.1400000000001</v>
      </c>
      <c r="J171" s="8">
        <v>1338.66</v>
      </c>
      <c r="K171" s="8">
        <v>1890.55</v>
      </c>
      <c r="L171" s="8">
        <v>2365.11</v>
      </c>
      <c r="M171" s="8">
        <v>2955.42</v>
      </c>
      <c r="N171" s="8">
        <v>3687.58</v>
      </c>
    </row>
    <row r="172" spans="1:14" x14ac:dyDescent="0.3">
      <c r="A172" s="8" t="s">
        <v>739</v>
      </c>
      <c r="B172" s="8" t="s">
        <v>740</v>
      </c>
      <c r="C172" s="8" t="s">
        <v>221</v>
      </c>
      <c r="D172" s="8" t="s">
        <v>741</v>
      </c>
      <c r="E172" s="8" t="s">
        <v>742</v>
      </c>
      <c r="F172" s="8" t="s">
        <v>743</v>
      </c>
      <c r="G172" s="8" t="s">
        <v>743</v>
      </c>
      <c r="H172" s="8">
        <v>7137.59</v>
      </c>
      <c r="I172" s="8">
        <v>3970.59</v>
      </c>
      <c r="J172" s="8">
        <v>4480.6000000000004</v>
      </c>
      <c r="K172" s="8">
        <v>8866.07</v>
      </c>
      <c r="L172" s="8">
        <v>14339.8</v>
      </c>
      <c r="M172" s="8">
        <v>16723.099999999999</v>
      </c>
      <c r="N172" s="8">
        <v>15245</v>
      </c>
    </row>
    <row r="173" spans="1:14" x14ac:dyDescent="0.3">
      <c r="A173" s="8" t="s">
        <v>739</v>
      </c>
      <c r="B173" s="8" t="s">
        <v>740</v>
      </c>
      <c r="C173" s="8" t="s">
        <v>669</v>
      </c>
      <c r="D173" s="8" t="s">
        <v>741</v>
      </c>
      <c r="E173" s="8" t="s">
        <v>742</v>
      </c>
      <c r="F173" s="8" t="s">
        <v>743</v>
      </c>
      <c r="G173" s="8" t="s">
        <v>743</v>
      </c>
      <c r="H173" s="8" t="s">
        <v>743</v>
      </c>
      <c r="I173" s="8" t="s">
        <v>743</v>
      </c>
      <c r="J173" s="8">
        <v>2315.6999999999998</v>
      </c>
      <c r="K173" s="8">
        <v>2302.4699999999998</v>
      </c>
      <c r="L173" s="8">
        <v>2907.31</v>
      </c>
      <c r="M173" s="8">
        <v>3227.89</v>
      </c>
      <c r="N173" s="8">
        <v>2813.34</v>
      </c>
    </row>
    <row r="174" spans="1:14" x14ac:dyDescent="0.3">
      <c r="A174" s="8" t="s">
        <v>739</v>
      </c>
      <c r="B174" s="8" t="s">
        <v>740</v>
      </c>
      <c r="C174" s="8" t="s">
        <v>673</v>
      </c>
      <c r="D174" s="8" t="s">
        <v>741</v>
      </c>
      <c r="E174" s="8" t="s">
        <v>742</v>
      </c>
      <c r="F174" s="8">
        <v>1758.81</v>
      </c>
      <c r="G174" s="8">
        <v>3629.42</v>
      </c>
      <c r="H174" s="8">
        <v>4027.61</v>
      </c>
      <c r="I174" s="8">
        <v>4460.13</v>
      </c>
      <c r="J174" s="8">
        <v>4693.22</v>
      </c>
      <c r="K174" s="8">
        <v>4721.8900000000003</v>
      </c>
      <c r="L174" s="8">
        <v>4436.12</v>
      </c>
      <c r="M174" s="8">
        <v>5003.37</v>
      </c>
      <c r="N174" s="8">
        <v>5654.89</v>
      </c>
    </row>
    <row r="175" spans="1:14" x14ac:dyDescent="0.3">
      <c r="A175" s="8" t="s">
        <v>739</v>
      </c>
      <c r="B175" s="8" t="s">
        <v>740</v>
      </c>
      <c r="C175" s="8" t="s">
        <v>222</v>
      </c>
      <c r="D175" s="8" t="s">
        <v>741</v>
      </c>
      <c r="E175" s="8" t="s">
        <v>742</v>
      </c>
      <c r="F175" s="8">
        <v>14377.4</v>
      </c>
      <c r="G175" s="8">
        <v>11892.2</v>
      </c>
      <c r="H175" s="8">
        <v>10058.1</v>
      </c>
      <c r="I175" s="8">
        <v>11808.5</v>
      </c>
      <c r="J175" s="8">
        <v>16673.900000000001</v>
      </c>
      <c r="K175" s="8">
        <v>23333.3</v>
      </c>
      <c r="L175" s="8">
        <v>27424.3</v>
      </c>
      <c r="M175" s="8">
        <v>29713.599999999999</v>
      </c>
      <c r="N175" s="8">
        <v>22883.5</v>
      </c>
    </row>
    <row r="176" spans="1:14" x14ac:dyDescent="0.3">
      <c r="A176" s="8" t="s">
        <v>739</v>
      </c>
      <c r="B176" s="8" t="s">
        <v>740</v>
      </c>
      <c r="C176" s="8" t="s">
        <v>223</v>
      </c>
      <c r="D176" s="8" t="s">
        <v>741</v>
      </c>
      <c r="E176" s="8" t="s">
        <v>742</v>
      </c>
      <c r="F176" s="8">
        <v>5105.1899999999996</v>
      </c>
      <c r="G176" s="8">
        <v>5516.6</v>
      </c>
      <c r="H176" s="8">
        <v>5767.02</v>
      </c>
      <c r="I176" s="8">
        <v>6330.76</v>
      </c>
      <c r="J176" s="8">
        <v>7818.41</v>
      </c>
      <c r="K176" s="8">
        <v>9135.33</v>
      </c>
      <c r="L176" s="8">
        <v>10842.6</v>
      </c>
      <c r="M176" s="8">
        <v>11044.4</v>
      </c>
      <c r="N176" s="8">
        <v>10286.799999999999</v>
      </c>
    </row>
    <row r="177" spans="1:14" x14ac:dyDescent="0.3">
      <c r="A177" s="8" t="s">
        <v>739</v>
      </c>
      <c r="B177" s="8" t="s">
        <v>740</v>
      </c>
      <c r="C177" s="8" t="s">
        <v>731</v>
      </c>
      <c r="D177" s="8" t="s">
        <v>741</v>
      </c>
      <c r="E177" s="8" t="s">
        <v>742</v>
      </c>
      <c r="F177" s="8">
        <v>9266.6</v>
      </c>
      <c r="G177" s="8">
        <v>10534.4</v>
      </c>
      <c r="H177" s="8">
        <v>12497.1</v>
      </c>
      <c r="I177" s="8">
        <v>13407.3</v>
      </c>
      <c r="J177" s="8">
        <v>15097.3</v>
      </c>
      <c r="K177" s="8">
        <v>17889.5</v>
      </c>
      <c r="L177" s="8">
        <v>19626.2</v>
      </c>
      <c r="M177" s="8">
        <v>25382.7</v>
      </c>
      <c r="N177" s="8">
        <v>28343.200000000001</v>
      </c>
    </row>
    <row r="178" spans="1:14" x14ac:dyDescent="0.3">
      <c r="A178" s="8" t="s">
        <v>739</v>
      </c>
      <c r="B178" s="8" t="s">
        <v>740</v>
      </c>
      <c r="C178" s="8" t="s">
        <v>753</v>
      </c>
      <c r="D178" s="8" t="s">
        <v>741</v>
      </c>
      <c r="E178" s="8" t="s">
        <v>742</v>
      </c>
      <c r="F178" s="8">
        <v>8170.01</v>
      </c>
      <c r="G178" s="8">
        <v>10697.9</v>
      </c>
      <c r="H178" s="8">
        <v>15802.3</v>
      </c>
      <c r="I178" s="8">
        <v>21763.5</v>
      </c>
      <c r="J178" s="8">
        <v>28012</v>
      </c>
      <c r="K178" s="8">
        <v>33320</v>
      </c>
      <c r="L178" s="8">
        <v>40660.5</v>
      </c>
      <c r="M178" s="8">
        <v>46066.7</v>
      </c>
      <c r="N178" s="8">
        <v>52607.199999999997</v>
      </c>
    </row>
    <row r="179" spans="1:14" x14ac:dyDescent="0.3">
      <c r="A179" s="8" t="s">
        <v>739</v>
      </c>
      <c r="B179" s="8" t="s">
        <v>740</v>
      </c>
      <c r="C179" s="8" t="s">
        <v>226</v>
      </c>
      <c r="D179" s="8" t="s">
        <v>741</v>
      </c>
      <c r="E179" s="8" t="s">
        <v>742</v>
      </c>
      <c r="F179" s="8">
        <v>1187.8499999999999</v>
      </c>
      <c r="G179" s="8">
        <v>1137.25</v>
      </c>
      <c r="H179" s="8">
        <v>1282.6199999999999</v>
      </c>
      <c r="I179" s="8">
        <v>1202.2</v>
      </c>
      <c r="J179" s="8">
        <v>1316.36</v>
      </c>
      <c r="K179" s="8">
        <v>1616.91</v>
      </c>
      <c r="L179" s="8">
        <v>1898.8</v>
      </c>
      <c r="M179" s="8">
        <v>2237.75</v>
      </c>
      <c r="N179" s="8">
        <v>2647.95</v>
      </c>
    </row>
    <row r="180" spans="1:14" x14ac:dyDescent="0.3">
      <c r="A180" s="8" t="s">
        <v>739</v>
      </c>
      <c r="B180" s="8" t="s">
        <v>740</v>
      </c>
      <c r="C180" s="8" t="s">
        <v>685</v>
      </c>
      <c r="D180" s="8" t="s">
        <v>741</v>
      </c>
      <c r="E180" s="8" t="s">
        <v>742</v>
      </c>
      <c r="F180" s="8">
        <v>882.51800000000003</v>
      </c>
      <c r="G180" s="8">
        <v>864.65599999999995</v>
      </c>
      <c r="H180" s="8">
        <v>952.57899999999995</v>
      </c>
      <c r="I180" s="8">
        <v>1094.6600000000001</v>
      </c>
      <c r="J180" s="8">
        <v>1250.96</v>
      </c>
      <c r="K180" s="8">
        <v>1546.98</v>
      </c>
      <c r="L180" s="8">
        <v>1983.53</v>
      </c>
      <c r="M180" s="8">
        <v>2238.9699999999998</v>
      </c>
      <c r="N180" s="8">
        <v>2306.9299999999998</v>
      </c>
    </row>
    <row r="181" spans="1:14" x14ac:dyDescent="0.3">
      <c r="A181" s="8" t="s">
        <v>739</v>
      </c>
      <c r="B181" s="8" t="s">
        <v>740</v>
      </c>
      <c r="C181" s="8" t="s">
        <v>228</v>
      </c>
      <c r="D181" s="8" t="s">
        <v>741</v>
      </c>
      <c r="E181" s="8" t="s">
        <v>742</v>
      </c>
      <c r="F181" s="8" t="s">
        <v>743</v>
      </c>
      <c r="G181" s="8" t="s">
        <v>743</v>
      </c>
      <c r="H181" s="8">
        <v>16524.5</v>
      </c>
      <c r="I181" s="8">
        <v>7681.9</v>
      </c>
      <c r="J181" s="8">
        <v>7263.44</v>
      </c>
      <c r="K181" s="8">
        <v>10943.4</v>
      </c>
      <c r="L181" s="8">
        <v>11817.8</v>
      </c>
      <c r="M181" s="8">
        <v>10691.7</v>
      </c>
      <c r="N181" s="8">
        <v>11754.5</v>
      </c>
    </row>
    <row r="182" spans="1:14" x14ac:dyDescent="0.3">
      <c r="A182" s="8" t="s">
        <v>739</v>
      </c>
      <c r="B182" s="8" t="s">
        <v>740</v>
      </c>
      <c r="C182" s="8" t="s">
        <v>230</v>
      </c>
      <c r="D182" s="8" t="s">
        <v>741</v>
      </c>
      <c r="E182" s="8" t="s">
        <v>742</v>
      </c>
      <c r="F182" s="8">
        <v>12156.2</v>
      </c>
      <c r="G182" s="8">
        <v>10200.6</v>
      </c>
      <c r="H182" s="8">
        <v>11483</v>
      </c>
      <c r="I182" s="8">
        <v>13531.7</v>
      </c>
      <c r="J182" s="8">
        <v>14763</v>
      </c>
      <c r="K182" s="8">
        <v>14784</v>
      </c>
      <c r="L182" s="8">
        <v>19542.5</v>
      </c>
      <c r="M182" s="8">
        <v>22731.5</v>
      </c>
      <c r="N182" s="8">
        <v>22078.7</v>
      </c>
    </row>
    <row r="183" spans="1:14" x14ac:dyDescent="0.3">
      <c r="A183" s="8" t="s">
        <v>739</v>
      </c>
      <c r="B183" s="8" t="s">
        <v>740</v>
      </c>
      <c r="C183" s="8" t="s">
        <v>231</v>
      </c>
      <c r="D183" s="8" t="s">
        <v>741</v>
      </c>
      <c r="E183" s="8" t="s">
        <v>742</v>
      </c>
      <c r="F183" s="8">
        <v>32523.1</v>
      </c>
      <c r="G183" s="8">
        <v>36304.5</v>
      </c>
      <c r="H183" s="8">
        <v>40530.6</v>
      </c>
      <c r="I183" s="8">
        <v>42960.2</v>
      </c>
      <c r="J183" s="8">
        <v>48574.9</v>
      </c>
      <c r="K183" s="8">
        <v>52413.599999999999</v>
      </c>
      <c r="L183" s="8">
        <v>52505.599999999999</v>
      </c>
      <c r="M183" s="8">
        <v>56359.5</v>
      </c>
      <c r="N183" s="8">
        <v>58710.1</v>
      </c>
    </row>
    <row r="184" spans="1:14" x14ac:dyDescent="0.3">
      <c r="A184" s="8" t="s">
        <v>739</v>
      </c>
      <c r="B184" s="8" t="s">
        <v>740</v>
      </c>
      <c r="C184" s="8" t="s">
        <v>233</v>
      </c>
      <c r="D184" s="8" t="s">
        <v>741</v>
      </c>
      <c r="E184" s="8" t="s">
        <v>742</v>
      </c>
      <c r="F184" s="8" t="s">
        <v>743</v>
      </c>
      <c r="G184" s="8" t="s">
        <v>743</v>
      </c>
      <c r="H184" s="8">
        <v>3626.66</v>
      </c>
      <c r="I184" s="8">
        <v>2638.92</v>
      </c>
      <c r="J184" s="8">
        <v>2945.14</v>
      </c>
      <c r="K184" s="8">
        <v>3584.76</v>
      </c>
      <c r="L184" s="8">
        <v>4944.99</v>
      </c>
      <c r="M184" s="8">
        <v>6473.4</v>
      </c>
      <c r="N184" s="8">
        <v>7628.01</v>
      </c>
    </row>
    <row r="185" spans="1:14" x14ac:dyDescent="0.3">
      <c r="A185" s="8" t="s">
        <v>739</v>
      </c>
      <c r="B185" s="8" t="s">
        <v>740</v>
      </c>
      <c r="C185" s="8" t="s">
        <v>730</v>
      </c>
      <c r="D185" s="8" t="s">
        <v>741</v>
      </c>
      <c r="E185" s="8" t="s">
        <v>742</v>
      </c>
      <c r="F185" s="8">
        <v>4401.7</v>
      </c>
      <c r="G185" s="8">
        <v>5153.82</v>
      </c>
      <c r="H185" s="8">
        <v>6600.61</v>
      </c>
      <c r="I185" s="8">
        <v>7788.38</v>
      </c>
      <c r="J185" s="8">
        <v>8890.77</v>
      </c>
      <c r="K185" s="8">
        <v>10838.4</v>
      </c>
      <c r="L185" s="8">
        <v>11585.1</v>
      </c>
      <c r="M185" s="8">
        <v>12724.8</v>
      </c>
      <c r="N185" s="8">
        <v>13685.2</v>
      </c>
    </row>
    <row r="186" spans="1:14" x14ac:dyDescent="0.3">
      <c r="A186" s="8" t="s">
        <v>739</v>
      </c>
      <c r="B186" s="8" t="s">
        <v>740</v>
      </c>
      <c r="C186" s="8" t="s">
        <v>732</v>
      </c>
      <c r="D186" s="8" t="s">
        <v>741</v>
      </c>
      <c r="E186" s="8" t="s">
        <v>742</v>
      </c>
      <c r="F186" s="8" t="s">
        <v>743</v>
      </c>
      <c r="G186" s="8" t="s">
        <v>743</v>
      </c>
      <c r="H186" s="8" t="s">
        <v>743</v>
      </c>
      <c r="I186" s="8" t="s">
        <v>743</v>
      </c>
      <c r="J186" s="8" t="s">
        <v>743</v>
      </c>
      <c r="K186" s="8" t="s">
        <v>743</v>
      </c>
      <c r="L186" s="8" t="s">
        <v>743</v>
      </c>
      <c r="M186" s="8" t="s">
        <v>743</v>
      </c>
      <c r="N186" s="8">
        <v>30862.3</v>
      </c>
    </row>
    <row r="187" spans="1:14" x14ac:dyDescent="0.3">
      <c r="A187" s="8" t="s">
        <v>739</v>
      </c>
      <c r="B187" s="8" t="s">
        <v>740</v>
      </c>
      <c r="C187" s="8" t="s">
        <v>234</v>
      </c>
      <c r="D187" s="8" t="s">
        <v>741</v>
      </c>
      <c r="E187" s="8" t="s">
        <v>742</v>
      </c>
      <c r="F187" s="8">
        <v>1470.02</v>
      </c>
      <c r="G187" s="8">
        <v>1826.34</v>
      </c>
      <c r="H187" s="8">
        <v>2059.38</v>
      </c>
      <c r="I187" s="8">
        <v>2768.57</v>
      </c>
      <c r="J187" s="8">
        <v>3617.12</v>
      </c>
      <c r="K187" s="8">
        <v>4895.3500000000004</v>
      </c>
      <c r="L187" s="8">
        <v>6324.53</v>
      </c>
      <c r="M187" s="8">
        <v>8091.09</v>
      </c>
      <c r="N187" s="8">
        <v>10499.2</v>
      </c>
    </row>
    <row r="188" spans="1:14" x14ac:dyDescent="0.3">
      <c r="A188" s="8" t="s">
        <v>739</v>
      </c>
      <c r="B188" s="8" t="s">
        <v>740</v>
      </c>
      <c r="C188" s="8" t="s">
        <v>702</v>
      </c>
      <c r="D188" s="8" t="s">
        <v>741</v>
      </c>
      <c r="E188" s="8" t="s">
        <v>742</v>
      </c>
      <c r="F188" s="8">
        <v>2342.0100000000002</v>
      </c>
      <c r="G188" s="8">
        <v>2522.61</v>
      </c>
      <c r="H188" s="8">
        <v>2405.8000000000002</v>
      </c>
      <c r="I188" s="8">
        <v>2498.6799999999998</v>
      </c>
      <c r="J188" s="8">
        <v>2562.06</v>
      </c>
      <c r="K188" s="8">
        <v>2364.8000000000002</v>
      </c>
      <c r="L188" s="8">
        <v>2577.8200000000002</v>
      </c>
      <c r="M188" s="8">
        <v>2479.79</v>
      </c>
      <c r="N188" s="8">
        <v>2500.58</v>
      </c>
    </row>
    <row r="189" spans="1:14" x14ac:dyDescent="0.3">
      <c r="A189" s="8" t="s">
        <v>739</v>
      </c>
      <c r="B189" s="8" t="s">
        <v>740</v>
      </c>
      <c r="C189" s="8" t="s">
        <v>706</v>
      </c>
      <c r="D189" s="8" t="s">
        <v>741</v>
      </c>
      <c r="E189" s="8" t="s">
        <v>742</v>
      </c>
      <c r="F189" s="8">
        <v>2508.85</v>
      </c>
      <c r="G189" s="8">
        <v>2349.5500000000002</v>
      </c>
      <c r="H189" s="8">
        <v>2406.66</v>
      </c>
      <c r="I189" s="8">
        <v>2664.7</v>
      </c>
      <c r="J189" s="8">
        <v>2868.01</v>
      </c>
      <c r="K189" s="8">
        <v>3707.01</v>
      </c>
      <c r="L189" s="8">
        <v>3960.21</v>
      </c>
      <c r="M189" s="8">
        <v>4055.03</v>
      </c>
      <c r="N189" s="8">
        <v>5345.82</v>
      </c>
    </row>
    <row r="190" spans="1:14" x14ac:dyDescent="0.3">
      <c r="A190" s="8" t="s">
        <v>739</v>
      </c>
      <c r="B190" s="8" t="s">
        <v>740</v>
      </c>
      <c r="C190" s="8" t="s">
        <v>734</v>
      </c>
      <c r="D190" s="8" t="s">
        <v>741</v>
      </c>
      <c r="E190" s="8" t="s">
        <v>742</v>
      </c>
      <c r="F190" s="8" t="s">
        <v>743</v>
      </c>
      <c r="G190" s="8" t="s">
        <v>743</v>
      </c>
      <c r="H190" s="8">
        <v>2974.14</v>
      </c>
      <c r="I190" s="8">
        <v>3332.37</v>
      </c>
      <c r="J190" s="8">
        <v>3704.99</v>
      </c>
      <c r="K190" s="8">
        <v>3978.04</v>
      </c>
      <c r="L190" s="8">
        <v>4237.1899999999996</v>
      </c>
      <c r="M190" s="8">
        <v>2475.5100000000002</v>
      </c>
      <c r="N190" s="8">
        <v>1790.38</v>
      </c>
    </row>
    <row r="191" spans="1:14" x14ac:dyDescent="0.3">
      <c r="A191" s="8" t="s">
        <v>739</v>
      </c>
      <c r="B191" s="8" t="s">
        <v>740</v>
      </c>
      <c r="C191" s="8" t="s">
        <v>236</v>
      </c>
      <c r="D191" s="8" t="s">
        <v>741</v>
      </c>
      <c r="E191" s="8" t="s">
        <v>742</v>
      </c>
      <c r="F191" s="8">
        <v>12107.4</v>
      </c>
      <c r="G191" s="8">
        <v>11304.3</v>
      </c>
      <c r="H191" s="8">
        <v>10392</v>
      </c>
      <c r="I191" s="8">
        <v>9829.85</v>
      </c>
      <c r="J191" s="8">
        <v>10365.700000000001</v>
      </c>
      <c r="K191" s="8">
        <v>11947.3</v>
      </c>
      <c r="L191" s="8">
        <v>13173.1</v>
      </c>
      <c r="M191" s="8">
        <v>13581.7</v>
      </c>
      <c r="N191" s="8">
        <v>12655.8</v>
      </c>
    </row>
    <row r="192" spans="1:14" x14ac:dyDescent="0.3">
      <c r="A192" s="8" t="s">
        <v>739</v>
      </c>
      <c r="B192" s="8" t="s">
        <v>740</v>
      </c>
      <c r="C192" s="8" t="s">
        <v>238</v>
      </c>
      <c r="D192" s="8" t="s">
        <v>741</v>
      </c>
      <c r="E192" s="8" t="s">
        <v>742</v>
      </c>
      <c r="F192" s="8">
        <v>3053.64</v>
      </c>
      <c r="G192" s="8">
        <v>2660.23</v>
      </c>
      <c r="H192" s="8">
        <v>2499.96</v>
      </c>
      <c r="I192" s="8">
        <v>1999.36</v>
      </c>
      <c r="J192" s="8">
        <v>2096.4899999999998</v>
      </c>
      <c r="K192" s="8">
        <v>2422.44</v>
      </c>
      <c r="L192" s="8">
        <v>3083.35</v>
      </c>
      <c r="M192" s="8">
        <v>3365.37</v>
      </c>
      <c r="N192" s="8">
        <v>3230.2</v>
      </c>
    </row>
    <row r="193" spans="1:14" x14ac:dyDescent="0.3">
      <c r="A193" s="8" t="s">
        <v>739</v>
      </c>
      <c r="B193" s="8" t="s">
        <v>740</v>
      </c>
      <c r="C193" s="8" t="s">
        <v>239</v>
      </c>
      <c r="D193" s="8" t="s">
        <v>741</v>
      </c>
      <c r="E193" s="8" t="s">
        <v>742</v>
      </c>
      <c r="F193" s="8" t="s">
        <v>743</v>
      </c>
      <c r="G193" s="8" t="s">
        <v>743</v>
      </c>
      <c r="H193" s="8">
        <v>2704.76</v>
      </c>
      <c r="I193" s="8">
        <v>2641.38</v>
      </c>
      <c r="J193" s="8">
        <v>2807.62</v>
      </c>
      <c r="K193" s="8">
        <v>1815.52</v>
      </c>
      <c r="L193" s="8">
        <v>1732.06</v>
      </c>
      <c r="M193" s="8">
        <v>2224.75</v>
      </c>
      <c r="N193" s="8">
        <v>1952.3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703F-37E4-4352-822B-B00B57466DD6}">
  <dimension ref="A1:BQ270"/>
  <sheetViews>
    <sheetView workbookViewId="0">
      <pane xSplit="1" ySplit="4" topLeftCell="B186" activePane="bottomRight" state="frozen"/>
      <selection pane="topRight" activeCell="B1" sqref="B1"/>
      <selection pane="bottomLeft" activeCell="A5" sqref="A5"/>
      <selection pane="bottomRight" activeCell="C186" sqref="C186"/>
    </sheetView>
  </sheetViews>
  <sheetFormatPr defaultRowHeight="14.4" x14ac:dyDescent="0.3"/>
  <cols>
    <col min="1" max="1" width="60.21875" bestFit="1" customWidth="1"/>
    <col min="2" max="2" width="25.6640625" bestFit="1" customWidth="1"/>
    <col min="3" max="3" width="31.21875" bestFit="1" customWidth="1"/>
    <col min="4" max="4" width="13.5546875" bestFit="1" customWidth="1"/>
    <col min="5" max="34" width="5" bestFit="1" customWidth="1"/>
    <col min="35" max="68" width="11.44140625" bestFit="1" customWidth="1"/>
    <col min="69" max="69" width="5" bestFit="1" customWidth="1"/>
    <col min="257" max="257" width="60.21875" bestFit="1" customWidth="1"/>
    <col min="258" max="258" width="25.6640625" bestFit="1" customWidth="1"/>
    <col min="259" max="259" width="31.21875" bestFit="1" customWidth="1"/>
    <col min="260" max="260" width="13.5546875" bestFit="1" customWidth="1"/>
    <col min="261" max="290" width="5" bestFit="1" customWidth="1"/>
    <col min="291" max="324" width="11.44140625" bestFit="1" customWidth="1"/>
    <col min="325" max="325" width="5" bestFit="1" customWidth="1"/>
    <col min="513" max="513" width="60.21875" bestFit="1" customWidth="1"/>
    <col min="514" max="514" width="25.6640625" bestFit="1" customWidth="1"/>
    <col min="515" max="515" width="31.21875" bestFit="1" customWidth="1"/>
    <col min="516" max="516" width="13.5546875" bestFit="1" customWidth="1"/>
    <col min="517" max="546" width="5" bestFit="1" customWidth="1"/>
    <col min="547" max="580" width="11.44140625" bestFit="1" customWidth="1"/>
    <col min="581" max="581" width="5" bestFit="1" customWidth="1"/>
    <col min="769" max="769" width="60.21875" bestFit="1" customWidth="1"/>
    <col min="770" max="770" width="25.6640625" bestFit="1" customWidth="1"/>
    <col min="771" max="771" width="31.21875" bestFit="1" customWidth="1"/>
    <col min="772" max="772" width="13.5546875" bestFit="1" customWidth="1"/>
    <col min="773" max="802" width="5" bestFit="1" customWidth="1"/>
    <col min="803" max="836" width="11.44140625" bestFit="1" customWidth="1"/>
    <col min="837" max="837" width="5" bestFit="1" customWidth="1"/>
    <col min="1025" max="1025" width="60.21875" bestFit="1" customWidth="1"/>
    <col min="1026" max="1026" width="25.6640625" bestFit="1" customWidth="1"/>
    <col min="1027" max="1027" width="31.21875" bestFit="1" customWidth="1"/>
    <col min="1028" max="1028" width="13.5546875" bestFit="1" customWidth="1"/>
    <col min="1029" max="1058" width="5" bestFit="1" customWidth="1"/>
    <col min="1059" max="1092" width="11.44140625" bestFit="1" customWidth="1"/>
    <col min="1093" max="1093" width="5" bestFit="1" customWidth="1"/>
    <col min="1281" max="1281" width="60.21875" bestFit="1" customWidth="1"/>
    <col min="1282" max="1282" width="25.6640625" bestFit="1" customWidth="1"/>
    <col min="1283" max="1283" width="31.21875" bestFit="1" customWidth="1"/>
    <col min="1284" max="1284" width="13.5546875" bestFit="1" customWidth="1"/>
    <col min="1285" max="1314" width="5" bestFit="1" customWidth="1"/>
    <col min="1315" max="1348" width="11.44140625" bestFit="1" customWidth="1"/>
    <col min="1349" max="1349" width="5" bestFit="1" customWidth="1"/>
    <col min="1537" max="1537" width="60.21875" bestFit="1" customWidth="1"/>
    <col min="1538" max="1538" width="25.6640625" bestFit="1" customWidth="1"/>
    <col min="1539" max="1539" width="31.21875" bestFit="1" customWidth="1"/>
    <col min="1540" max="1540" width="13.5546875" bestFit="1" customWidth="1"/>
    <col min="1541" max="1570" width="5" bestFit="1" customWidth="1"/>
    <col min="1571" max="1604" width="11.44140625" bestFit="1" customWidth="1"/>
    <col min="1605" max="1605" width="5" bestFit="1" customWidth="1"/>
    <col min="1793" max="1793" width="60.21875" bestFit="1" customWidth="1"/>
    <col min="1794" max="1794" width="25.6640625" bestFit="1" customWidth="1"/>
    <col min="1795" max="1795" width="31.21875" bestFit="1" customWidth="1"/>
    <col min="1796" max="1796" width="13.5546875" bestFit="1" customWidth="1"/>
    <col min="1797" max="1826" width="5" bestFit="1" customWidth="1"/>
    <col min="1827" max="1860" width="11.44140625" bestFit="1" customWidth="1"/>
    <col min="1861" max="1861" width="5" bestFit="1" customWidth="1"/>
    <col min="2049" max="2049" width="60.21875" bestFit="1" customWidth="1"/>
    <col min="2050" max="2050" width="25.6640625" bestFit="1" customWidth="1"/>
    <col min="2051" max="2051" width="31.21875" bestFit="1" customWidth="1"/>
    <col min="2052" max="2052" width="13.5546875" bestFit="1" customWidth="1"/>
    <col min="2053" max="2082" width="5" bestFit="1" customWidth="1"/>
    <col min="2083" max="2116" width="11.44140625" bestFit="1" customWidth="1"/>
    <col min="2117" max="2117" width="5" bestFit="1" customWidth="1"/>
    <col min="2305" max="2305" width="60.21875" bestFit="1" customWidth="1"/>
    <col min="2306" max="2306" width="25.6640625" bestFit="1" customWidth="1"/>
    <col min="2307" max="2307" width="31.21875" bestFit="1" customWidth="1"/>
    <col min="2308" max="2308" width="13.5546875" bestFit="1" customWidth="1"/>
    <col min="2309" max="2338" width="5" bestFit="1" customWidth="1"/>
    <col min="2339" max="2372" width="11.44140625" bestFit="1" customWidth="1"/>
    <col min="2373" max="2373" width="5" bestFit="1" customWidth="1"/>
    <col min="2561" max="2561" width="60.21875" bestFit="1" customWidth="1"/>
    <col min="2562" max="2562" width="25.6640625" bestFit="1" customWidth="1"/>
    <col min="2563" max="2563" width="31.21875" bestFit="1" customWidth="1"/>
    <col min="2564" max="2564" width="13.5546875" bestFit="1" customWidth="1"/>
    <col min="2565" max="2594" width="5" bestFit="1" customWidth="1"/>
    <col min="2595" max="2628" width="11.44140625" bestFit="1" customWidth="1"/>
    <col min="2629" max="2629" width="5" bestFit="1" customWidth="1"/>
    <col min="2817" max="2817" width="60.21875" bestFit="1" customWidth="1"/>
    <col min="2818" max="2818" width="25.6640625" bestFit="1" customWidth="1"/>
    <col min="2819" max="2819" width="31.21875" bestFit="1" customWidth="1"/>
    <col min="2820" max="2820" width="13.5546875" bestFit="1" customWidth="1"/>
    <col min="2821" max="2850" width="5" bestFit="1" customWidth="1"/>
    <col min="2851" max="2884" width="11.44140625" bestFit="1" customWidth="1"/>
    <col min="2885" max="2885" width="5" bestFit="1" customWidth="1"/>
    <col min="3073" max="3073" width="60.21875" bestFit="1" customWidth="1"/>
    <col min="3074" max="3074" width="25.6640625" bestFit="1" customWidth="1"/>
    <col min="3075" max="3075" width="31.21875" bestFit="1" customWidth="1"/>
    <col min="3076" max="3076" width="13.5546875" bestFit="1" customWidth="1"/>
    <col min="3077" max="3106" width="5" bestFit="1" customWidth="1"/>
    <col min="3107" max="3140" width="11.44140625" bestFit="1" customWidth="1"/>
    <col min="3141" max="3141" width="5" bestFit="1" customWidth="1"/>
    <col min="3329" max="3329" width="60.21875" bestFit="1" customWidth="1"/>
    <col min="3330" max="3330" width="25.6640625" bestFit="1" customWidth="1"/>
    <col min="3331" max="3331" width="31.21875" bestFit="1" customWidth="1"/>
    <col min="3332" max="3332" width="13.5546875" bestFit="1" customWidth="1"/>
    <col min="3333" max="3362" width="5" bestFit="1" customWidth="1"/>
    <col min="3363" max="3396" width="11.44140625" bestFit="1" customWidth="1"/>
    <col min="3397" max="3397" width="5" bestFit="1" customWidth="1"/>
    <col min="3585" max="3585" width="60.21875" bestFit="1" customWidth="1"/>
    <col min="3586" max="3586" width="25.6640625" bestFit="1" customWidth="1"/>
    <col min="3587" max="3587" width="31.21875" bestFit="1" customWidth="1"/>
    <col min="3588" max="3588" width="13.5546875" bestFit="1" customWidth="1"/>
    <col min="3589" max="3618" width="5" bestFit="1" customWidth="1"/>
    <col min="3619" max="3652" width="11.44140625" bestFit="1" customWidth="1"/>
    <col min="3653" max="3653" width="5" bestFit="1" customWidth="1"/>
    <col min="3841" max="3841" width="60.21875" bestFit="1" customWidth="1"/>
    <col min="3842" max="3842" width="25.6640625" bestFit="1" customWidth="1"/>
    <col min="3843" max="3843" width="31.21875" bestFit="1" customWidth="1"/>
    <col min="3844" max="3844" width="13.5546875" bestFit="1" customWidth="1"/>
    <col min="3845" max="3874" width="5" bestFit="1" customWidth="1"/>
    <col min="3875" max="3908" width="11.44140625" bestFit="1" customWidth="1"/>
    <col min="3909" max="3909" width="5" bestFit="1" customWidth="1"/>
    <col min="4097" max="4097" width="60.21875" bestFit="1" customWidth="1"/>
    <col min="4098" max="4098" width="25.6640625" bestFit="1" customWidth="1"/>
    <col min="4099" max="4099" width="31.21875" bestFit="1" customWidth="1"/>
    <col min="4100" max="4100" width="13.5546875" bestFit="1" customWidth="1"/>
    <col min="4101" max="4130" width="5" bestFit="1" customWidth="1"/>
    <col min="4131" max="4164" width="11.44140625" bestFit="1" customWidth="1"/>
    <col min="4165" max="4165" width="5" bestFit="1" customWidth="1"/>
    <col min="4353" max="4353" width="60.21875" bestFit="1" customWidth="1"/>
    <col min="4354" max="4354" width="25.6640625" bestFit="1" customWidth="1"/>
    <col min="4355" max="4355" width="31.21875" bestFit="1" customWidth="1"/>
    <col min="4356" max="4356" width="13.5546875" bestFit="1" customWidth="1"/>
    <col min="4357" max="4386" width="5" bestFit="1" customWidth="1"/>
    <col min="4387" max="4420" width="11.44140625" bestFit="1" customWidth="1"/>
    <col min="4421" max="4421" width="5" bestFit="1" customWidth="1"/>
    <col min="4609" max="4609" width="60.21875" bestFit="1" customWidth="1"/>
    <col min="4610" max="4610" width="25.6640625" bestFit="1" customWidth="1"/>
    <col min="4611" max="4611" width="31.21875" bestFit="1" customWidth="1"/>
    <col min="4612" max="4612" width="13.5546875" bestFit="1" customWidth="1"/>
    <col min="4613" max="4642" width="5" bestFit="1" customWidth="1"/>
    <col min="4643" max="4676" width="11.44140625" bestFit="1" customWidth="1"/>
    <col min="4677" max="4677" width="5" bestFit="1" customWidth="1"/>
    <col min="4865" max="4865" width="60.21875" bestFit="1" customWidth="1"/>
    <col min="4866" max="4866" width="25.6640625" bestFit="1" customWidth="1"/>
    <col min="4867" max="4867" width="31.21875" bestFit="1" customWidth="1"/>
    <col min="4868" max="4868" width="13.5546875" bestFit="1" customWidth="1"/>
    <col min="4869" max="4898" width="5" bestFit="1" customWidth="1"/>
    <col min="4899" max="4932" width="11.44140625" bestFit="1" customWidth="1"/>
    <col min="4933" max="4933" width="5" bestFit="1" customWidth="1"/>
    <col min="5121" max="5121" width="60.21875" bestFit="1" customWidth="1"/>
    <col min="5122" max="5122" width="25.6640625" bestFit="1" customWidth="1"/>
    <col min="5123" max="5123" width="31.21875" bestFit="1" customWidth="1"/>
    <col min="5124" max="5124" width="13.5546875" bestFit="1" customWidth="1"/>
    <col min="5125" max="5154" width="5" bestFit="1" customWidth="1"/>
    <col min="5155" max="5188" width="11.44140625" bestFit="1" customWidth="1"/>
    <col min="5189" max="5189" width="5" bestFit="1" customWidth="1"/>
    <col min="5377" max="5377" width="60.21875" bestFit="1" customWidth="1"/>
    <col min="5378" max="5378" width="25.6640625" bestFit="1" customWidth="1"/>
    <col min="5379" max="5379" width="31.21875" bestFit="1" customWidth="1"/>
    <col min="5380" max="5380" width="13.5546875" bestFit="1" customWidth="1"/>
    <col min="5381" max="5410" width="5" bestFit="1" customWidth="1"/>
    <col min="5411" max="5444" width="11.44140625" bestFit="1" customWidth="1"/>
    <col min="5445" max="5445" width="5" bestFit="1" customWidth="1"/>
    <col min="5633" max="5633" width="60.21875" bestFit="1" customWidth="1"/>
    <col min="5634" max="5634" width="25.6640625" bestFit="1" customWidth="1"/>
    <col min="5635" max="5635" width="31.21875" bestFit="1" customWidth="1"/>
    <col min="5636" max="5636" width="13.5546875" bestFit="1" customWidth="1"/>
    <col min="5637" max="5666" width="5" bestFit="1" customWidth="1"/>
    <col min="5667" max="5700" width="11.44140625" bestFit="1" customWidth="1"/>
    <col min="5701" max="5701" width="5" bestFit="1" customWidth="1"/>
    <col min="5889" max="5889" width="60.21875" bestFit="1" customWidth="1"/>
    <col min="5890" max="5890" width="25.6640625" bestFit="1" customWidth="1"/>
    <col min="5891" max="5891" width="31.21875" bestFit="1" customWidth="1"/>
    <col min="5892" max="5892" width="13.5546875" bestFit="1" customWidth="1"/>
    <col min="5893" max="5922" width="5" bestFit="1" customWidth="1"/>
    <col min="5923" max="5956" width="11.44140625" bestFit="1" customWidth="1"/>
    <col min="5957" max="5957" width="5" bestFit="1" customWidth="1"/>
    <col min="6145" max="6145" width="60.21875" bestFit="1" customWidth="1"/>
    <col min="6146" max="6146" width="25.6640625" bestFit="1" customWidth="1"/>
    <col min="6147" max="6147" width="31.21875" bestFit="1" customWidth="1"/>
    <col min="6148" max="6148" width="13.5546875" bestFit="1" customWidth="1"/>
    <col min="6149" max="6178" width="5" bestFit="1" customWidth="1"/>
    <col min="6179" max="6212" width="11.44140625" bestFit="1" customWidth="1"/>
    <col min="6213" max="6213" width="5" bestFit="1" customWidth="1"/>
    <col min="6401" max="6401" width="60.21875" bestFit="1" customWidth="1"/>
    <col min="6402" max="6402" width="25.6640625" bestFit="1" customWidth="1"/>
    <col min="6403" max="6403" width="31.21875" bestFit="1" customWidth="1"/>
    <col min="6404" max="6404" width="13.5546875" bestFit="1" customWidth="1"/>
    <col min="6405" max="6434" width="5" bestFit="1" customWidth="1"/>
    <col min="6435" max="6468" width="11.44140625" bestFit="1" customWidth="1"/>
    <col min="6469" max="6469" width="5" bestFit="1" customWidth="1"/>
    <col min="6657" max="6657" width="60.21875" bestFit="1" customWidth="1"/>
    <col min="6658" max="6658" width="25.6640625" bestFit="1" customWidth="1"/>
    <col min="6659" max="6659" width="31.21875" bestFit="1" customWidth="1"/>
    <col min="6660" max="6660" width="13.5546875" bestFit="1" customWidth="1"/>
    <col min="6661" max="6690" width="5" bestFit="1" customWidth="1"/>
    <col min="6691" max="6724" width="11.44140625" bestFit="1" customWidth="1"/>
    <col min="6725" max="6725" width="5" bestFit="1" customWidth="1"/>
    <col min="6913" max="6913" width="60.21875" bestFit="1" customWidth="1"/>
    <col min="6914" max="6914" width="25.6640625" bestFit="1" customWidth="1"/>
    <col min="6915" max="6915" width="31.21875" bestFit="1" customWidth="1"/>
    <col min="6916" max="6916" width="13.5546875" bestFit="1" customWidth="1"/>
    <col min="6917" max="6946" width="5" bestFit="1" customWidth="1"/>
    <col min="6947" max="6980" width="11.44140625" bestFit="1" customWidth="1"/>
    <col min="6981" max="6981" width="5" bestFit="1" customWidth="1"/>
    <col min="7169" max="7169" width="60.21875" bestFit="1" customWidth="1"/>
    <col min="7170" max="7170" width="25.6640625" bestFit="1" customWidth="1"/>
    <col min="7171" max="7171" width="31.21875" bestFit="1" customWidth="1"/>
    <col min="7172" max="7172" width="13.5546875" bestFit="1" customWidth="1"/>
    <col min="7173" max="7202" width="5" bestFit="1" customWidth="1"/>
    <col min="7203" max="7236" width="11.44140625" bestFit="1" customWidth="1"/>
    <col min="7237" max="7237" width="5" bestFit="1" customWidth="1"/>
    <col min="7425" max="7425" width="60.21875" bestFit="1" customWidth="1"/>
    <col min="7426" max="7426" width="25.6640625" bestFit="1" customWidth="1"/>
    <col min="7427" max="7427" width="31.21875" bestFit="1" customWidth="1"/>
    <col min="7428" max="7428" width="13.5546875" bestFit="1" customWidth="1"/>
    <col min="7429" max="7458" width="5" bestFit="1" customWidth="1"/>
    <col min="7459" max="7492" width="11.44140625" bestFit="1" customWidth="1"/>
    <col min="7493" max="7493" width="5" bestFit="1" customWidth="1"/>
    <col min="7681" max="7681" width="60.21875" bestFit="1" customWidth="1"/>
    <col min="7682" max="7682" width="25.6640625" bestFit="1" customWidth="1"/>
    <col min="7683" max="7683" width="31.21875" bestFit="1" customWidth="1"/>
    <col min="7684" max="7684" width="13.5546875" bestFit="1" customWidth="1"/>
    <col min="7685" max="7714" width="5" bestFit="1" customWidth="1"/>
    <col min="7715" max="7748" width="11.44140625" bestFit="1" customWidth="1"/>
    <col min="7749" max="7749" width="5" bestFit="1" customWidth="1"/>
    <col min="7937" max="7937" width="60.21875" bestFit="1" customWidth="1"/>
    <col min="7938" max="7938" width="25.6640625" bestFit="1" customWidth="1"/>
    <col min="7939" max="7939" width="31.21875" bestFit="1" customWidth="1"/>
    <col min="7940" max="7940" width="13.5546875" bestFit="1" customWidth="1"/>
    <col min="7941" max="7970" width="5" bestFit="1" customWidth="1"/>
    <col min="7971" max="8004" width="11.44140625" bestFit="1" customWidth="1"/>
    <col min="8005" max="8005" width="5" bestFit="1" customWidth="1"/>
    <col min="8193" max="8193" width="60.21875" bestFit="1" customWidth="1"/>
    <col min="8194" max="8194" width="25.6640625" bestFit="1" customWidth="1"/>
    <col min="8195" max="8195" width="31.21875" bestFit="1" customWidth="1"/>
    <col min="8196" max="8196" width="13.5546875" bestFit="1" customWidth="1"/>
    <col min="8197" max="8226" width="5" bestFit="1" customWidth="1"/>
    <col min="8227" max="8260" width="11.44140625" bestFit="1" customWidth="1"/>
    <col min="8261" max="8261" width="5" bestFit="1" customWidth="1"/>
    <col min="8449" max="8449" width="60.21875" bestFit="1" customWidth="1"/>
    <col min="8450" max="8450" width="25.6640625" bestFit="1" customWidth="1"/>
    <col min="8451" max="8451" width="31.21875" bestFit="1" customWidth="1"/>
    <col min="8452" max="8452" width="13.5546875" bestFit="1" customWidth="1"/>
    <col min="8453" max="8482" width="5" bestFit="1" customWidth="1"/>
    <col min="8483" max="8516" width="11.44140625" bestFit="1" customWidth="1"/>
    <col min="8517" max="8517" width="5" bestFit="1" customWidth="1"/>
    <col min="8705" max="8705" width="60.21875" bestFit="1" customWidth="1"/>
    <col min="8706" max="8706" width="25.6640625" bestFit="1" customWidth="1"/>
    <col min="8707" max="8707" width="31.21875" bestFit="1" customWidth="1"/>
    <col min="8708" max="8708" width="13.5546875" bestFit="1" customWidth="1"/>
    <col min="8709" max="8738" width="5" bestFit="1" customWidth="1"/>
    <col min="8739" max="8772" width="11.44140625" bestFit="1" customWidth="1"/>
    <col min="8773" max="8773" width="5" bestFit="1" customWidth="1"/>
    <col min="8961" max="8961" width="60.21875" bestFit="1" customWidth="1"/>
    <col min="8962" max="8962" width="25.6640625" bestFit="1" customWidth="1"/>
    <col min="8963" max="8963" width="31.21875" bestFit="1" customWidth="1"/>
    <col min="8964" max="8964" width="13.5546875" bestFit="1" customWidth="1"/>
    <col min="8965" max="8994" width="5" bestFit="1" customWidth="1"/>
    <col min="8995" max="9028" width="11.44140625" bestFit="1" customWidth="1"/>
    <col min="9029" max="9029" width="5" bestFit="1" customWidth="1"/>
    <col min="9217" max="9217" width="60.21875" bestFit="1" customWidth="1"/>
    <col min="9218" max="9218" width="25.6640625" bestFit="1" customWidth="1"/>
    <col min="9219" max="9219" width="31.21875" bestFit="1" customWidth="1"/>
    <col min="9220" max="9220" width="13.5546875" bestFit="1" customWidth="1"/>
    <col min="9221" max="9250" width="5" bestFit="1" customWidth="1"/>
    <col min="9251" max="9284" width="11.44140625" bestFit="1" customWidth="1"/>
    <col min="9285" max="9285" width="5" bestFit="1" customWidth="1"/>
    <col min="9473" max="9473" width="60.21875" bestFit="1" customWidth="1"/>
    <col min="9474" max="9474" width="25.6640625" bestFit="1" customWidth="1"/>
    <col min="9475" max="9475" width="31.21875" bestFit="1" customWidth="1"/>
    <col min="9476" max="9476" width="13.5546875" bestFit="1" customWidth="1"/>
    <col min="9477" max="9506" width="5" bestFit="1" customWidth="1"/>
    <col min="9507" max="9540" width="11.44140625" bestFit="1" customWidth="1"/>
    <col min="9541" max="9541" width="5" bestFit="1" customWidth="1"/>
    <col min="9729" max="9729" width="60.21875" bestFit="1" customWidth="1"/>
    <col min="9730" max="9730" width="25.6640625" bestFit="1" customWidth="1"/>
    <col min="9731" max="9731" width="31.21875" bestFit="1" customWidth="1"/>
    <col min="9732" max="9732" width="13.5546875" bestFit="1" customWidth="1"/>
    <col min="9733" max="9762" width="5" bestFit="1" customWidth="1"/>
    <col min="9763" max="9796" width="11.44140625" bestFit="1" customWidth="1"/>
    <col min="9797" max="9797" width="5" bestFit="1" customWidth="1"/>
    <col min="9985" max="9985" width="60.21875" bestFit="1" customWidth="1"/>
    <col min="9986" max="9986" width="25.6640625" bestFit="1" customWidth="1"/>
    <col min="9987" max="9987" width="31.21875" bestFit="1" customWidth="1"/>
    <col min="9988" max="9988" width="13.5546875" bestFit="1" customWidth="1"/>
    <col min="9989" max="10018" width="5" bestFit="1" customWidth="1"/>
    <col min="10019" max="10052" width="11.44140625" bestFit="1" customWidth="1"/>
    <col min="10053" max="10053" width="5" bestFit="1" customWidth="1"/>
    <col min="10241" max="10241" width="60.21875" bestFit="1" customWidth="1"/>
    <col min="10242" max="10242" width="25.6640625" bestFit="1" customWidth="1"/>
    <col min="10243" max="10243" width="31.21875" bestFit="1" customWidth="1"/>
    <col min="10244" max="10244" width="13.5546875" bestFit="1" customWidth="1"/>
    <col min="10245" max="10274" width="5" bestFit="1" customWidth="1"/>
    <col min="10275" max="10308" width="11.44140625" bestFit="1" customWidth="1"/>
    <col min="10309" max="10309" width="5" bestFit="1" customWidth="1"/>
    <col min="10497" max="10497" width="60.21875" bestFit="1" customWidth="1"/>
    <col min="10498" max="10498" width="25.6640625" bestFit="1" customWidth="1"/>
    <col min="10499" max="10499" width="31.21875" bestFit="1" customWidth="1"/>
    <col min="10500" max="10500" width="13.5546875" bestFit="1" customWidth="1"/>
    <col min="10501" max="10530" width="5" bestFit="1" customWidth="1"/>
    <col min="10531" max="10564" width="11.44140625" bestFit="1" customWidth="1"/>
    <col min="10565" max="10565" width="5" bestFit="1" customWidth="1"/>
    <col min="10753" max="10753" width="60.21875" bestFit="1" customWidth="1"/>
    <col min="10754" max="10754" width="25.6640625" bestFit="1" customWidth="1"/>
    <col min="10755" max="10755" width="31.21875" bestFit="1" customWidth="1"/>
    <col min="10756" max="10756" width="13.5546875" bestFit="1" customWidth="1"/>
    <col min="10757" max="10786" width="5" bestFit="1" customWidth="1"/>
    <col min="10787" max="10820" width="11.44140625" bestFit="1" customWidth="1"/>
    <col min="10821" max="10821" width="5" bestFit="1" customWidth="1"/>
    <col min="11009" max="11009" width="60.21875" bestFit="1" customWidth="1"/>
    <col min="11010" max="11010" width="25.6640625" bestFit="1" customWidth="1"/>
    <col min="11011" max="11011" width="31.21875" bestFit="1" customWidth="1"/>
    <col min="11012" max="11012" width="13.5546875" bestFit="1" customWidth="1"/>
    <col min="11013" max="11042" width="5" bestFit="1" customWidth="1"/>
    <col min="11043" max="11076" width="11.44140625" bestFit="1" customWidth="1"/>
    <col min="11077" max="11077" width="5" bestFit="1" customWidth="1"/>
    <col min="11265" max="11265" width="60.21875" bestFit="1" customWidth="1"/>
    <col min="11266" max="11266" width="25.6640625" bestFit="1" customWidth="1"/>
    <col min="11267" max="11267" width="31.21875" bestFit="1" customWidth="1"/>
    <col min="11268" max="11268" width="13.5546875" bestFit="1" customWidth="1"/>
    <col min="11269" max="11298" width="5" bestFit="1" customWidth="1"/>
    <col min="11299" max="11332" width="11.44140625" bestFit="1" customWidth="1"/>
    <col min="11333" max="11333" width="5" bestFit="1" customWidth="1"/>
    <col min="11521" max="11521" width="60.21875" bestFit="1" customWidth="1"/>
    <col min="11522" max="11522" width="25.6640625" bestFit="1" customWidth="1"/>
    <col min="11523" max="11523" width="31.21875" bestFit="1" customWidth="1"/>
    <col min="11524" max="11524" width="13.5546875" bestFit="1" customWidth="1"/>
    <col min="11525" max="11554" width="5" bestFit="1" customWidth="1"/>
    <col min="11555" max="11588" width="11.44140625" bestFit="1" customWidth="1"/>
    <col min="11589" max="11589" width="5" bestFit="1" customWidth="1"/>
    <col min="11777" max="11777" width="60.21875" bestFit="1" customWidth="1"/>
    <col min="11778" max="11778" width="25.6640625" bestFit="1" customWidth="1"/>
    <col min="11779" max="11779" width="31.21875" bestFit="1" customWidth="1"/>
    <col min="11780" max="11780" width="13.5546875" bestFit="1" customWidth="1"/>
    <col min="11781" max="11810" width="5" bestFit="1" customWidth="1"/>
    <col min="11811" max="11844" width="11.44140625" bestFit="1" customWidth="1"/>
    <col min="11845" max="11845" width="5" bestFit="1" customWidth="1"/>
    <col min="12033" max="12033" width="60.21875" bestFit="1" customWidth="1"/>
    <col min="12034" max="12034" width="25.6640625" bestFit="1" customWidth="1"/>
    <col min="12035" max="12035" width="31.21875" bestFit="1" customWidth="1"/>
    <col min="12036" max="12036" width="13.5546875" bestFit="1" customWidth="1"/>
    <col min="12037" max="12066" width="5" bestFit="1" customWidth="1"/>
    <col min="12067" max="12100" width="11.44140625" bestFit="1" customWidth="1"/>
    <col min="12101" max="12101" width="5" bestFit="1" customWidth="1"/>
    <col min="12289" max="12289" width="60.21875" bestFit="1" customWidth="1"/>
    <col min="12290" max="12290" width="25.6640625" bestFit="1" customWidth="1"/>
    <col min="12291" max="12291" width="31.21875" bestFit="1" customWidth="1"/>
    <col min="12292" max="12292" width="13.5546875" bestFit="1" customWidth="1"/>
    <col min="12293" max="12322" width="5" bestFit="1" customWidth="1"/>
    <col min="12323" max="12356" width="11.44140625" bestFit="1" customWidth="1"/>
    <col min="12357" max="12357" width="5" bestFit="1" customWidth="1"/>
    <col min="12545" max="12545" width="60.21875" bestFit="1" customWidth="1"/>
    <col min="12546" max="12546" width="25.6640625" bestFit="1" customWidth="1"/>
    <col min="12547" max="12547" width="31.21875" bestFit="1" customWidth="1"/>
    <col min="12548" max="12548" width="13.5546875" bestFit="1" customWidth="1"/>
    <col min="12549" max="12578" width="5" bestFit="1" customWidth="1"/>
    <col min="12579" max="12612" width="11.44140625" bestFit="1" customWidth="1"/>
    <col min="12613" max="12613" width="5" bestFit="1" customWidth="1"/>
    <col min="12801" max="12801" width="60.21875" bestFit="1" customWidth="1"/>
    <col min="12802" max="12802" width="25.6640625" bestFit="1" customWidth="1"/>
    <col min="12803" max="12803" width="31.21875" bestFit="1" customWidth="1"/>
    <col min="12804" max="12804" width="13.5546875" bestFit="1" customWidth="1"/>
    <col min="12805" max="12834" width="5" bestFit="1" customWidth="1"/>
    <col min="12835" max="12868" width="11.44140625" bestFit="1" customWidth="1"/>
    <col min="12869" max="12869" width="5" bestFit="1" customWidth="1"/>
    <col min="13057" max="13057" width="60.21875" bestFit="1" customWidth="1"/>
    <col min="13058" max="13058" width="25.6640625" bestFit="1" customWidth="1"/>
    <col min="13059" max="13059" width="31.21875" bestFit="1" customWidth="1"/>
    <col min="13060" max="13060" width="13.5546875" bestFit="1" customWidth="1"/>
    <col min="13061" max="13090" width="5" bestFit="1" customWidth="1"/>
    <col min="13091" max="13124" width="11.44140625" bestFit="1" customWidth="1"/>
    <col min="13125" max="13125" width="5" bestFit="1" customWidth="1"/>
    <col min="13313" max="13313" width="60.21875" bestFit="1" customWidth="1"/>
    <col min="13314" max="13314" width="25.6640625" bestFit="1" customWidth="1"/>
    <col min="13315" max="13315" width="31.21875" bestFit="1" customWidth="1"/>
    <col min="13316" max="13316" width="13.5546875" bestFit="1" customWidth="1"/>
    <col min="13317" max="13346" width="5" bestFit="1" customWidth="1"/>
    <col min="13347" max="13380" width="11.44140625" bestFit="1" customWidth="1"/>
    <col min="13381" max="13381" width="5" bestFit="1" customWidth="1"/>
    <col min="13569" max="13569" width="60.21875" bestFit="1" customWidth="1"/>
    <col min="13570" max="13570" width="25.6640625" bestFit="1" customWidth="1"/>
    <col min="13571" max="13571" width="31.21875" bestFit="1" customWidth="1"/>
    <col min="13572" max="13572" width="13.5546875" bestFit="1" customWidth="1"/>
    <col min="13573" max="13602" width="5" bestFit="1" customWidth="1"/>
    <col min="13603" max="13636" width="11.44140625" bestFit="1" customWidth="1"/>
    <col min="13637" max="13637" width="5" bestFit="1" customWidth="1"/>
    <col min="13825" max="13825" width="60.21875" bestFit="1" customWidth="1"/>
    <col min="13826" max="13826" width="25.6640625" bestFit="1" customWidth="1"/>
    <col min="13827" max="13827" width="31.21875" bestFit="1" customWidth="1"/>
    <col min="13828" max="13828" width="13.5546875" bestFit="1" customWidth="1"/>
    <col min="13829" max="13858" width="5" bestFit="1" customWidth="1"/>
    <col min="13859" max="13892" width="11.44140625" bestFit="1" customWidth="1"/>
    <col min="13893" max="13893" width="5" bestFit="1" customWidth="1"/>
    <col min="14081" max="14081" width="60.21875" bestFit="1" customWidth="1"/>
    <col min="14082" max="14082" width="25.6640625" bestFit="1" customWidth="1"/>
    <col min="14083" max="14083" width="31.21875" bestFit="1" customWidth="1"/>
    <col min="14084" max="14084" width="13.5546875" bestFit="1" customWidth="1"/>
    <col min="14085" max="14114" width="5" bestFit="1" customWidth="1"/>
    <col min="14115" max="14148" width="11.44140625" bestFit="1" customWidth="1"/>
    <col min="14149" max="14149" width="5" bestFit="1" customWidth="1"/>
    <col min="14337" max="14337" width="60.21875" bestFit="1" customWidth="1"/>
    <col min="14338" max="14338" width="25.6640625" bestFit="1" customWidth="1"/>
    <col min="14339" max="14339" width="31.21875" bestFit="1" customWidth="1"/>
    <col min="14340" max="14340" width="13.5546875" bestFit="1" customWidth="1"/>
    <col min="14341" max="14370" width="5" bestFit="1" customWidth="1"/>
    <col min="14371" max="14404" width="11.44140625" bestFit="1" customWidth="1"/>
    <col min="14405" max="14405" width="5" bestFit="1" customWidth="1"/>
    <col min="14593" max="14593" width="60.21875" bestFit="1" customWidth="1"/>
    <col min="14594" max="14594" width="25.6640625" bestFit="1" customWidth="1"/>
    <col min="14595" max="14595" width="31.21875" bestFit="1" customWidth="1"/>
    <col min="14596" max="14596" width="13.5546875" bestFit="1" customWidth="1"/>
    <col min="14597" max="14626" width="5" bestFit="1" customWidth="1"/>
    <col min="14627" max="14660" width="11.44140625" bestFit="1" customWidth="1"/>
    <col min="14661" max="14661" width="5" bestFit="1" customWidth="1"/>
    <col min="14849" max="14849" width="60.21875" bestFit="1" customWidth="1"/>
    <col min="14850" max="14850" width="25.6640625" bestFit="1" customWidth="1"/>
    <col min="14851" max="14851" width="31.21875" bestFit="1" customWidth="1"/>
    <col min="14852" max="14852" width="13.5546875" bestFit="1" customWidth="1"/>
    <col min="14853" max="14882" width="5" bestFit="1" customWidth="1"/>
    <col min="14883" max="14916" width="11.44140625" bestFit="1" customWidth="1"/>
    <col min="14917" max="14917" width="5" bestFit="1" customWidth="1"/>
    <col min="15105" max="15105" width="60.21875" bestFit="1" customWidth="1"/>
    <col min="15106" max="15106" width="25.6640625" bestFit="1" customWidth="1"/>
    <col min="15107" max="15107" width="31.21875" bestFit="1" customWidth="1"/>
    <col min="15108" max="15108" width="13.5546875" bestFit="1" customWidth="1"/>
    <col min="15109" max="15138" width="5" bestFit="1" customWidth="1"/>
    <col min="15139" max="15172" width="11.44140625" bestFit="1" customWidth="1"/>
    <col min="15173" max="15173" width="5" bestFit="1" customWidth="1"/>
    <col min="15361" max="15361" width="60.21875" bestFit="1" customWidth="1"/>
    <col min="15362" max="15362" width="25.6640625" bestFit="1" customWidth="1"/>
    <col min="15363" max="15363" width="31.21875" bestFit="1" customWidth="1"/>
    <col min="15364" max="15364" width="13.5546875" bestFit="1" customWidth="1"/>
    <col min="15365" max="15394" width="5" bestFit="1" customWidth="1"/>
    <col min="15395" max="15428" width="11.44140625" bestFit="1" customWidth="1"/>
    <col min="15429" max="15429" width="5" bestFit="1" customWidth="1"/>
    <col min="15617" max="15617" width="60.21875" bestFit="1" customWidth="1"/>
    <col min="15618" max="15618" width="25.6640625" bestFit="1" customWidth="1"/>
    <col min="15619" max="15619" width="31.21875" bestFit="1" customWidth="1"/>
    <col min="15620" max="15620" width="13.5546875" bestFit="1" customWidth="1"/>
    <col min="15621" max="15650" width="5" bestFit="1" customWidth="1"/>
    <col min="15651" max="15684" width="11.44140625" bestFit="1" customWidth="1"/>
    <col min="15685" max="15685" width="5" bestFit="1" customWidth="1"/>
    <col min="15873" max="15873" width="60.21875" bestFit="1" customWidth="1"/>
    <col min="15874" max="15874" width="25.6640625" bestFit="1" customWidth="1"/>
    <col min="15875" max="15875" width="31.21875" bestFit="1" customWidth="1"/>
    <col min="15876" max="15876" width="13.5546875" bestFit="1" customWidth="1"/>
    <col min="15877" max="15906" width="5" bestFit="1" customWidth="1"/>
    <col min="15907" max="15940" width="11.44140625" bestFit="1" customWidth="1"/>
    <col min="15941" max="15941" width="5" bestFit="1" customWidth="1"/>
    <col min="16129" max="16129" width="60.21875" bestFit="1" customWidth="1"/>
    <col min="16130" max="16130" width="25.6640625" bestFit="1" customWidth="1"/>
    <col min="16131" max="16131" width="31.21875" bestFit="1" customWidth="1"/>
    <col min="16132" max="16132" width="13.5546875" bestFit="1" customWidth="1"/>
    <col min="16133" max="16162" width="5" bestFit="1" customWidth="1"/>
    <col min="16163" max="16196" width="11.44140625" bestFit="1" customWidth="1"/>
    <col min="16197" max="16197" width="5" bestFit="1" customWidth="1"/>
  </cols>
  <sheetData>
    <row r="1" spans="1:69" x14ac:dyDescent="0.3">
      <c r="A1" t="s">
        <v>245</v>
      </c>
      <c r="B1" t="s">
        <v>246</v>
      </c>
    </row>
    <row r="2" spans="1:69" x14ac:dyDescent="0.3">
      <c r="A2" t="s">
        <v>247</v>
      </c>
      <c r="B2" s="1">
        <v>45839</v>
      </c>
    </row>
    <row r="4" spans="1:69" x14ac:dyDescent="0.3">
      <c r="A4" t="s">
        <v>248</v>
      </c>
      <c r="B4" t="s">
        <v>249</v>
      </c>
      <c r="C4" t="s">
        <v>250</v>
      </c>
      <c r="D4" t="s">
        <v>251</v>
      </c>
      <c r="E4" t="s">
        <v>252</v>
      </c>
      <c r="F4" t="s">
        <v>253</v>
      </c>
      <c r="G4" t="s">
        <v>254</v>
      </c>
      <c r="H4" t="s">
        <v>255</v>
      </c>
      <c r="I4" t="s">
        <v>256</v>
      </c>
      <c r="J4" t="s">
        <v>257</v>
      </c>
      <c r="K4" t="s">
        <v>258</v>
      </c>
      <c r="L4" t="s">
        <v>259</v>
      </c>
      <c r="M4" t="s">
        <v>260</v>
      </c>
      <c r="N4" t="s">
        <v>261</v>
      </c>
      <c r="O4" t="s">
        <v>262</v>
      </c>
      <c r="P4" t="s">
        <v>263</v>
      </c>
      <c r="Q4" t="s">
        <v>264</v>
      </c>
      <c r="R4" t="s">
        <v>265</v>
      </c>
      <c r="S4" t="s">
        <v>266</v>
      </c>
      <c r="T4" t="s">
        <v>267</v>
      </c>
      <c r="U4" t="s">
        <v>268</v>
      </c>
      <c r="V4" t="s">
        <v>269</v>
      </c>
      <c r="W4" t="s">
        <v>270</v>
      </c>
      <c r="X4" t="s">
        <v>271</v>
      </c>
      <c r="Y4" t="s">
        <v>272</v>
      </c>
      <c r="Z4" t="s">
        <v>273</v>
      </c>
      <c r="AA4" t="s">
        <v>274</v>
      </c>
      <c r="AB4" t="s">
        <v>275</v>
      </c>
      <c r="AC4" t="s">
        <v>276</v>
      </c>
      <c r="AD4" t="s">
        <v>277</v>
      </c>
      <c r="AE4" t="s">
        <v>278</v>
      </c>
      <c r="AF4" t="s">
        <v>279</v>
      </c>
      <c r="AG4" t="s">
        <v>280</v>
      </c>
      <c r="AH4" t="s">
        <v>281</v>
      </c>
      <c r="AI4" t="s">
        <v>282</v>
      </c>
      <c r="AJ4" t="s">
        <v>283</v>
      </c>
      <c r="AK4" t="s">
        <v>284</v>
      </c>
      <c r="AL4" t="s">
        <v>285</v>
      </c>
      <c r="AM4" t="s">
        <v>286</v>
      </c>
      <c r="AN4" t="s">
        <v>287</v>
      </c>
      <c r="AO4" t="s">
        <v>288</v>
      </c>
      <c r="AP4" t="s">
        <v>289</v>
      </c>
      <c r="AQ4" t="s">
        <v>290</v>
      </c>
      <c r="AR4" t="s">
        <v>291</v>
      </c>
      <c r="AS4" t="s">
        <v>292</v>
      </c>
      <c r="AT4" t="s">
        <v>293</v>
      </c>
      <c r="AU4" t="s">
        <v>294</v>
      </c>
      <c r="AV4" t="s">
        <v>295</v>
      </c>
      <c r="AW4" t="s">
        <v>296</v>
      </c>
      <c r="AX4" t="s">
        <v>297</v>
      </c>
      <c r="AY4" t="s">
        <v>298</v>
      </c>
      <c r="AZ4" t="s">
        <v>299</v>
      </c>
      <c r="BA4" t="s">
        <v>300</v>
      </c>
      <c r="BB4" t="s">
        <v>301</v>
      </c>
      <c r="BC4" t="s">
        <v>302</v>
      </c>
      <c r="BD4" t="s">
        <v>303</v>
      </c>
      <c r="BE4" t="s">
        <v>304</v>
      </c>
      <c r="BF4" t="s">
        <v>305</v>
      </c>
      <c r="BG4" t="s">
        <v>306</v>
      </c>
      <c r="BH4" t="s">
        <v>307</v>
      </c>
      <c r="BI4" t="s">
        <v>308</v>
      </c>
      <c r="BJ4" t="s">
        <v>309</v>
      </c>
      <c r="BK4" t="s">
        <v>310</v>
      </c>
      <c r="BL4" t="s">
        <v>311</v>
      </c>
      <c r="BM4" t="s">
        <v>312</v>
      </c>
      <c r="BN4" t="s">
        <v>313</v>
      </c>
      <c r="BO4" t="s">
        <v>314</v>
      </c>
      <c r="BP4" t="s">
        <v>315</v>
      </c>
      <c r="BQ4" t="s">
        <v>316</v>
      </c>
    </row>
    <row r="5" spans="1:69" x14ac:dyDescent="0.3">
      <c r="A5" t="s">
        <v>317</v>
      </c>
      <c r="B5" t="s">
        <v>318</v>
      </c>
      <c r="C5" t="s">
        <v>715</v>
      </c>
      <c r="D5" t="s">
        <v>716</v>
      </c>
      <c r="AI5">
        <v>100</v>
      </c>
      <c r="AJ5">
        <v>99.153656005859403</v>
      </c>
      <c r="AK5">
        <v>99.197128295898395</v>
      </c>
      <c r="AL5">
        <v>99.239913940429702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91.7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  <c r="AZ5">
        <v>100</v>
      </c>
      <c r="BA5">
        <v>100</v>
      </c>
      <c r="BB5">
        <v>100</v>
      </c>
      <c r="BC5">
        <v>93.4</v>
      </c>
      <c r="BD5">
        <v>100</v>
      </c>
      <c r="BE5">
        <v>100</v>
      </c>
      <c r="BF5">
        <v>100</v>
      </c>
      <c r="BG5">
        <v>100</v>
      </c>
      <c r="BH5">
        <v>100</v>
      </c>
      <c r="BI5">
        <v>100</v>
      </c>
      <c r="BJ5">
        <v>100</v>
      </c>
      <c r="BK5">
        <v>100</v>
      </c>
      <c r="BL5">
        <v>100</v>
      </c>
      <c r="BM5">
        <v>100</v>
      </c>
      <c r="BN5">
        <v>100</v>
      </c>
      <c r="BO5">
        <v>99.9</v>
      </c>
      <c r="BP5">
        <v>100</v>
      </c>
    </row>
    <row r="6" spans="1:69" x14ac:dyDescent="0.3">
      <c r="A6" t="s">
        <v>319</v>
      </c>
      <c r="B6" t="s">
        <v>320</v>
      </c>
      <c r="C6" t="s">
        <v>715</v>
      </c>
      <c r="D6" t="s">
        <v>716</v>
      </c>
      <c r="AS6">
        <v>19.917256334288883</v>
      </c>
      <c r="AT6">
        <v>19.944277420358318</v>
      </c>
      <c r="AU6">
        <v>21.548646615562468</v>
      </c>
      <c r="AV6">
        <v>22.493216718205154</v>
      </c>
      <c r="AW6">
        <v>23.72445493261505</v>
      </c>
      <c r="AX6">
        <v>23.44953935560601</v>
      </c>
      <c r="AY6">
        <v>25.172482310596855</v>
      </c>
      <c r="AZ6">
        <v>26.7951445862147</v>
      </c>
      <c r="BA6">
        <v>25.908845134445723</v>
      </c>
      <c r="BB6">
        <v>26.187846478111133</v>
      </c>
      <c r="BC6">
        <v>27.414953756331975</v>
      </c>
      <c r="BD6">
        <v>28.90975623412697</v>
      </c>
      <c r="BE6">
        <v>31.673427461917534</v>
      </c>
      <c r="BF6">
        <v>31.723573573148343</v>
      </c>
      <c r="BG6">
        <v>31.871956128357944</v>
      </c>
      <c r="BH6">
        <v>33.922275662275759</v>
      </c>
      <c r="BI6">
        <v>38.859597658371428</v>
      </c>
      <c r="BJ6">
        <v>40.223744173036771</v>
      </c>
      <c r="BK6">
        <v>43.035073350783541</v>
      </c>
      <c r="BL6">
        <v>44.390860533363956</v>
      </c>
      <c r="BM6">
        <v>46.28237094556367</v>
      </c>
      <c r="BN6">
        <v>48.127211040048458</v>
      </c>
      <c r="BO6">
        <v>48.801257960765845</v>
      </c>
      <c r="BP6">
        <v>50.668330483016746</v>
      </c>
    </row>
    <row r="7" spans="1:69" x14ac:dyDescent="0.3">
      <c r="A7" t="s">
        <v>321</v>
      </c>
      <c r="B7" t="s">
        <v>322</v>
      </c>
      <c r="C7" t="s">
        <v>715</v>
      </c>
      <c r="D7" t="s">
        <v>716</v>
      </c>
      <c r="AS7">
        <v>4.4000000000000004</v>
      </c>
      <c r="AT7">
        <v>9.3000000000000007</v>
      </c>
      <c r="AU7">
        <v>14.1</v>
      </c>
      <c r="AV7">
        <v>19</v>
      </c>
      <c r="AW7">
        <v>23.8</v>
      </c>
      <c r="AX7">
        <v>28.7</v>
      </c>
      <c r="AY7">
        <v>33.5</v>
      </c>
      <c r="AZ7">
        <v>38.4</v>
      </c>
      <c r="BA7">
        <v>42.4</v>
      </c>
      <c r="BB7">
        <v>48.3</v>
      </c>
      <c r="BC7">
        <v>42.7</v>
      </c>
      <c r="BD7">
        <v>43.2</v>
      </c>
      <c r="BE7">
        <v>69.099999999999994</v>
      </c>
      <c r="BF7">
        <v>68</v>
      </c>
      <c r="BG7">
        <v>89.5</v>
      </c>
      <c r="BH7">
        <v>71.5</v>
      </c>
      <c r="BI7">
        <v>97.7</v>
      </c>
      <c r="BJ7">
        <v>97.7</v>
      </c>
      <c r="BK7">
        <v>93.4</v>
      </c>
      <c r="BL7">
        <v>97.7</v>
      </c>
      <c r="BM7">
        <v>97.7</v>
      </c>
      <c r="BN7">
        <v>97.7</v>
      </c>
      <c r="BO7">
        <v>85.3</v>
      </c>
      <c r="BP7">
        <v>85.3</v>
      </c>
    </row>
    <row r="8" spans="1:69" x14ac:dyDescent="0.3">
      <c r="A8" t="s">
        <v>323</v>
      </c>
      <c r="B8" t="s">
        <v>324</v>
      </c>
      <c r="C8" t="s">
        <v>715</v>
      </c>
      <c r="D8" t="s">
        <v>716</v>
      </c>
      <c r="AL8">
        <v>31.653468572507769</v>
      </c>
      <c r="AM8">
        <v>32.69220763441453</v>
      </c>
      <c r="AN8">
        <v>33.69483534317942</v>
      </c>
      <c r="AO8">
        <v>32.697394583453779</v>
      </c>
      <c r="AP8">
        <v>32.523919754434338</v>
      </c>
      <c r="AQ8">
        <v>33.513503785091991</v>
      </c>
      <c r="AR8">
        <v>34.893857037945693</v>
      </c>
      <c r="AS8">
        <v>34.246115825719222</v>
      </c>
      <c r="AT8">
        <v>35.32326720705511</v>
      </c>
      <c r="AU8">
        <v>35.809110964429024</v>
      </c>
      <c r="AV8">
        <v>39.960253934121738</v>
      </c>
      <c r="AW8">
        <v>37.594502241350149</v>
      </c>
      <c r="AX8">
        <v>37.935910136856698</v>
      </c>
      <c r="AY8">
        <v>39.952904482302735</v>
      </c>
      <c r="AZ8">
        <v>40.864861887983636</v>
      </c>
      <c r="BA8">
        <v>41.866014661374521</v>
      </c>
      <c r="BB8">
        <v>42.002485440102639</v>
      </c>
      <c r="BC8">
        <v>41.951990311898236</v>
      </c>
      <c r="BD8">
        <v>46.061966921846178</v>
      </c>
      <c r="BE8">
        <v>44.186500347496839</v>
      </c>
      <c r="BF8">
        <v>47.19450307334764</v>
      </c>
      <c r="BG8">
        <v>47.767360546236915</v>
      </c>
      <c r="BH8">
        <v>46.862418252484474</v>
      </c>
      <c r="BI8">
        <v>51.045127192599203</v>
      </c>
      <c r="BJ8">
        <v>48.900728047505652</v>
      </c>
      <c r="BK8">
        <v>51.335829351753432</v>
      </c>
      <c r="BL8">
        <v>51.291576911535195</v>
      </c>
      <c r="BM8">
        <v>51.856042846306778</v>
      </c>
      <c r="BN8">
        <v>54.368598708443955</v>
      </c>
      <c r="BO8">
        <v>55.686682966979575</v>
      </c>
      <c r="BP8">
        <v>57.069266580359525</v>
      </c>
    </row>
    <row r="9" spans="1:69" x14ac:dyDescent="0.3">
      <c r="A9" t="s">
        <v>2</v>
      </c>
      <c r="B9" t="s">
        <v>325</v>
      </c>
      <c r="C9" t="s">
        <v>715</v>
      </c>
      <c r="D9" t="s">
        <v>716</v>
      </c>
      <c r="AS9">
        <v>24.2</v>
      </c>
      <c r="AT9">
        <v>20</v>
      </c>
      <c r="AU9">
        <v>26.3</v>
      </c>
      <c r="AV9">
        <v>27.4</v>
      </c>
      <c r="AW9">
        <v>28.4</v>
      </c>
      <c r="AX9">
        <v>29.4</v>
      </c>
      <c r="AY9">
        <v>30.5</v>
      </c>
      <c r="AZ9">
        <v>37.5</v>
      </c>
      <c r="BA9">
        <v>38.5</v>
      </c>
      <c r="BB9">
        <v>33.799999999999997</v>
      </c>
      <c r="BC9">
        <v>35</v>
      </c>
      <c r="BD9">
        <v>34.6</v>
      </c>
      <c r="BE9">
        <v>37.299999999999997</v>
      </c>
      <c r="BF9">
        <v>38.4</v>
      </c>
      <c r="BG9">
        <v>32</v>
      </c>
      <c r="BH9">
        <v>42</v>
      </c>
      <c r="BI9">
        <v>41.8</v>
      </c>
      <c r="BJ9">
        <v>42.9</v>
      </c>
      <c r="BK9">
        <v>45.3</v>
      </c>
      <c r="BL9">
        <v>45.6</v>
      </c>
      <c r="BM9">
        <v>47</v>
      </c>
      <c r="BN9">
        <v>48.2</v>
      </c>
      <c r="BO9">
        <v>48.5</v>
      </c>
      <c r="BP9">
        <v>51.1</v>
      </c>
    </row>
    <row r="10" spans="1:69" x14ac:dyDescent="0.3">
      <c r="A10" t="s">
        <v>4</v>
      </c>
      <c r="B10" t="s">
        <v>326</v>
      </c>
      <c r="C10" t="s">
        <v>715</v>
      </c>
      <c r="D10" t="s">
        <v>716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99.4</v>
      </c>
      <c r="AT10">
        <v>99.4</v>
      </c>
      <c r="AU10">
        <v>99.4</v>
      </c>
      <c r="AV10">
        <v>99.4</v>
      </c>
      <c r="AW10">
        <v>99.4</v>
      </c>
      <c r="AX10">
        <v>99.4</v>
      </c>
      <c r="AY10">
        <v>99.4</v>
      </c>
      <c r="AZ10">
        <v>99.4</v>
      </c>
      <c r="BA10">
        <v>100</v>
      </c>
      <c r="BB10">
        <v>99.6</v>
      </c>
      <c r="BC10">
        <v>99.6</v>
      </c>
      <c r="BD10">
        <v>99.7</v>
      </c>
      <c r="BE10">
        <v>99.9</v>
      </c>
      <c r="BF10">
        <v>99.9</v>
      </c>
      <c r="BG10">
        <v>100</v>
      </c>
      <c r="BH10">
        <v>100</v>
      </c>
      <c r="BI10">
        <v>99.9</v>
      </c>
      <c r="BJ10">
        <v>99.9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9" x14ac:dyDescent="0.3">
      <c r="A11" t="s">
        <v>327</v>
      </c>
      <c r="B11" t="s">
        <v>328</v>
      </c>
      <c r="C11" t="s">
        <v>715</v>
      </c>
      <c r="D11" t="s">
        <v>716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  <c r="AY11">
        <v>100</v>
      </c>
      <c r="AZ11">
        <v>100</v>
      </c>
      <c r="BA11">
        <v>100</v>
      </c>
      <c r="BB11">
        <v>100</v>
      </c>
      <c r="BC11">
        <v>100</v>
      </c>
      <c r="BD11">
        <v>100</v>
      </c>
      <c r="BE11">
        <v>100</v>
      </c>
      <c r="BF11">
        <v>100</v>
      </c>
      <c r="BG11">
        <v>100</v>
      </c>
      <c r="BH11">
        <v>100</v>
      </c>
      <c r="BI11">
        <v>100</v>
      </c>
      <c r="BJ11">
        <v>100</v>
      </c>
      <c r="BK11">
        <v>100</v>
      </c>
      <c r="BL11">
        <v>100</v>
      </c>
      <c r="BM11">
        <v>100</v>
      </c>
      <c r="BN11">
        <v>100</v>
      </c>
      <c r="BO11">
        <v>100</v>
      </c>
      <c r="BP11">
        <v>100</v>
      </c>
    </row>
    <row r="12" spans="1:69" x14ac:dyDescent="0.3">
      <c r="A12" t="s">
        <v>329</v>
      </c>
      <c r="B12" t="s">
        <v>330</v>
      </c>
      <c r="C12" t="s">
        <v>715</v>
      </c>
      <c r="D12" t="s">
        <v>716</v>
      </c>
      <c r="AP12">
        <v>76.611776614889266</v>
      </c>
      <c r="AQ12">
        <v>77.541255285307798</v>
      </c>
      <c r="AR12">
        <v>78.156404336406325</v>
      </c>
      <c r="AS12">
        <v>80.458667256682816</v>
      </c>
      <c r="AT12">
        <v>81.354794265930394</v>
      </c>
      <c r="AU12">
        <v>81.323622346781988</v>
      </c>
      <c r="AV12">
        <v>82.342221901358599</v>
      </c>
      <c r="AW12">
        <v>82.279524953886849</v>
      </c>
      <c r="AX12">
        <v>83.076767448509983</v>
      </c>
      <c r="AY12">
        <v>85.284393716494165</v>
      </c>
      <c r="AZ12">
        <v>83.626763804602263</v>
      </c>
      <c r="BA12">
        <v>83.275564160633735</v>
      </c>
      <c r="BB12">
        <v>84.159728707363868</v>
      </c>
      <c r="BC12">
        <v>86.921502593511022</v>
      </c>
      <c r="BD12">
        <v>87.172694232029727</v>
      </c>
      <c r="BE12">
        <v>86.847866965140668</v>
      </c>
      <c r="BF12">
        <v>88.96162991907488</v>
      </c>
      <c r="BG12">
        <v>88.40677670856526</v>
      </c>
      <c r="BH12">
        <v>88.661643139872524</v>
      </c>
      <c r="BI12">
        <v>89.186171057282536</v>
      </c>
      <c r="BJ12">
        <v>90.351066939646515</v>
      </c>
      <c r="BK12">
        <v>88.689840647226717</v>
      </c>
      <c r="BL12">
        <v>89.928996308341254</v>
      </c>
      <c r="BM12">
        <v>90.241776968580623</v>
      </c>
      <c r="BN12">
        <v>90.434094773298469</v>
      </c>
      <c r="BO12">
        <v>90.654517907003296</v>
      </c>
      <c r="BP12">
        <v>91.645429944450925</v>
      </c>
    </row>
    <row r="13" spans="1:69" x14ac:dyDescent="0.3">
      <c r="A13" t="s">
        <v>6</v>
      </c>
      <c r="B13" t="s">
        <v>331</v>
      </c>
      <c r="C13" t="s">
        <v>715</v>
      </c>
      <c r="D13" t="s">
        <v>716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  <c r="AY13">
        <v>100</v>
      </c>
      <c r="AZ13">
        <v>100</v>
      </c>
      <c r="BA13">
        <v>100</v>
      </c>
      <c r="BB13">
        <v>100</v>
      </c>
      <c r="BC13">
        <v>100</v>
      </c>
      <c r="BD13">
        <v>100</v>
      </c>
      <c r="BE13">
        <v>100</v>
      </c>
      <c r="BF13">
        <v>100</v>
      </c>
      <c r="BG13">
        <v>100</v>
      </c>
      <c r="BH13">
        <v>100</v>
      </c>
      <c r="BI13">
        <v>100</v>
      </c>
      <c r="BJ13">
        <v>100</v>
      </c>
      <c r="BK13">
        <v>100</v>
      </c>
      <c r="BL13">
        <v>100</v>
      </c>
      <c r="BM13">
        <v>100</v>
      </c>
      <c r="BN13">
        <v>100</v>
      </c>
      <c r="BO13">
        <v>100</v>
      </c>
      <c r="BP13">
        <v>100</v>
      </c>
    </row>
    <row r="14" spans="1:69" x14ac:dyDescent="0.3">
      <c r="A14" t="s">
        <v>8</v>
      </c>
      <c r="B14" t="s">
        <v>332</v>
      </c>
      <c r="C14" t="s">
        <v>715</v>
      </c>
      <c r="D14" t="s">
        <v>716</v>
      </c>
      <c r="AI14">
        <v>92.154800415039105</v>
      </c>
      <c r="AJ14">
        <v>92.4921875</v>
      </c>
      <c r="AK14">
        <v>92.829452514648395</v>
      </c>
      <c r="AL14">
        <v>93.166046142578097</v>
      </c>
      <c r="AM14">
        <v>93.501274108886705</v>
      </c>
      <c r="AN14">
        <v>93.834465026855497</v>
      </c>
      <c r="AO14">
        <v>94.164939880371094</v>
      </c>
      <c r="AP14">
        <v>94.492012023925795</v>
      </c>
      <c r="AQ14">
        <v>94.815002441406307</v>
      </c>
      <c r="AR14">
        <v>95.133155822753906</v>
      </c>
      <c r="AS14">
        <v>95.7</v>
      </c>
      <c r="AT14">
        <v>95.5</v>
      </c>
      <c r="AU14">
        <v>96.1</v>
      </c>
      <c r="AV14">
        <v>96.3</v>
      </c>
      <c r="AW14">
        <v>96.5</v>
      </c>
      <c r="AX14">
        <v>96.7</v>
      </c>
      <c r="AY14">
        <v>97</v>
      </c>
      <c r="AZ14">
        <v>97.2</v>
      </c>
      <c r="BA14">
        <v>97.5</v>
      </c>
      <c r="BB14">
        <v>97.8</v>
      </c>
      <c r="BC14">
        <v>98.8</v>
      </c>
      <c r="BD14">
        <v>99</v>
      </c>
      <c r="BE14">
        <v>99.1</v>
      </c>
      <c r="BF14">
        <v>99.3</v>
      </c>
      <c r="BG14">
        <v>100</v>
      </c>
      <c r="BH14">
        <v>99.7</v>
      </c>
      <c r="BI14">
        <v>99.9</v>
      </c>
      <c r="BJ14">
        <v>100</v>
      </c>
      <c r="BK14">
        <v>100</v>
      </c>
      <c r="BL14">
        <v>100</v>
      </c>
      <c r="BM14">
        <v>100</v>
      </c>
      <c r="BN14">
        <v>100</v>
      </c>
      <c r="BO14">
        <v>100</v>
      </c>
      <c r="BP14">
        <v>100</v>
      </c>
    </row>
    <row r="15" spans="1:69" x14ac:dyDescent="0.3">
      <c r="A15" t="s">
        <v>10</v>
      </c>
      <c r="B15" t="s">
        <v>333</v>
      </c>
      <c r="C15" t="s">
        <v>715</v>
      </c>
      <c r="D15" t="s">
        <v>716</v>
      </c>
      <c r="AS15">
        <v>98.9</v>
      </c>
      <c r="AT15">
        <v>100</v>
      </c>
      <c r="AU15">
        <v>98</v>
      </c>
      <c r="AV15">
        <v>99.1</v>
      </c>
      <c r="AW15">
        <v>99.1</v>
      </c>
      <c r="AX15">
        <v>99.8</v>
      </c>
      <c r="AY15">
        <v>99.1</v>
      </c>
      <c r="AZ15">
        <v>99.2</v>
      </c>
      <c r="BA15">
        <v>99.2</v>
      </c>
      <c r="BB15">
        <v>99.3</v>
      </c>
      <c r="BC15">
        <v>99.8</v>
      </c>
      <c r="BD15">
        <v>99.5</v>
      </c>
      <c r="BE15">
        <v>99.5</v>
      </c>
      <c r="BF15">
        <v>99.4</v>
      </c>
      <c r="BG15">
        <v>99.7</v>
      </c>
      <c r="BH15">
        <v>100</v>
      </c>
      <c r="BI15">
        <v>99.8</v>
      </c>
      <c r="BJ15">
        <v>99.7</v>
      </c>
      <c r="BK15">
        <v>99.9</v>
      </c>
      <c r="BL15">
        <v>100</v>
      </c>
      <c r="BM15">
        <v>100</v>
      </c>
      <c r="BN15">
        <v>100</v>
      </c>
      <c r="BO15">
        <v>100</v>
      </c>
      <c r="BP15">
        <v>100</v>
      </c>
    </row>
    <row r="16" spans="1:69" x14ac:dyDescent="0.3">
      <c r="A16" t="s">
        <v>334</v>
      </c>
      <c r="B16" t="s">
        <v>335</v>
      </c>
      <c r="C16" t="s">
        <v>715</v>
      </c>
      <c r="D16" t="s">
        <v>716</v>
      </c>
    </row>
    <row r="17" spans="1:68" x14ac:dyDescent="0.3">
      <c r="A17" t="s">
        <v>336</v>
      </c>
      <c r="B17" t="s">
        <v>337</v>
      </c>
      <c r="C17" t="s">
        <v>715</v>
      </c>
      <c r="D17" t="s">
        <v>716</v>
      </c>
      <c r="AI17">
        <v>95.763046264648395</v>
      </c>
      <c r="AJ17">
        <v>95.940650939941406</v>
      </c>
      <c r="AK17">
        <v>96.118133544921903</v>
      </c>
      <c r="AL17">
        <v>96.294944763183594</v>
      </c>
      <c r="AM17">
        <v>96.470390319824205</v>
      </c>
      <c r="AN17">
        <v>96.643798828125</v>
      </c>
      <c r="AO17">
        <v>96.814483642578097</v>
      </c>
      <c r="AP17">
        <v>96.981773376464801</v>
      </c>
      <c r="AQ17">
        <v>97.144981384277301</v>
      </c>
      <c r="AR17">
        <v>97.303352355957003</v>
      </c>
      <c r="AS17">
        <v>97.7</v>
      </c>
      <c r="AT17">
        <v>97.7</v>
      </c>
      <c r="AU17">
        <v>100</v>
      </c>
      <c r="AV17">
        <v>97.9</v>
      </c>
      <c r="AW17">
        <v>97.9</v>
      </c>
      <c r="AX17">
        <v>92.2</v>
      </c>
      <c r="AY17">
        <v>100</v>
      </c>
      <c r="AZ17">
        <v>100</v>
      </c>
      <c r="BA17">
        <v>100</v>
      </c>
      <c r="BB17">
        <v>98.5</v>
      </c>
      <c r="BC17">
        <v>98.7</v>
      </c>
      <c r="BD17">
        <v>94.6</v>
      </c>
      <c r="BE17">
        <v>100</v>
      </c>
      <c r="BF17">
        <v>100</v>
      </c>
      <c r="BG17">
        <v>100</v>
      </c>
      <c r="BH17">
        <v>100</v>
      </c>
      <c r="BI17">
        <v>100</v>
      </c>
      <c r="BJ17">
        <v>100</v>
      </c>
      <c r="BK17">
        <v>100</v>
      </c>
      <c r="BL17">
        <v>100</v>
      </c>
      <c r="BM17">
        <v>100</v>
      </c>
      <c r="BN17">
        <v>100</v>
      </c>
      <c r="BO17">
        <v>100</v>
      </c>
      <c r="BP17">
        <v>100</v>
      </c>
    </row>
    <row r="18" spans="1:68" x14ac:dyDescent="0.3">
      <c r="A18" t="s">
        <v>12</v>
      </c>
      <c r="B18" t="s">
        <v>338</v>
      </c>
      <c r="C18" t="s">
        <v>715</v>
      </c>
      <c r="D18" t="s">
        <v>716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  <c r="AY18">
        <v>100</v>
      </c>
      <c r="AZ18">
        <v>100</v>
      </c>
      <c r="BA18">
        <v>100</v>
      </c>
      <c r="BB18">
        <v>100</v>
      </c>
      <c r="BC18">
        <v>100</v>
      </c>
      <c r="BD18">
        <v>100</v>
      </c>
      <c r="BE18">
        <v>100</v>
      </c>
      <c r="BF18">
        <v>100</v>
      </c>
      <c r="BG18">
        <v>100</v>
      </c>
      <c r="BH18">
        <v>100</v>
      </c>
      <c r="BI18">
        <v>100</v>
      </c>
      <c r="BJ18">
        <v>100</v>
      </c>
      <c r="BK18">
        <v>100</v>
      </c>
      <c r="BL18">
        <v>100</v>
      </c>
      <c r="BM18">
        <v>100</v>
      </c>
      <c r="BN18">
        <v>100</v>
      </c>
      <c r="BO18">
        <v>100</v>
      </c>
      <c r="BP18">
        <v>100</v>
      </c>
    </row>
    <row r="19" spans="1:68" x14ac:dyDescent="0.3">
      <c r="A19" t="s">
        <v>14</v>
      </c>
      <c r="B19" t="s">
        <v>339</v>
      </c>
      <c r="C19" t="s">
        <v>715</v>
      </c>
      <c r="D19" t="s">
        <v>716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  <c r="AY19">
        <v>100</v>
      </c>
      <c r="AZ19">
        <v>100</v>
      </c>
      <c r="BA19">
        <v>100</v>
      </c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>
        <v>100</v>
      </c>
      <c r="BL19">
        <v>100</v>
      </c>
      <c r="BM19">
        <v>100</v>
      </c>
      <c r="BN19">
        <v>100</v>
      </c>
      <c r="BO19">
        <v>100</v>
      </c>
      <c r="BP19">
        <v>100</v>
      </c>
    </row>
    <row r="20" spans="1:68" x14ac:dyDescent="0.3">
      <c r="A20" t="s">
        <v>16</v>
      </c>
      <c r="B20" t="s">
        <v>340</v>
      </c>
      <c r="C20" t="s">
        <v>715</v>
      </c>
      <c r="D20" t="s">
        <v>716</v>
      </c>
      <c r="AR20">
        <v>97</v>
      </c>
      <c r="AS20">
        <v>98.9</v>
      </c>
      <c r="AT20">
        <v>98.6</v>
      </c>
      <c r="AU20">
        <v>100</v>
      </c>
      <c r="AV20">
        <v>98.8</v>
      </c>
      <c r="AW20">
        <v>99</v>
      </c>
      <c r="AX20">
        <v>99.1</v>
      </c>
      <c r="AY20">
        <v>99.5</v>
      </c>
      <c r="AZ20">
        <v>99.5</v>
      </c>
      <c r="BA20">
        <v>99.7</v>
      </c>
      <c r="BB20">
        <v>99.9</v>
      </c>
      <c r="BC20">
        <v>99.9</v>
      </c>
      <c r="BD20">
        <v>99.9</v>
      </c>
      <c r="BE20">
        <v>100</v>
      </c>
      <c r="BF20">
        <v>100</v>
      </c>
      <c r="BG20">
        <v>100</v>
      </c>
      <c r="BH20">
        <v>100</v>
      </c>
      <c r="BI20">
        <v>100</v>
      </c>
      <c r="BJ20">
        <v>100</v>
      </c>
      <c r="BK20">
        <v>100</v>
      </c>
      <c r="BL20">
        <v>100</v>
      </c>
      <c r="BM20">
        <v>100</v>
      </c>
      <c r="BN20">
        <v>100</v>
      </c>
      <c r="BO20">
        <v>100</v>
      </c>
      <c r="BP20">
        <v>100</v>
      </c>
    </row>
    <row r="21" spans="1:68" x14ac:dyDescent="0.3">
      <c r="A21" t="s">
        <v>341</v>
      </c>
      <c r="B21" t="s">
        <v>342</v>
      </c>
      <c r="C21" t="s">
        <v>715</v>
      </c>
      <c r="D21" t="s">
        <v>716</v>
      </c>
      <c r="AQ21">
        <v>3.9</v>
      </c>
      <c r="AR21">
        <v>2.0709493160247798</v>
      </c>
      <c r="AS21">
        <v>2.5</v>
      </c>
      <c r="AT21">
        <v>2.8</v>
      </c>
      <c r="AU21">
        <v>3.1</v>
      </c>
      <c r="AV21">
        <v>3.4</v>
      </c>
      <c r="AW21">
        <v>3.7</v>
      </c>
      <c r="AX21">
        <v>3.2</v>
      </c>
      <c r="AY21">
        <v>2.7</v>
      </c>
      <c r="AZ21">
        <v>4.7</v>
      </c>
      <c r="BA21">
        <v>4.8</v>
      </c>
      <c r="BB21">
        <v>5.4</v>
      </c>
      <c r="BC21">
        <v>5.3</v>
      </c>
      <c r="BD21">
        <v>6.2</v>
      </c>
      <c r="BE21">
        <v>6.5</v>
      </c>
      <c r="BF21">
        <v>6.9</v>
      </c>
      <c r="BG21">
        <v>7</v>
      </c>
      <c r="BH21">
        <v>7.9</v>
      </c>
      <c r="BI21">
        <v>8.5</v>
      </c>
      <c r="BJ21">
        <v>9.3000000000000007</v>
      </c>
      <c r="BK21">
        <v>9.5</v>
      </c>
      <c r="BL21">
        <v>9.8000000000000007</v>
      </c>
      <c r="BM21">
        <v>9.1</v>
      </c>
      <c r="BN21">
        <v>10.199999999999999</v>
      </c>
      <c r="BO21">
        <v>10.3</v>
      </c>
      <c r="BP21">
        <v>11.6</v>
      </c>
    </row>
    <row r="22" spans="1:68" x14ac:dyDescent="0.3">
      <c r="A22" t="s">
        <v>17</v>
      </c>
      <c r="B22" t="s">
        <v>343</v>
      </c>
      <c r="C22" t="s">
        <v>715</v>
      </c>
      <c r="D22" t="s">
        <v>716</v>
      </c>
      <c r="AI22">
        <v>100</v>
      </c>
      <c r="AJ22">
        <v>100</v>
      </c>
      <c r="AK22">
        <v>100</v>
      </c>
      <c r="AL22">
        <v>100</v>
      </c>
      <c r="AM22">
        <v>100</v>
      </c>
      <c r="AN22">
        <v>100</v>
      </c>
      <c r="AO22">
        <v>100</v>
      </c>
      <c r="AP22">
        <v>100</v>
      </c>
      <c r="AQ22">
        <v>100</v>
      </c>
      <c r="AR22">
        <v>100</v>
      </c>
      <c r="AS22">
        <v>100</v>
      </c>
      <c r="AT22">
        <v>100</v>
      </c>
      <c r="AU22">
        <v>100</v>
      </c>
      <c r="AV22">
        <v>100</v>
      </c>
      <c r="AW22">
        <v>100</v>
      </c>
      <c r="AX22">
        <v>100</v>
      </c>
      <c r="AY22">
        <v>100</v>
      </c>
      <c r="AZ22">
        <v>100</v>
      </c>
      <c r="BA22">
        <v>100</v>
      </c>
      <c r="BB22">
        <v>100</v>
      </c>
      <c r="BC22">
        <v>100</v>
      </c>
      <c r="BD22">
        <v>100</v>
      </c>
      <c r="BE22">
        <v>100</v>
      </c>
      <c r="BF22">
        <v>100</v>
      </c>
      <c r="BG22">
        <v>100</v>
      </c>
      <c r="BH22">
        <v>100</v>
      </c>
      <c r="BI22">
        <v>100</v>
      </c>
      <c r="BJ22">
        <v>100</v>
      </c>
      <c r="BK22">
        <v>100</v>
      </c>
      <c r="BL22">
        <v>100</v>
      </c>
      <c r="BM22">
        <v>100</v>
      </c>
      <c r="BN22">
        <v>100</v>
      </c>
      <c r="BO22">
        <v>100</v>
      </c>
      <c r="BP22">
        <v>100</v>
      </c>
    </row>
    <row r="23" spans="1:68" x14ac:dyDescent="0.3">
      <c r="A23" t="s">
        <v>19</v>
      </c>
      <c r="B23" t="s">
        <v>344</v>
      </c>
      <c r="C23" t="s">
        <v>715</v>
      </c>
      <c r="D23" t="s">
        <v>716</v>
      </c>
      <c r="AO23">
        <v>14.5</v>
      </c>
      <c r="AP23">
        <v>18.589626312255898</v>
      </c>
      <c r="AQ23">
        <v>19.578254699706999</v>
      </c>
      <c r="AR23">
        <v>20.5620422363281</v>
      </c>
      <c r="AS23">
        <v>21.5</v>
      </c>
      <c r="AT23">
        <v>21.9</v>
      </c>
      <c r="AU23">
        <v>23.4</v>
      </c>
      <c r="AV23">
        <v>24.3</v>
      </c>
      <c r="AW23">
        <v>25.2</v>
      </c>
      <c r="AX23">
        <v>26.1</v>
      </c>
      <c r="AY23">
        <v>27.9</v>
      </c>
      <c r="AZ23">
        <v>28</v>
      </c>
      <c r="BA23">
        <v>29</v>
      </c>
      <c r="BB23">
        <v>30</v>
      </c>
      <c r="BC23">
        <v>34.200000000000003</v>
      </c>
      <c r="BD23">
        <v>36.9</v>
      </c>
      <c r="BE23">
        <v>38.4</v>
      </c>
      <c r="BF23">
        <v>34.700000000000003</v>
      </c>
      <c r="BG23">
        <v>34.1</v>
      </c>
      <c r="BH23">
        <v>29.6</v>
      </c>
      <c r="BI23">
        <v>37</v>
      </c>
      <c r="BJ23">
        <v>34.5</v>
      </c>
      <c r="BK23">
        <v>39</v>
      </c>
      <c r="BL23">
        <v>40</v>
      </c>
      <c r="BM23">
        <v>41</v>
      </c>
      <c r="BN23">
        <v>42</v>
      </c>
      <c r="BO23">
        <v>56.5</v>
      </c>
      <c r="BP23">
        <v>57</v>
      </c>
    </row>
    <row r="24" spans="1:68" x14ac:dyDescent="0.3">
      <c r="A24" t="s">
        <v>345</v>
      </c>
      <c r="B24" t="s">
        <v>346</v>
      </c>
      <c r="C24" t="s">
        <v>715</v>
      </c>
      <c r="D24" t="s">
        <v>716</v>
      </c>
      <c r="AL24">
        <v>6.1</v>
      </c>
      <c r="AM24">
        <v>6.1250100135803196</v>
      </c>
      <c r="AN24">
        <v>6.6253328323364302</v>
      </c>
      <c r="AO24">
        <v>7.1229362487793004</v>
      </c>
      <c r="AP24">
        <v>7.6171398162841797</v>
      </c>
      <c r="AQ24">
        <v>8.1072645187377894</v>
      </c>
      <c r="AR24">
        <v>6.9</v>
      </c>
      <c r="AS24">
        <v>9.1</v>
      </c>
      <c r="AT24">
        <v>9.5</v>
      </c>
      <c r="AU24">
        <v>9.9</v>
      </c>
      <c r="AV24">
        <v>11.4</v>
      </c>
      <c r="AW24">
        <v>10.7</v>
      </c>
      <c r="AX24">
        <v>11.1</v>
      </c>
      <c r="AY24">
        <v>11.6</v>
      </c>
      <c r="AZ24">
        <v>12</v>
      </c>
      <c r="BA24">
        <v>12.5</v>
      </c>
      <c r="BB24">
        <v>12.6</v>
      </c>
      <c r="BC24">
        <v>13.1</v>
      </c>
      <c r="BD24">
        <v>14.8</v>
      </c>
      <c r="BE24">
        <v>15.1</v>
      </c>
      <c r="BF24">
        <v>15.4</v>
      </c>
      <c r="BG24">
        <v>19.2</v>
      </c>
      <c r="BH24">
        <v>16.2</v>
      </c>
      <c r="BI24">
        <v>16.600000000000001</v>
      </c>
      <c r="BJ24">
        <v>17</v>
      </c>
      <c r="BK24">
        <v>14.4</v>
      </c>
      <c r="BL24">
        <v>17.600000000000001</v>
      </c>
      <c r="BM24">
        <v>18.5</v>
      </c>
      <c r="BN24">
        <v>19</v>
      </c>
      <c r="BO24">
        <v>19.5</v>
      </c>
      <c r="BP24">
        <v>21.7</v>
      </c>
    </row>
    <row r="25" spans="1:68" x14ac:dyDescent="0.3">
      <c r="A25" t="s">
        <v>21</v>
      </c>
      <c r="B25" t="s">
        <v>347</v>
      </c>
      <c r="C25" t="s">
        <v>715</v>
      </c>
      <c r="D25" t="s">
        <v>716</v>
      </c>
      <c r="AJ25">
        <v>14.29</v>
      </c>
      <c r="AK25">
        <v>9.9054193496704102</v>
      </c>
      <c r="AL25">
        <v>12.7178802490234</v>
      </c>
      <c r="AM25">
        <v>17.8</v>
      </c>
      <c r="AN25">
        <v>18.3380451202393</v>
      </c>
      <c r="AO25">
        <v>21.144386291503899</v>
      </c>
      <c r="AP25">
        <v>22.4</v>
      </c>
      <c r="AQ25">
        <v>26.746192932128899</v>
      </c>
      <c r="AR25">
        <v>29.540214538574201</v>
      </c>
      <c r="AS25">
        <v>32</v>
      </c>
      <c r="AT25">
        <v>35</v>
      </c>
      <c r="AU25">
        <v>37.799999999999997</v>
      </c>
      <c r="AV25">
        <v>40.5</v>
      </c>
      <c r="AW25">
        <v>40.6</v>
      </c>
      <c r="AX25">
        <v>44.2</v>
      </c>
      <c r="AY25">
        <v>50.5</v>
      </c>
      <c r="AZ25">
        <v>46.5</v>
      </c>
      <c r="BA25">
        <v>54.3</v>
      </c>
      <c r="BB25">
        <v>57.1</v>
      </c>
      <c r="BC25">
        <v>55.3</v>
      </c>
      <c r="BD25">
        <v>59.6</v>
      </c>
      <c r="BE25">
        <v>65.5</v>
      </c>
      <c r="BF25">
        <v>61.5</v>
      </c>
      <c r="BG25">
        <v>62.4</v>
      </c>
      <c r="BH25">
        <v>74</v>
      </c>
      <c r="BI25">
        <v>75.900000000000006</v>
      </c>
      <c r="BJ25">
        <v>88</v>
      </c>
      <c r="BK25">
        <v>86.9</v>
      </c>
      <c r="BL25">
        <v>92.2</v>
      </c>
      <c r="BM25">
        <v>96.2</v>
      </c>
      <c r="BN25">
        <v>99</v>
      </c>
      <c r="BO25">
        <v>99.4</v>
      </c>
      <c r="BP25">
        <v>99.5</v>
      </c>
    </row>
    <row r="26" spans="1:68" x14ac:dyDescent="0.3">
      <c r="A26" t="s">
        <v>23</v>
      </c>
      <c r="B26" t="s">
        <v>348</v>
      </c>
      <c r="C26" t="s">
        <v>715</v>
      </c>
      <c r="D26" t="s">
        <v>716</v>
      </c>
      <c r="AI26">
        <v>100</v>
      </c>
      <c r="AJ26">
        <v>100</v>
      </c>
      <c r="AK26">
        <v>100</v>
      </c>
      <c r="AL26">
        <v>100</v>
      </c>
      <c r="AM26">
        <v>100</v>
      </c>
      <c r="AN26">
        <v>100</v>
      </c>
      <c r="AO26">
        <v>100</v>
      </c>
      <c r="AP26">
        <v>100</v>
      </c>
      <c r="AQ26">
        <v>100</v>
      </c>
      <c r="AR26">
        <v>100</v>
      </c>
      <c r="AS26">
        <v>88.1</v>
      </c>
      <c r="AT26">
        <v>88.6</v>
      </c>
      <c r="AU26">
        <v>89.1</v>
      </c>
      <c r="AV26">
        <v>89.6</v>
      </c>
      <c r="AW26">
        <v>90.1</v>
      </c>
      <c r="AX26">
        <v>90.6</v>
      </c>
      <c r="AY26">
        <v>91.2</v>
      </c>
      <c r="AZ26">
        <v>91.7</v>
      </c>
      <c r="BA26">
        <v>92.3</v>
      </c>
      <c r="BB26">
        <v>92.9</v>
      </c>
      <c r="BC26">
        <v>93.5</v>
      </c>
      <c r="BD26">
        <v>94.1</v>
      </c>
      <c r="BE26">
        <v>94.7</v>
      </c>
      <c r="BF26">
        <v>95.3</v>
      </c>
      <c r="BG26">
        <v>95.9</v>
      </c>
      <c r="BH26">
        <v>96.6</v>
      </c>
      <c r="BI26">
        <v>97.3</v>
      </c>
      <c r="BJ26">
        <v>98.1</v>
      </c>
      <c r="BK26">
        <v>98.7</v>
      </c>
      <c r="BL26">
        <v>99.2</v>
      </c>
      <c r="BM26">
        <v>99.7</v>
      </c>
      <c r="BN26">
        <v>99.8</v>
      </c>
      <c r="BO26">
        <v>100</v>
      </c>
      <c r="BP26">
        <v>100</v>
      </c>
    </row>
    <row r="27" spans="1:68" x14ac:dyDescent="0.3">
      <c r="A27" t="s">
        <v>25</v>
      </c>
      <c r="B27" t="s">
        <v>349</v>
      </c>
      <c r="C27" t="s">
        <v>715</v>
      </c>
      <c r="D27" t="s">
        <v>716</v>
      </c>
      <c r="AI27">
        <v>99.941398620605497</v>
      </c>
      <c r="AJ27">
        <v>99.967391967773395</v>
      </c>
      <c r="AK27">
        <v>99.9871826171875</v>
      </c>
      <c r="AL27">
        <v>99.997138977050795</v>
      </c>
      <c r="AM27">
        <v>99.999771118164105</v>
      </c>
      <c r="AN27">
        <v>100</v>
      </c>
      <c r="AO27">
        <v>100</v>
      </c>
      <c r="AP27">
        <v>100</v>
      </c>
      <c r="AQ27">
        <v>100</v>
      </c>
      <c r="AR27">
        <v>100</v>
      </c>
      <c r="AS27">
        <v>100</v>
      </c>
      <c r="AT27">
        <v>100</v>
      </c>
      <c r="AU27">
        <v>100</v>
      </c>
      <c r="AV27">
        <v>100</v>
      </c>
      <c r="AW27">
        <v>100</v>
      </c>
      <c r="AX27">
        <v>100</v>
      </c>
      <c r="AY27">
        <v>100</v>
      </c>
      <c r="AZ27">
        <v>100</v>
      </c>
      <c r="BA27">
        <v>100</v>
      </c>
      <c r="BB27">
        <v>100</v>
      </c>
      <c r="BC27">
        <v>100</v>
      </c>
      <c r="BD27">
        <v>100</v>
      </c>
      <c r="BE27">
        <v>100</v>
      </c>
      <c r="BF27">
        <v>100</v>
      </c>
      <c r="BG27">
        <v>100</v>
      </c>
      <c r="BH27">
        <v>100</v>
      </c>
      <c r="BI27">
        <v>100</v>
      </c>
      <c r="BJ27">
        <v>100</v>
      </c>
      <c r="BK27">
        <v>100</v>
      </c>
      <c r="BL27">
        <v>100</v>
      </c>
      <c r="BM27">
        <v>100</v>
      </c>
      <c r="BN27">
        <v>100</v>
      </c>
      <c r="BO27">
        <v>100</v>
      </c>
      <c r="BP27">
        <v>100</v>
      </c>
    </row>
    <row r="28" spans="1:68" x14ac:dyDescent="0.3">
      <c r="A28" t="s">
        <v>350</v>
      </c>
      <c r="B28" t="s">
        <v>351</v>
      </c>
      <c r="C28" t="s">
        <v>715</v>
      </c>
      <c r="D28" t="s">
        <v>716</v>
      </c>
      <c r="AI28">
        <v>100</v>
      </c>
      <c r="AJ28">
        <v>100</v>
      </c>
      <c r="AK28">
        <v>100</v>
      </c>
      <c r="AL28">
        <v>100</v>
      </c>
      <c r="AM28">
        <v>100</v>
      </c>
      <c r="AN28">
        <v>100</v>
      </c>
      <c r="AO28">
        <v>100</v>
      </c>
      <c r="AP28">
        <v>100</v>
      </c>
      <c r="AQ28">
        <v>100</v>
      </c>
      <c r="AR28">
        <v>100</v>
      </c>
      <c r="AS28">
        <v>100</v>
      </c>
      <c r="AT28">
        <v>100</v>
      </c>
      <c r="AU28">
        <v>100</v>
      </c>
      <c r="AV28">
        <v>100</v>
      </c>
      <c r="AW28">
        <v>100</v>
      </c>
      <c r="AX28">
        <v>100</v>
      </c>
      <c r="AY28">
        <v>100</v>
      </c>
      <c r="AZ28">
        <v>100</v>
      </c>
      <c r="BA28">
        <v>100</v>
      </c>
      <c r="BB28">
        <v>100</v>
      </c>
      <c r="BC28">
        <v>100</v>
      </c>
      <c r="BD28">
        <v>100</v>
      </c>
      <c r="BE28">
        <v>100</v>
      </c>
      <c r="BF28">
        <v>100</v>
      </c>
      <c r="BG28">
        <v>100</v>
      </c>
      <c r="BH28">
        <v>100</v>
      </c>
      <c r="BI28">
        <v>100</v>
      </c>
      <c r="BJ28">
        <v>100</v>
      </c>
      <c r="BK28">
        <v>100</v>
      </c>
      <c r="BL28">
        <v>100</v>
      </c>
      <c r="BM28">
        <v>100</v>
      </c>
      <c r="BN28">
        <v>100</v>
      </c>
      <c r="BO28">
        <v>100</v>
      </c>
      <c r="BP28">
        <v>100</v>
      </c>
    </row>
    <row r="29" spans="1:68" x14ac:dyDescent="0.3">
      <c r="A29" t="s">
        <v>27</v>
      </c>
      <c r="B29" t="s">
        <v>352</v>
      </c>
      <c r="C29" t="s">
        <v>715</v>
      </c>
      <c r="D29" t="s">
        <v>716</v>
      </c>
      <c r="AI29">
        <v>100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100</v>
      </c>
      <c r="AP29">
        <v>100</v>
      </c>
      <c r="AQ29">
        <v>100</v>
      </c>
      <c r="AR29">
        <v>100</v>
      </c>
      <c r="AS29">
        <v>99</v>
      </c>
      <c r="AT29">
        <v>99.4</v>
      </c>
      <c r="AU29">
        <v>98.5</v>
      </c>
      <c r="AV29">
        <v>99</v>
      </c>
      <c r="AW29">
        <v>99.1</v>
      </c>
      <c r="AX29">
        <v>99.1</v>
      </c>
      <c r="AY29">
        <v>99.4</v>
      </c>
      <c r="AZ29">
        <v>99.7</v>
      </c>
      <c r="BA29">
        <v>99.3</v>
      </c>
      <c r="BB29">
        <v>99.4</v>
      </c>
      <c r="BC29">
        <v>99.5</v>
      </c>
      <c r="BD29">
        <v>99.7</v>
      </c>
      <c r="BE29">
        <v>99.7</v>
      </c>
      <c r="BF29">
        <v>99.5</v>
      </c>
      <c r="BG29">
        <v>99.9</v>
      </c>
      <c r="BH29">
        <v>99.7</v>
      </c>
      <c r="BI29">
        <v>100</v>
      </c>
      <c r="BJ29">
        <v>100</v>
      </c>
      <c r="BK29">
        <v>100</v>
      </c>
      <c r="BL29">
        <v>100</v>
      </c>
      <c r="BM29">
        <v>100</v>
      </c>
      <c r="BN29">
        <v>100</v>
      </c>
      <c r="BO29">
        <v>100</v>
      </c>
      <c r="BP29">
        <v>100</v>
      </c>
    </row>
    <row r="30" spans="1:68" x14ac:dyDescent="0.3">
      <c r="A30" t="s">
        <v>29</v>
      </c>
      <c r="B30" t="s">
        <v>353</v>
      </c>
      <c r="C30" t="s">
        <v>715</v>
      </c>
      <c r="D30" t="s">
        <v>716</v>
      </c>
      <c r="AI30">
        <v>100</v>
      </c>
      <c r="AJ30">
        <v>100</v>
      </c>
      <c r="AK30">
        <v>100</v>
      </c>
      <c r="AL30">
        <v>100</v>
      </c>
      <c r="AM30">
        <v>100</v>
      </c>
      <c r="AN30">
        <v>100</v>
      </c>
      <c r="AO30">
        <v>100</v>
      </c>
      <c r="AP30">
        <v>100</v>
      </c>
      <c r="AQ30">
        <v>100</v>
      </c>
      <c r="AR30">
        <v>100</v>
      </c>
      <c r="AS30">
        <v>89</v>
      </c>
      <c r="AT30">
        <v>89.5</v>
      </c>
      <c r="AU30">
        <v>90</v>
      </c>
      <c r="AV30">
        <v>90.5</v>
      </c>
      <c r="AW30">
        <v>91</v>
      </c>
      <c r="AX30">
        <v>91.5</v>
      </c>
      <c r="AY30">
        <v>92.1</v>
      </c>
      <c r="AZ30">
        <v>92.6</v>
      </c>
      <c r="BA30">
        <v>93.2</v>
      </c>
      <c r="BB30">
        <v>93.8</v>
      </c>
      <c r="BC30">
        <v>94.4</v>
      </c>
      <c r="BD30">
        <v>95</v>
      </c>
      <c r="BE30">
        <v>95.6</v>
      </c>
      <c r="BF30">
        <v>96.2</v>
      </c>
      <c r="BG30">
        <v>96.8</v>
      </c>
      <c r="BH30">
        <v>97.4</v>
      </c>
      <c r="BI30">
        <v>98</v>
      </c>
      <c r="BJ30">
        <v>98.7</v>
      </c>
      <c r="BK30">
        <v>99.3</v>
      </c>
      <c r="BL30">
        <v>100</v>
      </c>
      <c r="BM30">
        <v>100</v>
      </c>
      <c r="BN30">
        <v>100</v>
      </c>
      <c r="BO30">
        <v>100</v>
      </c>
      <c r="BP30">
        <v>100</v>
      </c>
    </row>
    <row r="31" spans="1:68" x14ac:dyDescent="0.3">
      <c r="A31" t="s">
        <v>354</v>
      </c>
      <c r="B31" t="s">
        <v>355</v>
      </c>
      <c r="C31" t="s">
        <v>715</v>
      </c>
      <c r="D31" t="s">
        <v>716</v>
      </c>
      <c r="AJ31">
        <v>67</v>
      </c>
      <c r="AK31">
        <v>72.224914550781307</v>
      </c>
      <c r="AL31">
        <v>73.123329162597699</v>
      </c>
      <c r="AM31">
        <v>74.0203857421875</v>
      </c>
      <c r="AN31">
        <v>74.915397644042997</v>
      </c>
      <c r="AO31">
        <v>75.807693481445298</v>
      </c>
      <c r="AP31">
        <v>76.696586608886705</v>
      </c>
      <c r="AQ31">
        <v>77.581405639648395</v>
      </c>
      <c r="AR31">
        <v>78.461380004882798</v>
      </c>
      <c r="AS31">
        <v>79</v>
      </c>
      <c r="AT31">
        <v>80.2</v>
      </c>
      <c r="AU31">
        <v>81</v>
      </c>
      <c r="AV31">
        <v>81.8</v>
      </c>
      <c r="AW31">
        <v>82.6</v>
      </c>
      <c r="AX31">
        <v>83.5</v>
      </c>
      <c r="AY31">
        <v>91</v>
      </c>
      <c r="AZ31">
        <v>85.2</v>
      </c>
      <c r="BA31">
        <v>86.1</v>
      </c>
      <c r="BB31">
        <v>86.9</v>
      </c>
      <c r="BC31">
        <v>89.9</v>
      </c>
      <c r="BD31">
        <v>91.7</v>
      </c>
      <c r="BE31">
        <v>90.9</v>
      </c>
      <c r="BF31">
        <v>91.1</v>
      </c>
      <c r="BG31">
        <v>91.5</v>
      </c>
      <c r="BH31">
        <v>91.8</v>
      </c>
      <c r="BI31">
        <v>93.3</v>
      </c>
      <c r="BJ31">
        <v>94.2</v>
      </c>
      <c r="BK31">
        <v>91.7</v>
      </c>
      <c r="BL31">
        <v>92.7</v>
      </c>
      <c r="BM31">
        <v>96.8</v>
      </c>
      <c r="BN31">
        <v>97.7</v>
      </c>
      <c r="BO31">
        <v>98.6</v>
      </c>
      <c r="BP31">
        <v>99.6</v>
      </c>
    </row>
    <row r="32" spans="1:68" x14ac:dyDescent="0.3">
      <c r="A32" t="s">
        <v>356</v>
      </c>
      <c r="B32" t="s">
        <v>357</v>
      </c>
      <c r="C32" t="s">
        <v>715</v>
      </c>
      <c r="D32" t="s">
        <v>716</v>
      </c>
      <c r="AI32">
        <v>100</v>
      </c>
      <c r="AJ32">
        <v>100</v>
      </c>
      <c r="AK32">
        <v>100</v>
      </c>
      <c r="AL32">
        <v>100</v>
      </c>
      <c r="AM32">
        <v>100</v>
      </c>
      <c r="AN32">
        <v>100</v>
      </c>
      <c r="AO32">
        <v>100</v>
      </c>
      <c r="AP32">
        <v>100</v>
      </c>
      <c r="AQ32">
        <v>100</v>
      </c>
      <c r="AR32">
        <v>100</v>
      </c>
      <c r="AS32">
        <v>100</v>
      </c>
      <c r="AT32">
        <v>100</v>
      </c>
      <c r="AU32">
        <v>100</v>
      </c>
      <c r="AV32">
        <v>100</v>
      </c>
      <c r="AW32">
        <v>100</v>
      </c>
      <c r="AX32">
        <v>100</v>
      </c>
      <c r="AY32">
        <v>100</v>
      </c>
      <c r="AZ32">
        <v>100</v>
      </c>
      <c r="BA32">
        <v>100</v>
      </c>
      <c r="BB32">
        <v>100</v>
      </c>
      <c r="BC32">
        <v>100</v>
      </c>
      <c r="BD32">
        <v>100</v>
      </c>
      <c r="BE32">
        <v>100</v>
      </c>
      <c r="BF32">
        <v>100</v>
      </c>
      <c r="BG32">
        <v>100</v>
      </c>
      <c r="BH32">
        <v>100</v>
      </c>
      <c r="BI32">
        <v>100</v>
      </c>
      <c r="BJ32">
        <v>100</v>
      </c>
      <c r="BK32">
        <v>100</v>
      </c>
      <c r="BL32">
        <v>100</v>
      </c>
      <c r="BM32">
        <v>100</v>
      </c>
      <c r="BN32">
        <v>100</v>
      </c>
      <c r="BO32">
        <v>100</v>
      </c>
      <c r="BP32">
        <v>100</v>
      </c>
    </row>
    <row r="33" spans="1:68" x14ac:dyDescent="0.3">
      <c r="A33" t="s">
        <v>31</v>
      </c>
      <c r="B33" t="s">
        <v>358</v>
      </c>
      <c r="C33" t="s">
        <v>715</v>
      </c>
      <c r="D33" t="s">
        <v>716</v>
      </c>
      <c r="AK33">
        <v>60.027900695800803</v>
      </c>
      <c r="AL33">
        <v>61.384029388427699</v>
      </c>
      <c r="AM33">
        <v>64.099999999999994</v>
      </c>
      <c r="AN33">
        <v>64.091529846191406</v>
      </c>
      <c r="AO33">
        <v>71</v>
      </c>
      <c r="AP33">
        <v>67.330431000000004</v>
      </c>
      <c r="AQ33">
        <v>71.2</v>
      </c>
      <c r="AR33">
        <v>70.929888000000005</v>
      </c>
      <c r="AS33">
        <v>70</v>
      </c>
      <c r="AT33">
        <v>69.3</v>
      </c>
      <c r="AU33">
        <v>64</v>
      </c>
      <c r="AV33">
        <v>72.3</v>
      </c>
      <c r="AW33">
        <v>75.900000000000006</v>
      </c>
      <c r="AX33">
        <v>68.3</v>
      </c>
      <c r="AY33">
        <v>76.2</v>
      </c>
      <c r="AZ33">
        <v>80.2</v>
      </c>
      <c r="BA33">
        <v>84.7</v>
      </c>
      <c r="BB33">
        <v>86.8</v>
      </c>
      <c r="BC33">
        <v>88</v>
      </c>
      <c r="BD33">
        <v>88.3</v>
      </c>
      <c r="BE33">
        <v>90.4</v>
      </c>
      <c r="BF33">
        <v>89.5</v>
      </c>
      <c r="BG33">
        <v>90</v>
      </c>
      <c r="BH33">
        <v>91.5</v>
      </c>
      <c r="BI33">
        <v>91.8</v>
      </c>
      <c r="BJ33">
        <v>91.8</v>
      </c>
      <c r="BK33">
        <v>92.8</v>
      </c>
      <c r="BL33">
        <v>95.1</v>
      </c>
      <c r="BM33">
        <v>97.2</v>
      </c>
      <c r="BN33">
        <v>98.6</v>
      </c>
      <c r="BO33">
        <v>99.9</v>
      </c>
      <c r="BP33">
        <v>99.8</v>
      </c>
    </row>
    <row r="34" spans="1:68" x14ac:dyDescent="0.3">
      <c r="A34" t="s">
        <v>33</v>
      </c>
      <c r="B34" t="s">
        <v>359</v>
      </c>
      <c r="C34" t="s">
        <v>715</v>
      </c>
      <c r="D34" t="s">
        <v>716</v>
      </c>
      <c r="AI34">
        <v>87.475116</v>
      </c>
      <c r="AJ34">
        <v>90.606544494628906</v>
      </c>
      <c r="AK34">
        <v>88.803832999999997</v>
      </c>
      <c r="AL34">
        <v>89.999927</v>
      </c>
      <c r="AM34">
        <v>91.883728027343807</v>
      </c>
      <c r="AN34">
        <v>91.728598000000005</v>
      </c>
      <c r="AO34">
        <v>92.867095000000006</v>
      </c>
      <c r="AP34">
        <v>93.354139000000004</v>
      </c>
      <c r="AQ34">
        <v>94.193811999999994</v>
      </c>
      <c r="AR34">
        <v>94.762960000000007</v>
      </c>
      <c r="AS34">
        <v>94.4</v>
      </c>
      <c r="AT34">
        <v>96</v>
      </c>
      <c r="AU34">
        <v>96.7</v>
      </c>
      <c r="AV34">
        <v>97</v>
      </c>
      <c r="AW34">
        <v>96.8</v>
      </c>
      <c r="AX34">
        <v>97.1</v>
      </c>
      <c r="AY34">
        <v>97.6</v>
      </c>
      <c r="AZ34">
        <v>98.1</v>
      </c>
      <c r="BA34">
        <v>98.5</v>
      </c>
      <c r="BB34">
        <v>98.9</v>
      </c>
      <c r="BC34">
        <v>98.6</v>
      </c>
      <c r="BD34">
        <v>99.3</v>
      </c>
      <c r="BE34">
        <v>99.5</v>
      </c>
      <c r="BF34">
        <v>99.6</v>
      </c>
      <c r="BG34">
        <v>99.7</v>
      </c>
      <c r="BH34">
        <v>99.7</v>
      </c>
      <c r="BI34">
        <v>99.7</v>
      </c>
      <c r="BJ34">
        <v>99.8</v>
      </c>
      <c r="BK34">
        <v>99.7</v>
      </c>
      <c r="BL34">
        <v>99.8</v>
      </c>
      <c r="BM34">
        <v>99.7</v>
      </c>
      <c r="BN34">
        <v>99.5</v>
      </c>
      <c r="BO34">
        <v>100</v>
      </c>
      <c r="BP34">
        <v>99.8</v>
      </c>
    </row>
    <row r="35" spans="1:68" x14ac:dyDescent="0.3">
      <c r="A35" t="s">
        <v>360</v>
      </c>
      <c r="B35" t="s">
        <v>361</v>
      </c>
      <c r="C35" t="s">
        <v>715</v>
      </c>
      <c r="D35" t="s">
        <v>716</v>
      </c>
      <c r="AI35">
        <v>99.9842529296875</v>
      </c>
      <c r="AJ35">
        <v>99.993438720703097</v>
      </c>
      <c r="AK35">
        <v>99.998687744140597</v>
      </c>
      <c r="AL35">
        <v>100</v>
      </c>
      <c r="AM35">
        <v>100</v>
      </c>
      <c r="AN35">
        <v>100</v>
      </c>
      <c r="AO35">
        <v>100</v>
      </c>
      <c r="AP35">
        <v>100</v>
      </c>
      <c r="AQ35">
        <v>100</v>
      </c>
      <c r="AR35">
        <v>100</v>
      </c>
      <c r="AS35">
        <v>100</v>
      </c>
      <c r="AT35">
        <v>100</v>
      </c>
      <c r="AU35">
        <v>100</v>
      </c>
      <c r="AV35">
        <v>100</v>
      </c>
      <c r="AW35">
        <v>99.9</v>
      </c>
      <c r="AX35">
        <v>99.9</v>
      </c>
      <c r="AY35">
        <v>100</v>
      </c>
      <c r="AZ35">
        <v>100</v>
      </c>
      <c r="BA35">
        <v>100</v>
      </c>
      <c r="BB35">
        <v>100</v>
      </c>
      <c r="BC35">
        <v>100</v>
      </c>
      <c r="BD35">
        <v>100</v>
      </c>
      <c r="BE35">
        <v>100</v>
      </c>
      <c r="BF35">
        <v>100</v>
      </c>
      <c r="BG35">
        <v>100</v>
      </c>
      <c r="BH35">
        <v>100</v>
      </c>
      <c r="BI35">
        <v>100</v>
      </c>
      <c r="BJ35">
        <v>100</v>
      </c>
      <c r="BK35">
        <v>100</v>
      </c>
      <c r="BL35">
        <v>100</v>
      </c>
      <c r="BM35">
        <v>100</v>
      </c>
      <c r="BN35">
        <v>100</v>
      </c>
      <c r="BO35">
        <v>100</v>
      </c>
      <c r="BP35">
        <v>100</v>
      </c>
    </row>
    <row r="36" spans="1:68" x14ac:dyDescent="0.3">
      <c r="A36" t="s">
        <v>35</v>
      </c>
      <c r="B36" t="s">
        <v>362</v>
      </c>
      <c r="C36" t="s">
        <v>715</v>
      </c>
      <c r="D36" t="s">
        <v>716</v>
      </c>
      <c r="AI36">
        <v>100</v>
      </c>
      <c r="AJ36">
        <v>100</v>
      </c>
      <c r="AK36">
        <v>100</v>
      </c>
      <c r="AL36">
        <v>100</v>
      </c>
      <c r="AM36">
        <v>100</v>
      </c>
      <c r="AN36">
        <v>100</v>
      </c>
      <c r="AO36">
        <v>100</v>
      </c>
      <c r="AP36">
        <v>100</v>
      </c>
      <c r="AQ36">
        <v>100</v>
      </c>
      <c r="AR36">
        <v>100</v>
      </c>
      <c r="AS36">
        <v>100</v>
      </c>
      <c r="AT36">
        <v>100</v>
      </c>
      <c r="AU36">
        <v>100</v>
      </c>
      <c r="AV36">
        <v>100</v>
      </c>
      <c r="AW36">
        <v>100</v>
      </c>
      <c r="AX36">
        <v>100</v>
      </c>
      <c r="AY36">
        <v>100</v>
      </c>
      <c r="AZ36">
        <v>100</v>
      </c>
      <c r="BA36">
        <v>100</v>
      </c>
      <c r="BB36">
        <v>100</v>
      </c>
      <c r="BC36">
        <v>100</v>
      </c>
      <c r="BD36">
        <v>100</v>
      </c>
      <c r="BE36">
        <v>100</v>
      </c>
      <c r="BF36">
        <v>100</v>
      </c>
      <c r="BG36">
        <v>100</v>
      </c>
      <c r="BH36">
        <v>100</v>
      </c>
      <c r="BI36">
        <v>100</v>
      </c>
      <c r="BJ36">
        <v>100</v>
      </c>
      <c r="BK36">
        <v>100</v>
      </c>
      <c r="BL36">
        <v>100</v>
      </c>
      <c r="BM36">
        <v>100</v>
      </c>
      <c r="BN36">
        <v>100</v>
      </c>
      <c r="BO36">
        <v>100</v>
      </c>
      <c r="BP36">
        <v>100</v>
      </c>
    </row>
    <row r="37" spans="1:68" x14ac:dyDescent="0.3">
      <c r="A37" t="s">
        <v>363</v>
      </c>
      <c r="B37" t="s">
        <v>364</v>
      </c>
      <c r="C37" t="s">
        <v>715</v>
      </c>
      <c r="D37" t="s">
        <v>716</v>
      </c>
      <c r="AS37">
        <v>31.2</v>
      </c>
      <c r="AT37">
        <v>40.200000000000003</v>
      </c>
      <c r="AU37">
        <v>44.1</v>
      </c>
      <c r="AV37">
        <v>41.1</v>
      </c>
      <c r="AW37">
        <v>51.9</v>
      </c>
      <c r="AX37">
        <v>59.8</v>
      </c>
      <c r="AY37">
        <v>59.7</v>
      </c>
      <c r="AZ37">
        <v>71.8</v>
      </c>
      <c r="BA37">
        <v>67.599999999999994</v>
      </c>
      <c r="BB37">
        <v>71.5</v>
      </c>
      <c r="BC37">
        <v>73.3</v>
      </c>
      <c r="BD37">
        <v>81.8</v>
      </c>
      <c r="BE37">
        <v>91.5</v>
      </c>
      <c r="BF37">
        <v>87.4</v>
      </c>
      <c r="BG37">
        <v>91.4</v>
      </c>
      <c r="BH37">
        <v>95.4</v>
      </c>
      <c r="BI37">
        <v>99.3</v>
      </c>
      <c r="BJ37">
        <v>97.7</v>
      </c>
      <c r="BK37">
        <v>100</v>
      </c>
      <c r="BL37">
        <v>100</v>
      </c>
      <c r="BM37">
        <v>100</v>
      </c>
      <c r="BN37">
        <v>100</v>
      </c>
      <c r="BO37">
        <v>100</v>
      </c>
      <c r="BP37">
        <v>100</v>
      </c>
    </row>
    <row r="38" spans="1:68" x14ac:dyDescent="0.3">
      <c r="A38" t="s">
        <v>37</v>
      </c>
      <c r="B38" t="s">
        <v>365</v>
      </c>
      <c r="C38" t="s">
        <v>715</v>
      </c>
      <c r="D38" t="s">
        <v>716</v>
      </c>
      <c r="AJ38">
        <v>10.1</v>
      </c>
      <c r="AK38">
        <v>9.3982267379760707</v>
      </c>
      <c r="AL38">
        <v>11.642076492309601</v>
      </c>
      <c r="AM38">
        <v>13.8845663070679</v>
      </c>
      <c r="AN38">
        <v>16.125017166137699</v>
      </c>
      <c r="AO38">
        <v>18.362747192382798</v>
      </c>
      <c r="AP38">
        <v>20.5970783233643</v>
      </c>
      <c r="AQ38">
        <v>22.827329635620099</v>
      </c>
      <c r="AR38">
        <v>25.052740097045898</v>
      </c>
      <c r="AS38">
        <v>26.5</v>
      </c>
      <c r="AT38">
        <v>24.8</v>
      </c>
      <c r="AU38">
        <v>27</v>
      </c>
      <c r="AV38">
        <v>33.1</v>
      </c>
      <c r="AW38">
        <v>35.299999999999997</v>
      </c>
      <c r="AX38">
        <v>37.5</v>
      </c>
      <c r="AY38">
        <v>39.700000000000003</v>
      </c>
      <c r="AZ38">
        <v>41.9</v>
      </c>
      <c r="BA38">
        <v>44.5</v>
      </c>
      <c r="BB38">
        <v>43.4</v>
      </c>
      <c r="BC38">
        <v>52</v>
      </c>
      <c r="BD38">
        <v>53.2</v>
      </c>
      <c r="BE38">
        <v>56</v>
      </c>
      <c r="BF38">
        <v>58</v>
      </c>
      <c r="BG38">
        <v>60</v>
      </c>
      <c r="BH38">
        <v>62.1</v>
      </c>
      <c r="BI38">
        <v>64.2</v>
      </c>
      <c r="BJ38">
        <v>67.400000000000006</v>
      </c>
      <c r="BK38">
        <v>68.3</v>
      </c>
      <c r="BL38">
        <v>70.099999999999994</v>
      </c>
      <c r="BM38">
        <v>71.8</v>
      </c>
      <c r="BN38">
        <v>73.7</v>
      </c>
      <c r="BO38">
        <v>75.900000000000006</v>
      </c>
      <c r="BP38">
        <v>76</v>
      </c>
    </row>
    <row r="39" spans="1:68" x14ac:dyDescent="0.3">
      <c r="A39" t="s">
        <v>366</v>
      </c>
      <c r="B39" t="s">
        <v>367</v>
      </c>
      <c r="C39" t="s">
        <v>715</v>
      </c>
      <c r="D39" t="s">
        <v>716</v>
      </c>
      <c r="AN39">
        <v>3</v>
      </c>
      <c r="AO39">
        <v>3.3349156379699698</v>
      </c>
      <c r="AP39">
        <v>3.83021020889282</v>
      </c>
      <c r="AQ39">
        <v>4.3214254379272496</v>
      </c>
      <c r="AR39">
        <v>4.8077983856201199</v>
      </c>
      <c r="AS39">
        <v>6</v>
      </c>
      <c r="AT39">
        <v>5.7</v>
      </c>
      <c r="AU39">
        <v>6.1</v>
      </c>
      <c r="AV39">
        <v>6.6</v>
      </c>
      <c r="AW39">
        <v>7</v>
      </c>
      <c r="AX39">
        <v>7.4</v>
      </c>
      <c r="AY39">
        <v>7.8</v>
      </c>
      <c r="AZ39">
        <v>8.4</v>
      </c>
      <c r="BA39">
        <v>7.5</v>
      </c>
      <c r="BB39">
        <v>9.4</v>
      </c>
      <c r="BC39">
        <v>9.8000000000000007</v>
      </c>
      <c r="BD39">
        <v>10.4</v>
      </c>
      <c r="BE39">
        <v>11</v>
      </c>
      <c r="BF39">
        <v>11.5</v>
      </c>
      <c r="BG39">
        <v>12</v>
      </c>
      <c r="BH39">
        <v>12.7</v>
      </c>
      <c r="BI39">
        <v>13.4</v>
      </c>
      <c r="BJ39">
        <v>14.1</v>
      </c>
      <c r="BK39">
        <v>14.6</v>
      </c>
      <c r="BL39">
        <v>14.3</v>
      </c>
      <c r="BM39">
        <v>15.4</v>
      </c>
      <c r="BN39">
        <v>15.7</v>
      </c>
      <c r="BO39">
        <v>15.7</v>
      </c>
      <c r="BP39">
        <v>17.600000000000001</v>
      </c>
    </row>
    <row r="40" spans="1:68" x14ac:dyDescent="0.3">
      <c r="A40" t="s">
        <v>39</v>
      </c>
      <c r="B40" t="s">
        <v>368</v>
      </c>
      <c r="C40" t="s">
        <v>715</v>
      </c>
      <c r="D40" t="s">
        <v>716</v>
      </c>
      <c r="AI40">
        <v>100</v>
      </c>
      <c r="AJ40">
        <v>100</v>
      </c>
      <c r="AK40">
        <v>100</v>
      </c>
      <c r="AL40">
        <v>100</v>
      </c>
      <c r="AM40">
        <v>100</v>
      </c>
      <c r="AN40">
        <v>100</v>
      </c>
      <c r="AO40">
        <v>100</v>
      </c>
      <c r="AP40">
        <v>100</v>
      </c>
      <c r="AQ40">
        <v>100</v>
      </c>
      <c r="AR40">
        <v>100</v>
      </c>
      <c r="AS40">
        <v>100</v>
      </c>
      <c r="AT40">
        <v>100</v>
      </c>
      <c r="AU40">
        <v>100</v>
      </c>
      <c r="AV40">
        <v>100</v>
      </c>
      <c r="AW40">
        <v>100</v>
      </c>
      <c r="AX40">
        <v>100</v>
      </c>
      <c r="AY40">
        <v>100</v>
      </c>
      <c r="AZ40">
        <v>100</v>
      </c>
      <c r="BA40">
        <v>100</v>
      </c>
      <c r="BB40">
        <v>100</v>
      </c>
      <c r="BC40">
        <v>100</v>
      </c>
      <c r="BD40">
        <v>100</v>
      </c>
      <c r="BE40">
        <v>100</v>
      </c>
      <c r="BF40">
        <v>100</v>
      </c>
      <c r="BG40">
        <v>100</v>
      </c>
      <c r="BH40">
        <v>100</v>
      </c>
      <c r="BI40">
        <v>100</v>
      </c>
      <c r="BJ40">
        <v>100</v>
      </c>
      <c r="BK40">
        <v>100</v>
      </c>
      <c r="BL40">
        <v>100</v>
      </c>
      <c r="BM40">
        <v>100</v>
      </c>
      <c r="BN40">
        <v>100</v>
      </c>
      <c r="BO40">
        <v>100</v>
      </c>
      <c r="BP40">
        <v>100</v>
      </c>
    </row>
    <row r="41" spans="1:68" x14ac:dyDescent="0.3">
      <c r="A41" t="s">
        <v>369</v>
      </c>
      <c r="B41" t="s">
        <v>370</v>
      </c>
      <c r="C41" t="s">
        <v>715</v>
      </c>
      <c r="D41" t="s">
        <v>716</v>
      </c>
      <c r="AI41">
        <v>100</v>
      </c>
      <c r="AJ41">
        <v>100</v>
      </c>
      <c r="AK41">
        <v>100</v>
      </c>
      <c r="AL41">
        <v>100</v>
      </c>
      <c r="AM41">
        <v>100</v>
      </c>
      <c r="AN41">
        <v>100</v>
      </c>
      <c r="AO41">
        <v>100</v>
      </c>
      <c r="AP41">
        <v>100</v>
      </c>
      <c r="AQ41">
        <v>100</v>
      </c>
      <c r="AR41">
        <v>100</v>
      </c>
      <c r="AS41">
        <v>97.92626353295941</v>
      </c>
      <c r="AT41">
        <v>98.023537973573696</v>
      </c>
      <c r="AU41">
        <v>98.141558320381662</v>
      </c>
      <c r="AV41">
        <v>98.190796895041629</v>
      </c>
      <c r="AW41">
        <v>98.267929830080035</v>
      </c>
      <c r="AX41">
        <v>98.320699841027945</v>
      </c>
      <c r="AY41">
        <v>98.424281780815946</v>
      </c>
      <c r="AZ41">
        <v>98.527644639505496</v>
      </c>
      <c r="BA41">
        <v>98.668856546124985</v>
      </c>
      <c r="BB41">
        <v>98.858660118668354</v>
      </c>
      <c r="BC41">
        <v>98.96442715450975</v>
      </c>
      <c r="BD41">
        <v>99.068298722374564</v>
      </c>
      <c r="BE41">
        <v>99.202835689741747</v>
      </c>
      <c r="BF41">
        <v>99.308477384130555</v>
      </c>
      <c r="BG41">
        <v>99.410769462163032</v>
      </c>
      <c r="BH41">
        <v>99.538470986329855</v>
      </c>
      <c r="BI41">
        <v>99.64591382979448</v>
      </c>
      <c r="BJ41">
        <v>99.873686683046898</v>
      </c>
      <c r="BK41">
        <v>99.87637589835262</v>
      </c>
      <c r="BL41">
        <v>99.948034962679856</v>
      </c>
      <c r="BM41">
        <v>99.980583964969966</v>
      </c>
      <c r="BN41">
        <v>99.987012118228918</v>
      </c>
      <c r="BO41">
        <v>100</v>
      </c>
      <c r="BP41">
        <v>100</v>
      </c>
    </row>
    <row r="42" spans="1:68" x14ac:dyDescent="0.3">
      <c r="A42" t="s">
        <v>41</v>
      </c>
      <c r="B42" t="s">
        <v>371</v>
      </c>
      <c r="C42" t="s">
        <v>715</v>
      </c>
      <c r="D42" t="s">
        <v>716</v>
      </c>
      <c r="AI42">
        <v>100</v>
      </c>
      <c r="AJ42">
        <v>100</v>
      </c>
      <c r="AK42">
        <v>100</v>
      </c>
      <c r="AL42">
        <v>100</v>
      </c>
      <c r="AM42">
        <v>100</v>
      </c>
      <c r="AN42">
        <v>100</v>
      </c>
      <c r="AO42">
        <v>100</v>
      </c>
      <c r="AP42">
        <v>100</v>
      </c>
      <c r="AQ42">
        <v>100</v>
      </c>
      <c r="AR42">
        <v>100</v>
      </c>
      <c r="AS42">
        <v>100</v>
      </c>
      <c r="AT42">
        <v>100</v>
      </c>
      <c r="AU42">
        <v>100</v>
      </c>
      <c r="AV42">
        <v>100</v>
      </c>
      <c r="AW42">
        <v>100</v>
      </c>
      <c r="AX42">
        <v>100</v>
      </c>
      <c r="AY42">
        <v>100</v>
      </c>
      <c r="AZ42">
        <v>100</v>
      </c>
      <c r="BA42">
        <v>100</v>
      </c>
      <c r="BB42">
        <v>100</v>
      </c>
      <c r="BC42">
        <v>100</v>
      </c>
      <c r="BD42">
        <v>100</v>
      </c>
      <c r="BE42">
        <v>100</v>
      </c>
      <c r="BF42">
        <v>100</v>
      </c>
      <c r="BG42">
        <v>100</v>
      </c>
      <c r="BH42">
        <v>100</v>
      </c>
      <c r="BI42">
        <v>100</v>
      </c>
      <c r="BJ42">
        <v>100</v>
      </c>
      <c r="BK42">
        <v>100</v>
      </c>
      <c r="BL42">
        <v>100</v>
      </c>
      <c r="BM42">
        <v>100</v>
      </c>
      <c r="BN42">
        <v>100</v>
      </c>
      <c r="BO42">
        <v>100</v>
      </c>
      <c r="BP42">
        <v>100</v>
      </c>
    </row>
    <row r="43" spans="1:68" x14ac:dyDescent="0.3">
      <c r="A43" t="s">
        <v>372</v>
      </c>
      <c r="B43" t="s">
        <v>373</v>
      </c>
      <c r="C43" t="s">
        <v>715</v>
      </c>
      <c r="D43" t="s">
        <v>716</v>
      </c>
      <c r="AI43">
        <v>100</v>
      </c>
      <c r="AJ43">
        <v>100</v>
      </c>
      <c r="AK43">
        <v>100</v>
      </c>
      <c r="AL43">
        <v>100</v>
      </c>
      <c r="AM43">
        <v>100</v>
      </c>
      <c r="AN43">
        <v>100</v>
      </c>
      <c r="AO43">
        <v>100</v>
      </c>
      <c r="AP43">
        <v>100</v>
      </c>
      <c r="AQ43">
        <v>100</v>
      </c>
      <c r="AR43">
        <v>100</v>
      </c>
      <c r="AS43">
        <v>100</v>
      </c>
      <c r="AT43">
        <v>100</v>
      </c>
      <c r="AU43">
        <v>100</v>
      </c>
      <c r="AV43">
        <v>100</v>
      </c>
      <c r="AW43">
        <v>100</v>
      </c>
      <c r="AX43">
        <v>100</v>
      </c>
      <c r="AY43">
        <v>100</v>
      </c>
      <c r="AZ43">
        <v>100</v>
      </c>
      <c r="BA43">
        <v>100</v>
      </c>
      <c r="BB43">
        <v>100</v>
      </c>
      <c r="BC43">
        <v>100</v>
      </c>
      <c r="BD43">
        <v>100</v>
      </c>
      <c r="BE43">
        <v>100</v>
      </c>
      <c r="BF43">
        <v>100</v>
      </c>
      <c r="BG43">
        <v>100</v>
      </c>
      <c r="BH43">
        <v>100</v>
      </c>
      <c r="BI43">
        <v>100</v>
      </c>
      <c r="BJ43">
        <v>100</v>
      </c>
      <c r="BK43">
        <v>100</v>
      </c>
      <c r="BL43">
        <v>100</v>
      </c>
      <c r="BM43">
        <v>100</v>
      </c>
      <c r="BN43">
        <v>100</v>
      </c>
      <c r="BO43">
        <v>100</v>
      </c>
      <c r="BP43">
        <v>100</v>
      </c>
    </row>
    <row r="44" spans="1:68" x14ac:dyDescent="0.3">
      <c r="A44" t="s">
        <v>43</v>
      </c>
      <c r="B44" t="s">
        <v>374</v>
      </c>
      <c r="C44" t="s">
        <v>715</v>
      </c>
      <c r="D44" t="s">
        <v>716</v>
      </c>
      <c r="AI44">
        <v>92.257427000000007</v>
      </c>
      <c r="AJ44">
        <v>94.781623840332003</v>
      </c>
      <c r="AK44">
        <v>94.560057</v>
      </c>
      <c r="AL44">
        <v>95.273727416992202</v>
      </c>
      <c r="AM44">
        <v>95.518074035644503</v>
      </c>
      <c r="AN44">
        <v>95.760383605957003</v>
      </c>
      <c r="AO44">
        <v>95.617315000000005</v>
      </c>
      <c r="AP44">
        <v>96.236167907714801</v>
      </c>
      <c r="AQ44">
        <v>97.241123999999999</v>
      </c>
      <c r="AR44">
        <v>96.695549011230497</v>
      </c>
      <c r="AS44">
        <v>97.9</v>
      </c>
      <c r="AT44">
        <v>97.1</v>
      </c>
      <c r="AU44">
        <v>97.3</v>
      </c>
      <c r="AV44">
        <v>98.8</v>
      </c>
      <c r="AW44">
        <v>97.5</v>
      </c>
      <c r="AX44">
        <v>97.7</v>
      </c>
      <c r="AY44">
        <v>99.4</v>
      </c>
      <c r="AZ44">
        <v>98</v>
      </c>
      <c r="BA44">
        <v>98.2</v>
      </c>
      <c r="BB44">
        <v>99.6</v>
      </c>
      <c r="BC44">
        <v>99.5</v>
      </c>
      <c r="BD44">
        <v>99.6</v>
      </c>
      <c r="BE44">
        <v>100</v>
      </c>
      <c r="BF44">
        <v>99.6</v>
      </c>
      <c r="BG44">
        <v>100</v>
      </c>
      <c r="BH44">
        <v>99.7</v>
      </c>
      <c r="BI44">
        <v>100</v>
      </c>
      <c r="BJ44">
        <v>99.7</v>
      </c>
      <c r="BK44">
        <v>100</v>
      </c>
      <c r="BL44">
        <v>100</v>
      </c>
      <c r="BM44">
        <v>100</v>
      </c>
      <c r="BN44">
        <v>100</v>
      </c>
      <c r="BO44">
        <v>100</v>
      </c>
      <c r="BP44">
        <v>100</v>
      </c>
    </row>
    <row r="45" spans="1:68" x14ac:dyDescent="0.3">
      <c r="A45" t="s">
        <v>45</v>
      </c>
      <c r="B45" t="s">
        <v>375</v>
      </c>
      <c r="C45" t="s">
        <v>715</v>
      </c>
      <c r="D45" t="s">
        <v>716</v>
      </c>
      <c r="AS45">
        <v>96.7</v>
      </c>
      <c r="AT45">
        <v>97</v>
      </c>
      <c r="AU45">
        <v>97.2</v>
      </c>
      <c r="AV45">
        <v>97.4</v>
      </c>
      <c r="AW45">
        <v>97.7</v>
      </c>
      <c r="AX45">
        <v>97.9</v>
      </c>
      <c r="AY45">
        <v>98.2</v>
      </c>
      <c r="AZ45">
        <v>98.5</v>
      </c>
      <c r="BA45">
        <v>98.8</v>
      </c>
      <c r="BB45">
        <v>99.1</v>
      </c>
      <c r="BC45">
        <v>99.7</v>
      </c>
      <c r="BD45">
        <v>99.9</v>
      </c>
      <c r="BE45">
        <v>99.9</v>
      </c>
      <c r="BF45">
        <v>100</v>
      </c>
      <c r="BG45">
        <v>100</v>
      </c>
      <c r="BH45">
        <v>100</v>
      </c>
      <c r="BI45">
        <v>100</v>
      </c>
      <c r="BJ45">
        <v>100</v>
      </c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</row>
    <row r="46" spans="1:68" x14ac:dyDescent="0.3">
      <c r="A46" t="s">
        <v>46</v>
      </c>
      <c r="B46" t="s">
        <v>376</v>
      </c>
      <c r="C46" t="s">
        <v>715</v>
      </c>
      <c r="D46" t="s">
        <v>716</v>
      </c>
      <c r="AM46">
        <v>36.5</v>
      </c>
      <c r="AN46">
        <v>43.631252288818402</v>
      </c>
      <c r="AO46">
        <v>44.6482124328613</v>
      </c>
      <c r="AP46">
        <v>45.661769866943402</v>
      </c>
      <c r="AQ46">
        <v>46.6712455749512</v>
      </c>
      <c r="AR46">
        <v>48.2</v>
      </c>
      <c r="AS46">
        <v>48.7</v>
      </c>
      <c r="AT46">
        <v>49.7</v>
      </c>
      <c r="AU46">
        <v>51.4</v>
      </c>
      <c r="AV46">
        <v>51.5</v>
      </c>
      <c r="AW46">
        <v>52.4</v>
      </c>
      <c r="AX46">
        <v>58.9</v>
      </c>
      <c r="AY46">
        <v>60.2</v>
      </c>
      <c r="AZ46">
        <v>55.3</v>
      </c>
      <c r="BA46">
        <v>60.3</v>
      </c>
      <c r="BB46">
        <v>57.3</v>
      </c>
      <c r="BC46">
        <v>58.4</v>
      </c>
      <c r="BD46">
        <v>55.8</v>
      </c>
      <c r="BE46">
        <v>55.8</v>
      </c>
      <c r="BF46">
        <v>61.5</v>
      </c>
      <c r="BG46">
        <v>61.9</v>
      </c>
      <c r="BH46">
        <v>62.6</v>
      </c>
      <c r="BI46">
        <v>64.3</v>
      </c>
      <c r="BJ46">
        <v>65.599999999999994</v>
      </c>
      <c r="BK46">
        <v>67.099999999999994</v>
      </c>
      <c r="BL46">
        <v>68.599999999999994</v>
      </c>
      <c r="BM46">
        <v>69.900000000000006</v>
      </c>
      <c r="BN46">
        <v>71.099999999999994</v>
      </c>
      <c r="BO46">
        <v>72</v>
      </c>
      <c r="BP46">
        <v>72.400000000000006</v>
      </c>
    </row>
    <row r="47" spans="1:68" x14ac:dyDescent="0.3">
      <c r="A47" t="s">
        <v>48</v>
      </c>
      <c r="B47" t="s">
        <v>377</v>
      </c>
      <c r="C47" t="s">
        <v>715</v>
      </c>
      <c r="D47" t="s">
        <v>716</v>
      </c>
      <c r="AJ47">
        <v>29</v>
      </c>
      <c r="AK47">
        <v>32.697525024414098</v>
      </c>
      <c r="AL47">
        <v>33.849193572997997</v>
      </c>
      <c r="AM47">
        <v>34.999504089355497</v>
      </c>
      <c r="AN47">
        <v>36.147773742675803</v>
      </c>
      <c r="AO47">
        <v>37.293323516845703</v>
      </c>
      <c r="AP47">
        <v>38.435474395752003</v>
      </c>
      <c r="AQ47">
        <v>40.700000000000003</v>
      </c>
      <c r="AR47">
        <v>40.706775665283203</v>
      </c>
      <c r="AS47">
        <v>41</v>
      </c>
      <c r="AT47">
        <v>46.2</v>
      </c>
      <c r="AU47">
        <v>44</v>
      </c>
      <c r="AV47">
        <v>45.1</v>
      </c>
      <c r="AW47">
        <v>47.1</v>
      </c>
      <c r="AX47">
        <v>47.2</v>
      </c>
      <c r="AY47">
        <v>49</v>
      </c>
      <c r="AZ47">
        <v>48.2</v>
      </c>
      <c r="BA47">
        <v>50.6</v>
      </c>
      <c r="BB47">
        <v>51.7</v>
      </c>
      <c r="BC47">
        <v>52.8</v>
      </c>
      <c r="BD47">
        <v>53.7</v>
      </c>
      <c r="BE47">
        <v>55.2</v>
      </c>
      <c r="BF47">
        <v>56.3</v>
      </c>
      <c r="BG47">
        <v>56.8</v>
      </c>
      <c r="BH47">
        <v>58.6</v>
      </c>
      <c r="BI47">
        <v>59.8</v>
      </c>
      <c r="BJ47">
        <v>60.9</v>
      </c>
      <c r="BK47">
        <v>62.2</v>
      </c>
      <c r="BL47">
        <v>63.2</v>
      </c>
      <c r="BM47">
        <v>64.3</v>
      </c>
      <c r="BN47">
        <v>65.400000000000006</v>
      </c>
      <c r="BO47">
        <v>71</v>
      </c>
      <c r="BP47">
        <v>72</v>
      </c>
    </row>
    <row r="48" spans="1:68" x14ac:dyDescent="0.3">
      <c r="A48" t="s">
        <v>720</v>
      </c>
      <c r="B48" t="s">
        <v>378</v>
      </c>
      <c r="C48" t="s">
        <v>715</v>
      </c>
      <c r="D48" t="s">
        <v>716</v>
      </c>
      <c r="AS48">
        <v>6.7</v>
      </c>
      <c r="AT48">
        <v>7.1</v>
      </c>
      <c r="AU48">
        <v>7.7</v>
      </c>
      <c r="AV48">
        <v>8.3000000000000007</v>
      </c>
      <c r="AW48">
        <v>9</v>
      </c>
      <c r="AX48">
        <v>6</v>
      </c>
      <c r="AY48">
        <v>10.199999999999999</v>
      </c>
      <c r="AZ48">
        <v>15.2</v>
      </c>
      <c r="BA48">
        <v>11.6</v>
      </c>
      <c r="BB48">
        <v>12.3</v>
      </c>
      <c r="BC48">
        <v>13</v>
      </c>
      <c r="BD48">
        <v>13.7</v>
      </c>
      <c r="BE48">
        <v>15.4</v>
      </c>
      <c r="BF48">
        <v>15.2</v>
      </c>
      <c r="BG48">
        <v>13.5</v>
      </c>
      <c r="BH48">
        <v>16.600000000000001</v>
      </c>
      <c r="BI48">
        <v>17.3</v>
      </c>
      <c r="BJ48">
        <v>18</v>
      </c>
      <c r="BK48">
        <v>18.7</v>
      </c>
      <c r="BL48">
        <v>19.100000000000001</v>
      </c>
      <c r="BM48">
        <v>20.100000000000001</v>
      </c>
      <c r="BN48">
        <v>20.8</v>
      </c>
      <c r="BO48">
        <v>21.5</v>
      </c>
      <c r="BP48">
        <v>22.1</v>
      </c>
    </row>
    <row r="49" spans="1:68" x14ac:dyDescent="0.3">
      <c r="A49" t="s">
        <v>744</v>
      </c>
      <c r="B49" t="s">
        <v>379</v>
      </c>
      <c r="C49" t="s">
        <v>715</v>
      </c>
      <c r="D49" t="s">
        <v>716</v>
      </c>
      <c r="AS49">
        <v>29.4</v>
      </c>
      <c r="AT49">
        <v>30.3</v>
      </c>
      <c r="AU49">
        <v>31.2</v>
      </c>
      <c r="AV49">
        <v>32.1</v>
      </c>
      <c r="AW49">
        <v>33</v>
      </c>
      <c r="AX49">
        <v>33.799999999999997</v>
      </c>
      <c r="AY49">
        <v>34.9</v>
      </c>
      <c r="AZ49">
        <v>35.799999999999997</v>
      </c>
      <c r="BA49">
        <v>36.799999999999997</v>
      </c>
      <c r="BB49">
        <v>37.1</v>
      </c>
      <c r="BC49">
        <v>40</v>
      </c>
      <c r="BD49">
        <v>40.799999999999997</v>
      </c>
      <c r="BE49">
        <v>41.6</v>
      </c>
      <c r="BF49">
        <v>42.5</v>
      </c>
      <c r="BG49">
        <v>43.4</v>
      </c>
      <c r="BH49">
        <v>44.3</v>
      </c>
      <c r="BI49">
        <v>45.3</v>
      </c>
      <c r="BJ49">
        <v>46.2</v>
      </c>
      <c r="BK49">
        <v>47</v>
      </c>
      <c r="BL49">
        <v>47.7</v>
      </c>
      <c r="BM49">
        <v>48.7</v>
      </c>
      <c r="BN49">
        <v>49.7</v>
      </c>
      <c r="BO49">
        <v>50.6</v>
      </c>
      <c r="BP49">
        <v>51.3</v>
      </c>
    </row>
    <row r="50" spans="1:68" x14ac:dyDescent="0.3">
      <c r="A50" t="s">
        <v>52</v>
      </c>
      <c r="B50" t="s">
        <v>380</v>
      </c>
      <c r="C50" t="s">
        <v>715</v>
      </c>
      <c r="D50" t="s">
        <v>716</v>
      </c>
      <c r="AI50">
        <v>89.9</v>
      </c>
      <c r="AJ50">
        <v>91.836654663085895</v>
      </c>
      <c r="AK50">
        <v>92.132659912109403</v>
      </c>
      <c r="AL50">
        <v>92.427993774414105</v>
      </c>
      <c r="AM50">
        <v>92.721961975097699</v>
      </c>
      <c r="AN50">
        <v>91.2</v>
      </c>
      <c r="AO50">
        <v>93.3031005859375</v>
      </c>
      <c r="AP50">
        <v>93.588912963867202</v>
      </c>
      <c r="AQ50">
        <v>93.870643615722699</v>
      </c>
      <c r="AR50">
        <v>94.147529602050795</v>
      </c>
      <c r="AS50">
        <v>95.2</v>
      </c>
      <c r="AT50">
        <v>98.5</v>
      </c>
      <c r="AU50">
        <v>94.9</v>
      </c>
      <c r="AV50">
        <v>95.1</v>
      </c>
      <c r="AW50">
        <v>95.3</v>
      </c>
      <c r="AX50">
        <v>96.8</v>
      </c>
      <c r="AY50">
        <v>95.7</v>
      </c>
      <c r="AZ50">
        <v>96</v>
      </c>
      <c r="BA50">
        <v>96.8</v>
      </c>
      <c r="BB50">
        <v>96.1</v>
      </c>
      <c r="BC50">
        <v>96.8</v>
      </c>
      <c r="BD50">
        <v>96.7</v>
      </c>
      <c r="BE50">
        <v>97</v>
      </c>
      <c r="BF50">
        <v>97.8</v>
      </c>
      <c r="BG50">
        <v>97.8</v>
      </c>
      <c r="BH50">
        <v>98.2</v>
      </c>
      <c r="BI50">
        <v>98.4</v>
      </c>
      <c r="BJ50">
        <v>98.5</v>
      </c>
      <c r="BK50">
        <v>98.5</v>
      </c>
      <c r="BL50">
        <v>99.4</v>
      </c>
      <c r="BM50">
        <v>99.7</v>
      </c>
      <c r="BN50">
        <v>100</v>
      </c>
      <c r="BO50">
        <v>100</v>
      </c>
      <c r="BP50">
        <v>98.7</v>
      </c>
    </row>
    <row r="51" spans="1:68" x14ac:dyDescent="0.3">
      <c r="A51" t="s">
        <v>381</v>
      </c>
      <c r="B51" t="s">
        <v>382</v>
      </c>
      <c r="C51" t="s">
        <v>715</v>
      </c>
      <c r="D51" t="s">
        <v>716</v>
      </c>
      <c r="AO51">
        <v>28.9</v>
      </c>
      <c r="AP51">
        <v>32.762413024902301</v>
      </c>
      <c r="AQ51">
        <v>35.094528198242202</v>
      </c>
      <c r="AR51">
        <v>37.421802520752003</v>
      </c>
      <c r="AS51">
        <v>39.799999999999997</v>
      </c>
      <c r="AT51">
        <v>42</v>
      </c>
      <c r="AU51">
        <v>44.8</v>
      </c>
      <c r="AV51">
        <v>46.5</v>
      </c>
      <c r="AW51">
        <v>48.7</v>
      </c>
      <c r="AX51">
        <v>51</v>
      </c>
      <c r="AY51">
        <v>53.2</v>
      </c>
      <c r="AZ51">
        <v>55.5</v>
      </c>
      <c r="BA51">
        <v>57.8</v>
      </c>
      <c r="BB51">
        <v>60.1</v>
      </c>
      <c r="BC51">
        <v>69.7</v>
      </c>
      <c r="BD51">
        <v>69.3</v>
      </c>
      <c r="BE51">
        <v>69.3</v>
      </c>
      <c r="BF51">
        <v>69.400000000000006</v>
      </c>
      <c r="BG51">
        <v>71.8</v>
      </c>
      <c r="BH51">
        <v>74.099999999999994</v>
      </c>
      <c r="BI51">
        <v>76.400000000000006</v>
      </c>
      <c r="BJ51">
        <v>78.7</v>
      </c>
      <c r="BK51">
        <v>81</v>
      </c>
      <c r="BL51">
        <v>83.3</v>
      </c>
      <c r="BM51">
        <v>85.6</v>
      </c>
      <c r="BN51">
        <v>87.9</v>
      </c>
      <c r="BO51">
        <v>89.9</v>
      </c>
      <c r="BP51">
        <v>89.8</v>
      </c>
    </row>
    <row r="52" spans="1:68" x14ac:dyDescent="0.3">
      <c r="A52" t="s">
        <v>383</v>
      </c>
      <c r="B52" t="s">
        <v>384</v>
      </c>
      <c r="C52" t="s">
        <v>715</v>
      </c>
      <c r="D52" t="s">
        <v>716</v>
      </c>
      <c r="AS52">
        <v>58.6</v>
      </c>
      <c r="AT52">
        <v>60.3</v>
      </c>
      <c r="AU52">
        <v>58.6</v>
      </c>
      <c r="AV52">
        <v>63.7</v>
      </c>
      <c r="AW52">
        <v>65.400000000000006</v>
      </c>
      <c r="AX52">
        <v>67</v>
      </c>
      <c r="AY52">
        <v>68.8</v>
      </c>
      <c r="AZ52">
        <v>70.5</v>
      </c>
      <c r="BA52">
        <v>72.3</v>
      </c>
      <c r="BB52">
        <v>74.099999999999994</v>
      </c>
      <c r="BC52">
        <v>81.099999999999994</v>
      </c>
      <c r="BD52">
        <v>82.3</v>
      </c>
      <c r="BE52">
        <v>83.2</v>
      </c>
      <c r="BF52">
        <v>84.3</v>
      </c>
      <c r="BG52">
        <v>85.3</v>
      </c>
      <c r="BH52">
        <v>86.4</v>
      </c>
      <c r="BI52">
        <v>87.5</v>
      </c>
      <c r="BJ52">
        <v>88.6</v>
      </c>
      <c r="BK52">
        <v>90.2</v>
      </c>
      <c r="BL52">
        <v>91.4</v>
      </c>
      <c r="BM52">
        <v>93.7</v>
      </c>
      <c r="BN52">
        <v>95.5</v>
      </c>
      <c r="BO52">
        <v>97.1</v>
      </c>
      <c r="BP52">
        <v>98.6</v>
      </c>
    </row>
    <row r="53" spans="1:68" x14ac:dyDescent="0.3">
      <c r="A53" t="s">
        <v>54</v>
      </c>
      <c r="B53" t="s">
        <v>385</v>
      </c>
      <c r="C53" t="s">
        <v>715</v>
      </c>
      <c r="D53" t="s">
        <v>716</v>
      </c>
      <c r="AS53">
        <v>96.9</v>
      </c>
      <c r="AT53">
        <v>98.2</v>
      </c>
      <c r="AU53">
        <v>98.5</v>
      </c>
      <c r="AV53">
        <v>98.7</v>
      </c>
      <c r="AW53">
        <v>99</v>
      </c>
      <c r="AX53">
        <v>99.1</v>
      </c>
      <c r="AY53">
        <v>99.1</v>
      </c>
      <c r="AZ53">
        <v>99.2</v>
      </c>
      <c r="BA53">
        <v>99.3</v>
      </c>
      <c r="BB53">
        <v>99.4</v>
      </c>
      <c r="BC53">
        <v>99</v>
      </c>
      <c r="BD53">
        <v>99.2</v>
      </c>
      <c r="BE53">
        <v>99.5</v>
      </c>
      <c r="BF53">
        <v>99.6</v>
      </c>
      <c r="BG53">
        <v>99.4</v>
      </c>
      <c r="BH53">
        <v>99.4</v>
      </c>
      <c r="BI53">
        <v>99.5</v>
      </c>
      <c r="BJ53">
        <v>99.6</v>
      </c>
      <c r="BK53">
        <v>99.7</v>
      </c>
      <c r="BL53">
        <v>99.7</v>
      </c>
      <c r="BM53">
        <v>99.9</v>
      </c>
      <c r="BN53">
        <v>100</v>
      </c>
      <c r="BO53">
        <v>100</v>
      </c>
      <c r="BP53">
        <v>100</v>
      </c>
    </row>
    <row r="54" spans="1:68" x14ac:dyDescent="0.3">
      <c r="A54" t="s">
        <v>386</v>
      </c>
      <c r="B54" t="s">
        <v>387</v>
      </c>
      <c r="C54" t="s">
        <v>715</v>
      </c>
      <c r="D54" t="s">
        <v>716</v>
      </c>
      <c r="AS54">
        <v>88.415928981866315</v>
      </c>
      <c r="AT54">
        <v>90.485533674083356</v>
      </c>
      <c r="AU54">
        <v>90.809112704402025</v>
      </c>
      <c r="AV54">
        <v>91.00187183873571</v>
      </c>
      <c r="AW54">
        <v>91.289464729061052</v>
      </c>
      <c r="AX54">
        <v>90.815787481219758</v>
      </c>
      <c r="AY54">
        <v>91.946397862570151</v>
      </c>
      <c r="AZ54">
        <v>93.081605472747881</v>
      </c>
      <c r="BA54">
        <v>93.444129406157529</v>
      </c>
      <c r="BB54">
        <v>92.915294392267597</v>
      </c>
      <c r="BC54">
        <v>94.181512459459867</v>
      </c>
      <c r="BD54">
        <v>94.127681846713244</v>
      </c>
      <c r="BE54">
        <v>95.254311383972123</v>
      </c>
      <c r="BF54">
        <v>95.563739541844598</v>
      </c>
      <c r="BG54">
        <v>95.843219645840733</v>
      </c>
      <c r="BH54">
        <v>96.200194845337151</v>
      </c>
      <c r="BI54">
        <v>96.665686783299066</v>
      </c>
      <c r="BJ54">
        <v>97.054290059411741</v>
      </c>
      <c r="BK54">
        <v>97.087827708048124</v>
      </c>
      <c r="BL54">
        <v>97.368590391376898</v>
      </c>
      <c r="BM54">
        <v>97.933362687703152</v>
      </c>
      <c r="BN54">
        <v>98.174699090254961</v>
      </c>
      <c r="BO54">
        <v>98.306422150129734</v>
      </c>
      <c r="BP54">
        <v>99.168477538460976</v>
      </c>
    </row>
    <row r="55" spans="1:68" x14ac:dyDescent="0.3">
      <c r="A55" t="s">
        <v>388</v>
      </c>
      <c r="B55" t="s">
        <v>389</v>
      </c>
      <c r="C55" t="s">
        <v>715</v>
      </c>
      <c r="D55" t="s">
        <v>716</v>
      </c>
      <c r="AS55">
        <v>97</v>
      </c>
      <c r="AT55">
        <v>96.2</v>
      </c>
      <c r="AU55">
        <v>95.5</v>
      </c>
      <c r="AV55">
        <v>96.5</v>
      </c>
      <c r="AW55">
        <v>96.6</v>
      </c>
      <c r="AX55">
        <v>96.8</v>
      </c>
      <c r="AY55">
        <v>96.9</v>
      </c>
      <c r="AZ55">
        <v>97.1</v>
      </c>
      <c r="BA55">
        <v>97.3</v>
      </c>
      <c r="BB55">
        <v>97.6</v>
      </c>
      <c r="BC55">
        <v>97.8</v>
      </c>
      <c r="BD55">
        <v>98</v>
      </c>
      <c r="BE55">
        <v>98.3</v>
      </c>
      <c r="BF55">
        <v>98.5</v>
      </c>
      <c r="BG55">
        <v>98.7</v>
      </c>
      <c r="BH55">
        <v>99</v>
      </c>
      <c r="BI55">
        <v>99.2</v>
      </c>
      <c r="BJ55">
        <v>99.4</v>
      </c>
      <c r="BK55">
        <v>99.6</v>
      </c>
      <c r="BL55">
        <v>99.8</v>
      </c>
      <c r="BM55">
        <v>99.9</v>
      </c>
      <c r="BN55">
        <v>100</v>
      </c>
      <c r="BO55">
        <v>100</v>
      </c>
      <c r="BP55">
        <v>100</v>
      </c>
    </row>
    <row r="56" spans="1:68" x14ac:dyDescent="0.3">
      <c r="A56" t="s">
        <v>56</v>
      </c>
      <c r="B56" t="s">
        <v>390</v>
      </c>
      <c r="C56" t="s">
        <v>715</v>
      </c>
      <c r="D56" t="s">
        <v>716</v>
      </c>
      <c r="AI56">
        <v>100</v>
      </c>
      <c r="AJ56">
        <v>100</v>
      </c>
      <c r="AK56">
        <v>100</v>
      </c>
      <c r="AL56">
        <v>100</v>
      </c>
      <c r="AM56">
        <v>100</v>
      </c>
      <c r="AN56">
        <v>100</v>
      </c>
      <c r="AO56">
        <v>100</v>
      </c>
      <c r="AP56">
        <v>100</v>
      </c>
      <c r="AQ56">
        <v>100</v>
      </c>
      <c r="AR56">
        <v>100</v>
      </c>
      <c r="AS56">
        <v>100</v>
      </c>
      <c r="AT56">
        <v>99.9</v>
      </c>
      <c r="AU56">
        <v>99.9</v>
      </c>
      <c r="AV56">
        <v>99.8</v>
      </c>
      <c r="AW56">
        <v>99.8</v>
      </c>
      <c r="AX56">
        <v>99.7</v>
      </c>
      <c r="AY56">
        <v>99.7</v>
      </c>
      <c r="AZ56">
        <v>99.7</v>
      </c>
      <c r="BA56">
        <v>99.7</v>
      </c>
      <c r="BB56">
        <v>99.7</v>
      </c>
      <c r="BC56">
        <v>100</v>
      </c>
      <c r="BD56">
        <v>100</v>
      </c>
      <c r="BE56">
        <v>100</v>
      </c>
      <c r="BF56">
        <v>100</v>
      </c>
      <c r="BG56">
        <v>100</v>
      </c>
      <c r="BH56">
        <v>100</v>
      </c>
      <c r="BI56">
        <v>100</v>
      </c>
      <c r="BJ56">
        <v>100</v>
      </c>
      <c r="BK56">
        <v>100</v>
      </c>
      <c r="BL56">
        <v>100</v>
      </c>
      <c r="BM56">
        <v>100</v>
      </c>
      <c r="BN56">
        <v>100</v>
      </c>
      <c r="BO56">
        <v>100</v>
      </c>
      <c r="BP56">
        <v>100</v>
      </c>
    </row>
    <row r="57" spans="1:68" x14ac:dyDescent="0.3">
      <c r="A57" t="s">
        <v>391</v>
      </c>
      <c r="B57" t="s">
        <v>392</v>
      </c>
      <c r="C57" t="s">
        <v>715</v>
      </c>
      <c r="D57" t="s">
        <v>716</v>
      </c>
      <c r="AI57">
        <v>99.846923828125</v>
      </c>
      <c r="AJ57">
        <v>99.878814697265597</v>
      </c>
      <c r="AK57">
        <v>99.910240173339801</v>
      </c>
      <c r="AL57">
        <v>100</v>
      </c>
      <c r="AM57">
        <v>100</v>
      </c>
      <c r="AN57">
        <v>100</v>
      </c>
      <c r="AO57">
        <v>100</v>
      </c>
      <c r="AP57">
        <v>100</v>
      </c>
      <c r="AQ57">
        <v>100</v>
      </c>
      <c r="AR57">
        <v>100</v>
      </c>
      <c r="AS57">
        <v>100</v>
      </c>
      <c r="AT57">
        <v>100</v>
      </c>
      <c r="AU57">
        <v>100</v>
      </c>
      <c r="AV57">
        <v>100</v>
      </c>
      <c r="AW57">
        <v>100</v>
      </c>
      <c r="AX57">
        <v>100</v>
      </c>
      <c r="AY57">
        <v>100</v>
      </c>
      <c r="AZ57">
        <v>100</v>
      </c>
      <c r="BA57">
        <v>100</v>
      </c>
      <c r="BB57">
        <v>100</v>
      </c>
      <c r="BC57">
        <v>100</v>
      </c>
      <c r="BD57">
        <v>100</v>
      </c>
      <c r="BE57">
        <v>100</v>
      </c>
      <c r="BF57">
        <v>100</v>
      </c>
      <c r="BG57">
        <v>100</v>
      </c>
      <c r="BH57">
        <v>100</v>
      </c>
      <c r="BI57">
        <v>100</v>
      </c>
      <c r="BJ57">
        <v>100</v>
      </c>
      <c r="BK57">
        <v>100</v>
      </c>
      <c r="BL57">
        <v>100</v>
      </c>
      <c r="BM57">
        <v>100</v>
      </c>
      <c r="BN57">
        <v>100</v>
      </c>
      <c r="BO57">
        <v>100</v>
      </c>
      <c r="BP57">
        <v>100</v>
      </c>
    </row>
    <row r="58" spans="1:68" x14ac:dyDescent="0.3">
      <c r="A58" t="s">
        <v>57</v>
      </c>
      <c r="B58" t="s">
        <v>393</v>
      </c>
      <c r="C58" t="s">
        <v>715</v>
      </c>
      <c r="D58" t="s">
        <v>716</v>
      </c>
      <c r="AI58">
        <v>100</v>
      </c>
      <c r="AJ58">
        <v>100</v>
      </c>
      <c r="AK58">
        <v>100</v>
      </c>
      <c r="AL58">
        <v>100</v>
      </c>
      <c r="AM58">
        <v>100</v>
      </c>
      <c r="AN58">
        <v>100</v>
      </c>
      <c r="AO58">
        <v>100</v>
      </c>
      <c r="AP58">
        <v>100</v>
      </c>
      <c r="AQ58">
        <v>100</v>
      </c>
      <c r="AR58">
        <v>100</v>
      </c>
      <c r="AS58">
        <v>100</v>
      </c>
      <c r="AT58">
        <v>100</v>
      </c>
      <c r="AU58">
        <v>100</v>
      </c>
      <c r="AV58">
        <v>100</v>
      </c>
      <c r="AW58">
        <v>100</v>
      </c>
      <c r="AX58">
        <v>100</v>
      </c>
      <c r="AY58">
        <v>100</v>
      </c>
      <c r="AZ58">
        <v>100</v>
      </c>
      <c r="BA58">
        <v>100</v>
      </c>
      <c r="BB58">
        <v>100</v>
      </c>
      <c r="BC58">
        <v>100</v>
      </c>
      <c r="BD58">
        <v>100</v>
      </c>
      <c r="BE58">
        <v>100</v>
      </c>
      <c r="BF58">
        <v>100</v>
      </c>
      <c r="BG58">
        <v>100</v>
      </c>
      <c r="BH58">
        <v>100</v>
      </c>
      <c r="BI58">
        <v>100</v>
      </c>
      <c r="BJ58">
        <v>100</v>
      </c>
      <c r="BK58">
        <v>100</v>
      </c>
      <c r="BL58">
        <v>100</v>
      </c>
      <c r="BM58">
        <v>100</v>
      </c>
      <c r="BN58">
        <v>100</v>
      </c>
      <c r="BO58">
        <v>100</v>
      </c>
      <c r="BP58">
        <v>100</v>
      </c>
    </row>
    <row r="59" spans="1:68" x14ac:dyDescent="0.3">
      <c r="A59" t="s">
        <v>59</v>
      </c>
      <c r="B59" t="s">
        <v>394</v>
      </c>
      <c r="C59" t="s">
        <v>715</v>
      </c>
      <c r="D59" t="s">
        <v>716</v>
      </c>
      <c r="AI59">
        <v>100</v>
      </c>
      <c r="AJ59">
        <v>100</v>
      </c>
      <c r="AK59">
        <v>100</v>
      </c>
      <c r="AL59">
        <v>100</v>
      </c>
      <c r="AM59">
        <v>100</v>
      </c>
      <c r="AN59">
        <v>100</v>
      </c>
      <c r="AO59">
        <v>100</v>
      </c>
      <c r="AP59">
        <v>100</v>
      </c>
      <c r="AQ59">
        <v>100</v>
      </c>
      <c r="AR59">
        <v>100</v>
      </c>
      <c r="AS59">
        <v>100</v>
      </c>
      <c r="AT59">
        <v>100</v>
      </c>
      <c r="AU59">
        <v>100</v>
      </c>
      <c r="AV59">
        <v>100</v>
      </c>
      <c r="AW59">
        <v>100</v>
      </c>
      <c r="AX59">
        <v>100</v>
      </c>
      <c r="AY59">
        <v>100</v>
      </c>
      <c r="AZ59">
        <v>100</v>
      </c>
      <c r="BA59">
        <v>100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100</v>
      </c>
      <c r="BJ59">
        <v>100</v>
      </c>
      <c r="BK59">
        <v>100</v>
      </c>
      <c r="BL59">
        <v>100</v>
      </c>
      <c r="BM59">
        <v>100</v>
      </c>
      <c r="BN59">
        <v>100</v>
      </c>
      <c r="BO59">
        <v>100</v>
      </c>
      <c r="BP59">
        <v>100</v>
      </c>
    </row>
    <row r="60" spans="1:68" x14ac:dyDescent="0.3">
      <c r="A60" t="s">
        <v>61</v>
      </c>
      <c r="B60" t="s">
        <v>395</v>
      </c>
      <c r="C60" t="s">
        <v>715</v>
      </c>
      <c r="D60" t="s">
        <v>716</v>
      </c>
      <c r="AI60">
        <v>100</v>
      </c>
      <c r="AJ60">
        <v>100</v>
      </c>
      <c r="AK60">
        <v>100</v>
      </c>
      <c r="AL60">
        <v>100</v>
      </c>
      <c r="AM60">
        <v>100</v>
      </c>
      <c r="AN60">
        <v>100</v>
      </c>
      <c r="AO60">
        <v>100</v>
      </c>
      <c r="AP60">
        <v>100</v>
      </c>
      <c r="AQ60">
        <v>100</v>
      </c>
      <c r="AR60">
        <v>100</v>
      </c>
      <c r="AS60">
        <v>100</v>
      </c>
      <c r="AT60">
        <v>100</v>
      </c>
      <c r="AU60">
        <v>100</v>
      </c>
      <c r="AV60">
        <v>100</v>
      </c>
      <c r="AW60">
        <v>100</v>
      </c>
      <c r="AX60">
        <v>100</v>
      </c>
      <c r="AY60">
        <v>100</v>
      </c>
      <c r="AZ60">
        <v>100</v>
      </c>
      <c r="BA60">
        <v>100</v>
      </c>
      <c r="BB60">
        <v>100</v>
      </c>
      <c r="BC60">
        <v>100</v>
      </c>
      <c r="BD60">
        <v>100</v>
      </c>
      <c r="BE60">
        <v>100</v>
      </c>
      <c r="BF60">
        <v>100</v>
      </c>
      <c r="BG60">
        <v>100</v>
      </c>
      <c r="BH60">
        <v>100</v>
      </c>
      <c r="BI60">
        <v>100</v>
      </c>
      <c r="BJ60">
        <v>100</v>
      </c>
      <c r="BK60">
        <v>100</v>
      </c>
      <c r="BL60">
        <v>100</v>
      </c>
      <c r="BM60">
        <v>100</v>
      </c>
      <c r="BN60">
        <v>100</v>
      </c>
      <c r="BO60">
        <v>100</v>
      </c>
      <c r="BP60">
        <v>100</v>
      </c>
    </row>
    <row r="61" spans="1:68" x14ac:dyDescent="0.3">
      <c r="A61" t="s">
        <v>396</v>
      </c>
      <c r="B61" t="s">
        <v>397</v>
      </c>
      <c r="C61" t="s">
        <v>715</v>
      </c>
      <c r="D61" t="s">
        <v>716</v>
      </c>
      <c r="AO61">
        <v>62</v>
      </c>
      <c r="AP61">
        <v>56.2944946289063</v>
      </c>
      <c r="AQ61">
        <v>56.322254180908203</v>
      </c>
      <c r="AR61">
        <v>56.345169067382798</v>
      </c>
      <c r="AS61">
        <v>56</v>
      </c>
      <c r="AT61">
        <v>56.1</v>
      </c>
      <c r="AU61">
        <v>49.7</v>
      </c>
      <c r="AV61">
        <v>56.4</v>
      </c>
      <c r="AW61">
        <v>56.6</v>
      </c>
      <c r="AX61">
        <v>56.8</v>
      </c>
      <c r="AY61">
        <v>55.5</v>
      </c>
      <c r="AZ61">
        <v>57.2</v>
      </c>
      <c r="BA61">
        <v>57.4</v>
      </c>
      <c r="BB61">
        <v>57.6</v>
      </c>
      <c r="BC61">
        <v>57.9</v>
      </c>
      <c r="BD61">
        <v>58.1</v>
      </c>
      <c r="BE61">
        <v>54.6</v>
      </c>
      <c r="BF61">
        <v>58.6</v>
      </c>
      <c r="BG61">
        <v>58.9</v>
      </c>
      <c r="BH61">
        <v>59.1</v>
      </c>
      <c r="BI61">
        <v>59.8</v>
      </c>
      <c r="BJ61">
        <v>60.2</v>
      </c>
      <c r="BK61">
        <v>62.4</v>
      </c>
      <c r="BL61">
        <v>64.7</v>
      </c>
      <c r="BM61">
        <v>64.5</v>
      </c>
      <c r="BN61">
        <v>65.400000000000006</v>
      </c>
      <c r="BO61">
        <v>65</v>
      </c>
      <c r="BP61">
        <v>65.2</v>
      </c>
    </row>
    <row r="62" spans="1:68" x14ac:dyDescent="0.3">
      <c r="A62" t="s">
        <v>398</v>
      </c>
      <c r="B62" t="s">
        <v>399</v>
      </c>
      <c r="C62" t="s">
        <v>715</v>
      </c>
      <c r="D62" t="s">
        <v>716</v>
      </c>
      <c r="AQ62">
        <v>75</v>
      </c>
      <c r="AR62">
        <v>79.621917724609403</v>
      </c>
      <c r="AS62">
        <v>81.099999999999994</v>
      </c>
      <c r="AT62">
        <v>82.1</v>
      </c>
      <c r="AU62">
        <v>87.7</v>
      </c>
      <c r="AV62">
        <v>84</v>
      </c>
      <c r="AW62">
        <v>85</v>
      </c>
      <c r="AX62">
        <v>86</v>
      </c>
      <c r="AY62">
        <v>87</v>
      </c>
      <c r="AZ62">
        <v>88.1</v>
      </c>
      <c r="BA62">
        <v>90.9</v>
      </c>
      <c r="BB62">
        <v>90.2</v>
      </c>
      <c r="BC62">
        <v>91.3</v>
      </c>
      <c r="BD62">
        <v>90.1</v>
      </c>
      <c r="BE62">
        <v>93.5</v>
      </c>
      <c r="BF62">
        <v>94.6</v>
      </c>
      <c r="BG62">
        <v>95.7</v>
      </c>
      <c r="BH62">
        <v>96.7</v>
      </c>
      <c r="BI62">
        <v>97.8</v>
      </c>
      <c r="BJ62">
        <v>98.9</v>
      </c>
      <c r="BK62">
        <v>99.6</v>
      </c>
      <c r="BL62">
        <v>99.9</v>
      </c>
      <c r="BM62">
        <v>100</v>
      </c>
      <c r="BN62">
        <v>100</v>
      </c>
      <c r="BO62">
        <v>100</v>
      </c>
      <c r="BP62">
        <v>100</v>
      </c>
    </row>
    <row r="63" spans="1:68" x14ac:dyDescent="0.3">
      <c r="A63" t="s">
        <v>63</v>
      </c>
      <c r="B63" t="s">
        <v>400</v>
      </c>
      <c r="C63" t="s">
        <v>715</v>
      </c>
      <c r="D63" t="s">
        <v>716</v>
      </c>
      <c r="AI63">
        <v>100</v>
      </c>
      <c r="AJ63">
        <v>100</v>
      </c>
      <c r="AK63">
        <v>100</v>
      </c>
      <c r="AL63">
        <v>100</v>
      </c>
      <c r="AM63">
        <v>100</v>
      </c>
      <c r="AN63">
        <v>100</v>
      </c>
      <c r="AO63">
        <v>100</v>
      </c>
      <c r="AP63">
        <v>100</v>
      </c>
      <c r="AQ63">
        <v>100</v>
      </c>
      <c r="AR63">
        <v>100</v>
      </c>
      <c r="AS63">
        <v>100</v>
      </c>
      <c r="AT63">
        <v>100</v>
      </c>
      <c r="AU63">
        <v>100</v>
      </c>
      <c r="AV63">
        <v>100</v>
      </c>
      <c r="AW63">
        <v>100</v>
      </c>
      <c r="AX63">
        <v>100</v>
      </c>
      <c r="AY63">
        <v>100</v>
      </c>
      <c r="AZ63">
        <v>100</v>
      </c>
      <c r="BA63">
        <v>100</v>
      </c>
      <c r="BB63">
        <v>100</v>
      </c>
      <c r="BC63">
        <v>100</v>
      </c>
      <c r="BD63">
        <v>100</v>
      </c>
      <c r="BE63">
        <v>100</v>
      </c>
      <c r="BF63">
        <v>100</v>
      </c>
      <c r="BG63">
        <v>100</v>
      </c>
      <c r="BH63">
        <v>100</v>
      </c>
      <c r="BI63">
        <v>100</v>
      </c>
      <c r="BJ63">
        <v>100</v>
      </c>
      <c r="BK63">
        <v>100</v>
      </c>
      <c r="BL63">
        <v>100</v>
      </c>
      <c r="BM63">
        <v>100</v>
      </c>
      <c r="BN63">
        <v>100</v>
      </c>
      <c r="BO63">
        <v>100</v>
      </c>
      <c r="BP63">
        <v>100</v>
      </c>
    </row>
    <row r="64" spans="1:68" x14ac:dyDescent="0.3">
      <c r="A64" t="s">
        <v>65</v>
      </c>
      <c r="B64" t="s">
        <v>401</v>
      </c>
      <c r="C64" t="s">
        <v>715</v>
      </c>
      <c r="D64" t="s">
        <v>716</v>
      </c>
      <c r="AJ64">
        <v>78.2</v>
      </c>
      <c r="AK64">
        <v>82.485404968261705</v>
      </c>
      <c r="AL64">
        <v>83.2554931640625</v>
      </c>
      <c r="AM64">
        <v>84.024223327636705</v>
      </c>
      <c r="AN64">
        <v>84.790908813476605</v>
      </c>
      <c r="AO64">
        <v>85.554878234863295</v>
      </c>
      <c r="AP64">
        <v>86.315444946289105</v>
      </c>
      <c r="AQ64">
        <v>87.071937561035199</v>
      </c>
      <c r="AR64">
        <v>91</v>
      </c>
      <c r="AS64">
        <v>88.8</v>
      </c>
      <c r="AT64">
        <v>89.8</v>
      </c>
      <c r="AU64">
        <v>89.7</v>
      </c>
      <c r="AV64">
        <v>89.2</v>
      </c>
      <c r="AW64">
        <v>90.3</v>
      </c>
      <c r="AX64">
        <v>90.1</v>
      </c>
      <c r="AY64">
        <v>90.1</v>
      </c>
      <c r="AZ64">
        <v>96.9</v>
      </c>
      <c r="BA64">
        <v>97.6</v>
      </c>
      <c r="BB64">
        <v>97.9</v>
      </c>
      <c r="BC64">
        <v>98.1</v>
      </c>
      <c r="BD64">
        <v>97.9</v>
      </c>
      <c r="BE64">
        <v>97.9</v>
      </c>
      <c r="BF64">
        <v>98.4</v>
      </c>
      <c r="BG64">
        <v>98.5</v>
      </c>
      <c r="BH64">
        <v>98.6</v>
      </c>
      <c r="BI64">
        <v>98.9</v>
      </c>
      <c r="BJ64">
        <v>100</v>
      </c>
      <c r="BK64">
        <v>98.9</v>
      </c>
      <c r="BL64">
        <v>99</v>
      </c>
      <c r="BM64">
        <v>100</v>
      </c>
      <c r="BN64">
        <v>98.1</v>
      </c>
      <c r="BO64">
        <v>98.1</v>
      </c>
      <c r="BP64">
        <v>99.6</v>
      </c>
    </row>
    <row r="65" spans="1:68" x14ac:dyDescent="0.3">
      <c r="A65" t="s">
        <v>67</v>
      </c>
      <c r="B65" t="s">
        <v>402</v>
      </c>
      <c r="C65" t="s">
        <v>715</v>
      </c>
      <c r="D65" t="s">
        <v>716</v>
      </c>
      <c r="AS65">
        <v>98.6</v>
      </c>
      <c r="AT65">
        <v>98.6</v>
      </c>
      <c r="AU65">
        <v>98.6</v>
      </c>
      <c r="AV65">
        <v>98.6</v>
      </c>
      <c r="AW65">
        <v>98.6</v>
      </c>
      <c r="AX65">
        <v>98.6</v>
      </c>
      <c r="AY65">
        <v>98.7</v>
      </c>
      <c r="AZ65">
        <v>98.7</v>
      </c>
      <c r="BA65">
        <v>99.3</v>
      </c>
      <c r="BB65">
        <v>98.8</v>
      </c>
      <c r="BC65">
        <v>98.9</v>
      </c>
      <c r="BD65">
        <v>99</v>
      </c>
      <c r="BE65">
        <v>98.8</v>
      </c>
      <c r="BF65">
        <v>99.2</v>
      </c>
      <c r="BG65">
        <v>99.3</v>
      </c>
      <c r="BH65">
        <v>99.4</v>
      </c>
      <c r="BI65">
        <v>99.4</v>
      </c>
      <c r="BJ65">
        <v>99.5</v>
      </c>
      <c r="BK65">
        <v>99.6</v>
      </c>
      <c r="BL65">
        <v>99.5</v>
      </c>
      <c r="BM65">
        <v>99.7</v>
      </c>
      <c r="BN65">
        <v>99.8</v>
      </c>
      <c r="BO65">
        <v>100</v>
      </c>
      <c r="BP65">
        <v>100</v>
      </c>
    </row>
    <row r="66" spans="1:68" x14ac:dyDescent="0.3">
      <c r="A66" t="s">
        <v>403</v>
      </c>
      <c r="B66" t="s">
        <v>404</v>
      </c>
      <c r="C66" t="s">
        <v>715</v>
      </c>
      <c r="D66" t="s">
        <v>716</v>
      </c>
      <c r="AS66">
        <v>91.138144466844949</v>
      </c>
      <c r="AT66">
        <v>91.679807393445159</v>
      </c>
      <c r="AU66">
        <v>92.15327311637094</v>
      </c>
      <c r="AV66">
        <v>92.378047771954087</v>
      </c>
      <c r="AW66">
        <v>93.266068038797442</v>
      </c>
      <c r="AX66">
        <v>92.845300362858623</v>
      </c>
      <c r="AY66">
        <v>94.041455513415599</v>
      </c>
      <c r="AZ66">
        <v>94.051389236077071</v>
      </c>
      <c r="BA66">
        <v>94.671931049063559</v>
      </c>
      <c r="BB66">
        <v>94.427633912776386</v>
      </c>
      <c r="BC66">
        <v>95.055370655435311</v>
      </c>
      <c r="BD66">
        <v>95.581681530515112</v>
      </c>
      <c r="BE66">
        <v>95.795165449222068</v>
      </c>
      <c r="BF66">
        <v>96.092853516826423</v>
      </c>
      <c r="BG66">
        <v>96.274099356559816</v>
      </c>
      <c r="BH66">
        <v>96.621825072806956</v>
      </c>
      <c r="BI66">
        <v>96.716534191727675</v>
      </c>
      <c r="BJ66">
        <v>97.445307298376889</v>
      </c>
      <c r="BK66">
        <v>97.412382974717474</v>
      </c>
      <c r="BL66">
        <v>97.650096061790975</v>
      </c>
      <c r="BM66">
        <v>97.565184968247564</v>
      </c>
      <c r="BN66">
        <v>97.959920991029492</v>
      </c>
      <c r="BO66">
        <v>98.027372089105626</v>
      </c>
      <c r="BP66">
        <v>98.237638300718871</v>
      </c>
    </row>
    <row r="67" spans="1:68" x14ac:dyDescent="0.3">
      <c r="A67" t="s">
        <v>405</v>
      </c>
      <c r="B67" t="s">
        <v>406</v>
      </c>
      <c r="C67" t="s">
        <v>715</v>
      </c>
      <c r="D67" t="s">
        <v>716</v>
      </c>
      <c r="AL67">
        <v>55.608974895942673</v>
      </c>
      <c r="AM67">
        <v>56.371326619711958</v>
      </c>
      <c r="AN67">
        <v>58.132648327177414</v>
      </c>
      <c r="AO67">
        <v>59.870589593357771</v>
      </c>
      <c r="AP67">
        <v>61.837906384413948</v>
      </c>
      <c r="AQ67">
        <v>63.393010719402916</v>
      </c>
      <c r="AR67">
        <v>66.085663825881056</v>
      </c>
      <c r="AS67">
        <v>67.500488615574724</v>
      </c>
      <c r="AT67">
        <v>68.257774147403921</v>
      </c>
      <c r="AU67">
        <v>69.15133395208494</v>
      </c>
      <c r="AV67">
        <v>70.882406839539883</v>
      </c>
      <c r="AW67">
        <v>71.111419958797583</v>
      </c>
      <c r="AX67">
        <v>72.750780671619893</v>
      </c>
      <c r="AY67">
        <v>73.79998288083317</v>
      </c>
      <c r="AZ67">
        <v>75.655038338646818</v>
      </c>
      <c r="BA67">
        <v>77.400779519742841</v>
      </c>
      <c r="BB67">
        <v>78.288419964401768</v>
      </c>
      <c r="BC67">
        <v>79.390189511668808</v>
      </c>
      <c r="BD67">
        <v>81.149982864428381</v>
      </c>
      <c r="BE67">
        <v>82.052463242174142</v>
      </c>
      <c r="BF67">
        <v>83.799312575469443</v>
      </c>
      <c r="BG67">
        <v>84.752008839851058</v>
      </c>
      <c r="BH67">
        <v>86.827154464257731</v>
      </c>
      <c r="BI67">
        <v>88.349448125350307</v>
      </c>
      <c r="BJ67">
        <v>90.508672879645431</v>
      </c>
      <c r="BK67">
        <v>91.99271092227653</v>
      </c>
      <c r="BL67">
        <v>92.797655301336846</v>
      </c>
      <c r="BM67">
        <v>93.455781056429643</v>
      </c>
      <c r="BN67">
        <v>95.24233388870168</v>
      </c>
      <c r="BO67">
        <v>95.157574495074357</v>
      </c>
      <c r="BP67">
        <v>95.704438104382191</v>
      </c>
    </row>
    <row r="68" spans="1:68" x14ac:dyDescent="0.3">
      <c r="A68" t="s">
        <v>407</v>
      </c>
      <c r="B68" t="s">
        <v>408</v>
      </c>
      <c r="C68" t="s">
        <v>715</v>
      </c>
      <c r="D68" t="s">
        <v>716</v>
      </c>
      <c r="AS68">
        <v>92.061814433866147</v>
      </c>
      <c r="AT68">
        <v>92.54379822704783</v>
      </c>
      <c r="AU68">
        <v>92.964855723082209</v>
      </c>
      <c r="AV68">
        <v>93.162958446972851</v>
      </c>
      <c r="AW68">
        <v>93.956320727135491</v>
      </c>
      <c r="AX68">
        <v>93.575146301846004</v>
      </c>
      <c r="AY68">
        <v>94.647157704393351</v>
      </c>
      <c r="AZ68">
        <v>94.654540373264126</v>
      </c>
      <c r="BA68">
        <v>95.211083867357345</v>
      </c>
      <c r="BB68">
        <v>94.983328063047907</v>
      </c>
      <c r="BC68">
        <v>95.546832475405239</v>
      </c>
      <c r="BD68">
        <v>96.018947395298653</v>
      </c>
      <c r="BE68">
        <v>96.209245783561343</v>
      </c>
      <c r="BF68">
        <v>96.47564669900828</v>
      </c>
      <c r="BG68">
        <v>96.637559576192913</v>
      </c>
      <c r="BH68">
        <v>96.950059962131206</v>
      </c>
      <c r="BI68">
        <v>97.034396583186563</v>
      </c>
      <c r="BJ68">
        <v>97.691535928901374</v>
      </c>
      <c r="BK68">
        <v>97.660964068770014</v>
      </c>
      <c r="BL68">
        <v>97.875255806735225</v>
      </c>
      <c r="BM68">
        <v>97.79762097353921</v>
      </c>
      <c r="BN68">
        <v>98.153425911201808</v>
      </c>
      <c r="BO68">
        <v>98.213929484507432</v>
      </c>
      <c r="BP68">
        <v>98.40448807712238</v>
      </c>
    </row>
    <row r="69" spans="1:68" x14ac:dyDescent="0.3">
      <c r="A69" t="s">
        <v>409</v>
      </c>
      <c r="B69" t="s">
        <v>410</v>
      </c>
      <c r="C69" t="s">
        <v>715</v>
      </c>
      <c r="D69" t="s">
        <v>716</v>
      </c>
      <c r="AS69">
        <v>99.000370274506295</v>
      </c>
      <c r="AT69">
        <v>99.070524432531542</v>
      </c>
      <c r="AU69">
        <v>99.150016593479307</v>
      </c>
      <c r="AV69">
        <v>99.148491823626358</v>
      </c>
      <c r="AW69">
        <v>99.135524542063621</v>
      </c>
      <c r="AX69">
        <v>99.259456949116057</v>
      </c>
      <c r="AY69">
        <v>99.219308006236759</v>
      </c>
      <c r="AZ69">
        <v>99.338990832169841</v>
      </c>
      <c r="BA69">
        <v>99.377607279754514</v>
      </c>
      <c r="BB69">
        <v>99.448562160113681</v>
      </c>
      <c r="BC69">
        <v>99.608622454701802</v>
      </c>
      <c r="BD69">
        <v>99.617475422920123</v>
      </c>
      <c r="BE69">
        <v>99.694667231858148</v>
      </c>
      <c r="BF69">
        <v>99.728709730126837</v>
      </c>
      <c r="BG69">
        <v>99.784877462882548</v>
      </c>
      <c r="BH69">
        <v>99.767804573319722</v>
      </c>
      <c r="BI69">
        <v>99.865986431484203</v>
      </c>
      <c r="BJ69">
        <v>99.918275584542343</v>
      </c>
      <c r="BK69">
        <v>99.942132117979057</v>
      </c>
      <c r="BL69">
        <v>99.965814144274702</v>
      </c>
      <c r="BM69">
        <v>99.977458258223649</v>
      </c>
      <c r="BN69">
        <v>99.961695788564526</v>
      </c>
      <c r="BO69">
        <v>99.991598560071139</v>
      </c>
      <c r="BP69">
        <v>100</v>
      </c>
    </row>
    <row r="70" spans="1:68" x14ac:dyDescent="0.3">
      <c r="A70" t="s">
        <v>411</v>
      </c>
      <c r="B70" t="s">
        <v>412</v>
      </c>
      <c r="C70" t="s">
        <v>715</v>
      </c>
      <c r="D70" t="s">
        <v>716</v>
      </c>
      <c r="AI70">
        <v>100</v>
      </c>
      <c r="AJ70">
        <v>100</v>
      </c>
      <c r="AK70">
        <v>100</v>
      </c>
      <c r="AL70">
        <v>100</v>
      </c>
      <c r="AM70">
        <v>100</v>
      </c>
      <c r="AN70">
        <v>99.997754930139919</v>
      </c>
      <c r="AO70">
        <v>99.970593082180685</v>
      </c>
      <c r="AP70">
        <v>99.964585078346772</v>
      </c>
      <c r="AQ70">
        <v>99.966777136562769</v>
      </c>
      <c r="AR70">
        <v>99.86935334234505</v>
      </c>
      <c r="AS70">
        <v>99.115307061353533</v>
      </c>
      <c r="AT70">
        <v>99.165550774502606</v>
      </c>
      <c r="AU70">
        <v>99.203941671040951</v>
      </c>
      <c r="AV70">
        <v>99.21303259956926</v>
      </c>
      <c r="AW70">
        <v>99.239007350100806</v>
      </c>
      <c r="AX70">
        <v>99.279900434973882</v>
      </c>
      <c r="AY70">
        <v>99.30135947881621</v>
      </c>
      <c r="AZ70">
        <v>99.363080356470519</v>
      </c>
      <c r="BA70">
        <v>99.408096140628302</v>
      </c>
      <c r="BB70">
        <v>99.466168576665666</v>
      </c>
      <c r="BC70">
        <v>99.665442512662608</v>
      </c>
      <c r="BD70">
        <v>99.66390276466764</v>
      </c>
      <c r="BE70">
        <v>99.828194808397257</v>
      </c>
      <c r="BF70">
        <v>99.849525767107053</v>
      </c>
      <c r="BG70">
        <v>99.876152947936831</v>
      </c>
      <c r="BH70">
        <v>99.167917520840831</v>
      </c>
      <c r="BI70">
        <v>99.829004780370298</v>
      </c>
      <c r="BJ70">
        <v>99.964132891488859</v>
      </c>
      <c r="BK70">
        <v>99.970791631235883</v>
      </c>
      <c r="BL70">
        <v>99.953466861378189</v>
      </c>
      <c r="BM70">
        <v>99.976035471553502</v>
      </c>
      <c r="BN70">
        <v>99.988197235474601</v>
      </c>
      <c r="BO70">
        <v>99.997733584454863</v>
      </c>
      <c r="BP70">
        <v>100</v>
      </c>
    </row>
    <row r="71" spans="1:68" x14ac:dyDescent="0.3">
      <c r="A71" t="s">
        <v>69</v>
      </c>
      <c r="B71" t="s">
        <v>413</v>
      </c>
      <c r="C71" t="s">
        <v>715</v>
      </c>
      <c r="D71" t="s">
        <v>716</v>
      </c>
      <c r="AN71">
        <v>89.830167000000003</v>
      </c>
      <c r="AO71">
        <v>92.051376342773395</v>
      </c>
      <c r="AP71">
        <v>92.429817199707003</v>
      </c>
      <c r="AQ71">
        <v>92.726641999999998</v>
      </c>
      <c r="AR71">
        <v>93.071433999999996</v>
      </c>
      <c r="AS71">
        <v>93.7</v>
      </c>
      <c r="AT71">
        <v>94</v>
      </c>
      <c r="AU71">
        <v>94.2</v>
      </c>
      <c r="AV71">
        <v>95</v>
      </c>
      <c r="AW71">
        <v>94.8</v>
      </c>
      <c r="AX71">
        <v>95.8</v>
      </c>
      <c r="AY71">
        <v>96.3</v>
      </c>
      <c r="AZ71">
        <v>96.8</v>
      </c>
      <c r="BA71">
        <v>97.2</v>
      </c>
      <c r="BB71">
        <v>96.5</v>
      </c>
      <c r="BC71">
        <v>97.5</v>
      </c>
      <c r="BD71">
        <v>96.9</v>
      </c>
      <c r="BE71">
        <v>97.2</v>
      </c>
      <c r="BF71">
        <v>98</v>
      </c>
      <c r="BG71">
        <v>99</v>
      </c>
      <c r="BH71">
        <v>98.8</v>
      </c>
      <c r="BI71">
        <v>98.7</v>
      </c>
      <c r="BJ71">
        <v>99.2</v>
      </c>
      <c r="BK71">
        <v>98.7</v>
      </c>
      <c r="BL71">
        <v>99.1</v>
      </c>
      <c r="BM71">
        <v>98.9</v>
      </c>
      <c r="BN71">
        <v>100</v>
      </c>
      <c r="BO71">
        <v>100</v>
      </c>
      <c r="BP71">
        <v>98.7</v>
      </c>
    </row>
    <row r="72" spans="1:68" x14ac:dyDescent="0.3">
      <c r="A72" t="s">
        <v>721</v>
      </c>
      <c r="B72" t="s">
        <v>414</v>
      </c>
      <c r="C72" t="s">
        <v>715</v>
      </c>
      <c r="D72" t="s">
        <v>716</v>
      </c>
      <c r="AK72">
        <v>93.4</v>
      </c>
      <c r="AL72">
        <v>95.392242431640597</v>
      </c>
      <c r="AM72">
        <v>95.648536682128906</v>
      </c>
      <c r="AN72">
        <v>95.5</v>
      </c>
      <c r="AO72">
        <v>96.154327392578097</v>
      </c>
      <c r="AP72">
        <v>96.4024658203125</v>
      </c>
      <c r="AQ72">
        <v>96.646522521972699</v>
      </c>
      <c r="AR72">
        <v>96.885734558105497</v>
      </c>
      <c r="AS72">
        <v>97.7</v>
      </c>
      <c r="AT72">
        <v>97.4</v>
      </c>
      <c r="AU72">
        <v>97.5</v>
      </c>
      <c r="AV72">
        <v>98.8</v>
      </c>
      <c r="AW72">
        <v>97.8</v>
      </c>
      <c r="AX72">
        <v>99.4</v>
      </c>
      <c r="AY72">
        <v>99</v>
      </c>
      <c r="AZ72">
        <v>98.4</v>
      </c>
      <c r="BA72">
        <v>99.8</v>
      </c>
      <c r="BB72">
        <v>98.9</v>
      </c>
      <c r="BC72">
        <v>99.4</v>
      </c>
      <c r="BD72">
        <v>99.4</v>
      </c>
      <c r="BE72">
        <v>99.7</v>
      </c>
      <c r="BF72">
        <v>99.9</v>
      </c>
      <c r="BG72">
        <v>99.8</v>
      </c>
      <c r="BH72">
        <v>99.3</v>
      </c>
      <c r="BI72">
        <v>100</v>
      </c>
      <c r="BJ72">
        <v>100</v>
      </c>
      <c r="BK72">
        <v>100</v>
      </c>
      <c r="BL72">
        <v>100</v>
      </c>
      <c r="BM72">
        <v>100</v>
      </c>
      <c r="BN72">
        <v>100</v>
      </c>
      <c r="BO72">
        <v>100</v>
      </c>
      <c r="BP72">
        <v>100</v>
      </c>
    </row>
    <row r="73" spans="1:68" x14ac:dyDescent="0.3">
      <c r="A73" t="s">
        <v>415</v>
      </c>
      <c r="B73" t="s">
        <v>416</v>
      </c>
      <c r="C73" t="s">
        <v>715</v>
      </c>
      <c r="D73" t="s">
        <v>716</v>
      </c>
      <c r="AI73">
        <v>100</v>
      </c>
      <c r="AJ73">
        <v>100</v>
      </c>
      <c r="AK73">
        <v>100</v>
      </c>
      <c r="AL73">
        <v>100</v>
      </c>
      <c r="AM73">
        <v>100</v>
      </c>
      <c r="AN73">
        <v>100</v>
      </c>
      <c r="AO73">
        <v>100</v>
      </c>
      <c r="AP73">
        <v>100</v>
      </c>
      <c r="AQ73">
        <v>100</v>
      </c>
      <c r="AR73">
        <v>100</v>
      </c>
      <c r="AS73">
        <v>99.993902436385397</v>
      </c>
      <c r="AT73">
        <v>99.993975650734555</v>
      </c>
      <c r="AU73">
        <v>99.992304084762424</v>
      </c>
      <c r="AV73">
        <v>99.992410467838297</v>
      </c>
      <c r="AW73">
        <v>99.990559280738736</v>
      </c>
      <c r="AX73">
        <v>99.989118070791918</v>
      </c>
      <c r="AY73">
        <v>99.987335829585916</v>
      </c>
      <c r="AZ73">
        <v>99.989738832215323</v>
      </c>
      <c r="BA73">
        <v>99.992412098732828</v>
      </c>
      <c r="BB73">
        <v>99.995350524273107</v>
      </c>
      <c r="BC73">
        <v>99.996044913460594</v>
      </c>
      <c r="BD73">
        <v>99.996120731809171</v>
      </c>
      <c r="BE73">
        <v>100</v>
      </c>
      <c r="BF73">
        <v>100</v>
      </c>
      <c r="BG73">
        <v>100</v>
      </c>
      <c r="BH73">
        <v>100</v>
      </c>
      <c r="BI73">
        <v>100</v>
      </c>
      <c r="BJ73">
        <v>100</v>
      </c>
      <c r="BK73">
        <v>100</v>
      </c>
      <c r="BL73">
        <v>100</v>
      </c>
      <c r="BM73">
        <v>100</v>
      </c>
      <c r="BN73">
        <v>100</v>
      </c>
      <c r="BO73">
        <v>100</v>
      </c>
      <c r="BP73">
        <v>100</v>
      </c>
    </row>
    <row r="74" spans="1:68" x14ac:dyDescent="0.3">
      <c r="A74" t="s">
        <v>417</v>
      </c>
      <c r="B74" t="s">
        <v>418</v>
      </c>
      <c r="C74" t="s">
        <v>715</v>
      </c>
      <c r="D74" t="s">
        <v>716</v>
      </c>
      <c r="AN74">
        <v>22.9</v>
      </c>
      <c r="AO74">
        <v>24.755447387695298</v>
      </c>
      <c r="AP74">
        <v>25.874610900878899</v>
      </c>
      <c r="AQ74">
        <v>26.9896945953369</v>
      </c>
      <c r="AR74">
        <v>28.0999355316162</v>
      </c>
      <c r="AS74">
        <v>29.3</v>
      </c>
      <c r="AT74">
        <v>30.3</v>
      </c>
      <c r="AU74">
        <v>32.200000000000003</v>
      </c>
      <c r="AV74">
        <v>32.4</v>
      </c>
      <c r="AW74">
        <v>33.4</v>
      </c>
      <c r="AX74">
        <v>34.5</v>
      </c>
      <c r="AY74">
        <v>35.6</v>
      </c>
      <c r="AZ74">
        <v>36.700000000000003</v>
      </c>
      <c r="BA74">
        <v>37.799999999999997</v>
      </c>
      <c r="BB74">
        <v>38.9</v>
      </c>
      <c r="BC74">
        <v>40.1</v>
      </c>
      <c r="BD74">
        <v>41.2</v>
      </c>
      <c r="BE74">
        <v>42.3</v>
      </c>
      <c r="BF74">
        <v>43.5</v>
      </c>
      <c r="BG74">
        <v>44.6</v>
      </c>
      <c r="BH74">
        <v>45.8</v>
      </c>
      <c r="BI74">
        <v>46.9</v>
      </c>
      <c r="BJ74">
        <v>48</v>
      </c>
      <c r="BK74">
        <v>49.1</v>
      </c>
      <c r="BL74">
        <v>50.3</v>
      </c>
      <c r="BM74">
        <v>51.4</v>
      </c>
      <c r="BN74">
        <v>52.5</v>
      </c>
      <c r="BO74">
        <v>53.4</v>
      </c>
      <c r="BP74">
        <v>54.4</v>
      </c>
    </row>
    <row r="75" spans="1:68" x14ac:dyDescent="0.3">
      <c r="A75" t="s">
        <v>72</v>
      </c>
      <c r="B75" t="s">
        <v>419</v>
      </c>
      <c r="C75" t="s">
        <v>715</v>
      </c>
      <c r="D75" t="s">
        <v>716</v>
      </c>
      <c r="AI75">
        <v>100</v>
      </c>
      <c r="AJ75">
        <v>100</v>
      </c>
      <c r="AK75">
        <v>100</v>
      </c>
      <c r="AL75">
        <v>100</v>
      </c>
      <c r="AM75">
        <v>100</v>
      </c>
      <c r="AN75">
        <v>100</v>
      </c>
      <c r="AO75">
        <v>100</v>
      </c>
      <c r="AP75">
        <v>100</v>
      </c>
      <c r="AQ75">
        <v>100</v>
      </c>
      <c r="AR75">
        <v>100</v>
      </c>
      <c r="AS75">
        <v>100</v>
      </c>
      <c r="AT75">
        <v>100</v>
      </c>
      <c r="AU75">
        <v>100</v>
      </c>
      <c r="AV75">
        <v>100</v>
      </c>
      <c r="AW75">
        <v>100</v>
      </c>
      <c r="AX75">
        <v>100</v>
      </c>
      <c r="AY75">
        <v>100</v>
      </c>
      <c r="AZ75">
        <v>100</v>
      </c>
      <c r="BA75">
        <v>100</v>
      </c>
      <c r="BB75">
        <v>100</v>
      </c>
      <c r="BC75">
        <v>100</v>
      </c>
      <c r="BD75">
        <v>100</v>
      </c>
      <c r="BE75">
        <v>100</v>
      </c>
      <c r="BF75">
        <v>100</v>
      </c>
      <c r="BG75">
        <v>100</v>
      </c>
      <c r="BH75">
        <v>100</v>
      </c>
      <c r="BI75">
        <v>100</v>
      </c>
      <c r="BJ75">
        <v>100</v>
      </c>
      <c r="BK75">
        <v>100</v>
      </c>
      <c r="BL75">
        <v>100</v>
      </c>
      <c r="BM75">
        <v>100</v>
      </c>
      <c r="BN75">
        <v>100</v>
      </c>
      <c r="BO75">
        <v>100</v>
      </c>
      <c r="BP75">
        <v>100</v>
      </c>
    </row>
    <row r="76" spans="1:68" x14ac:dyDescent="0.3">
      <c r="A76" t="s">
        <v>74</v>
      </c>
      <c r="B76" t="s">
        <v>420</v>
      </c>
      <c r="C76" t="s">
        <v>715</v>
      </c>
      <c r="D76" t="s">
        <v>716</v>
      </c>
      <c r="AI76">
        <v>100</v>
      </c>
      <c r="AJ76">
        <v>100</v>
      </c>
      <c r="AK76">
        <v>100</v>
      </c>
      <c r="AL76">
        <v>100</v>
      </c>
      <c r="AM76">
        <v>100</v>
      </c>
      <c r="AN76">
        <v>100</v>
      </c>
      <c r="AO76">
        <v>100</v>
      </c>
      <c r="AP76">
        <v>100</v>
      </c>
      <c r="AQ76">
        <v>100</v>
      </c>
      <c r="AR76">
        <v>100</v>
      </c>
      <c r="AS76">
        <v>100</v>
      </c>
      <c r="AT76">
        <v>100</v>
      </c>
      <c r="AU76">
        <v>100</v>
      </c>
      <c r="AV76">
        <v>100</v>
      </c>
      <c r="AW76">
        <v>100</v>
      </c>
      <c r="AX76">
        <v>100</v>
      </c>
      <c r="AY76">
        <v>100</v>
      </c>
      <c r="AZ76">
        <v>100</v>
      </c>
      <c r="BA76">
        <v>100</v>
      </c>
      <c r="BB76">
        <v>100</v>
      </c>
      <c r="BC76">
        <v>100</v>
      </c>
      <c r="BD76">
        <v>100</v>
      </c>
      <c r="BE76">
        <v>100</v>
      </c>
      <c r="BF76">
        <v>100</v>
      </c>
      <c r="BG76">
        <v>100</v>
      </c>
      <c r="BH76">
        <v>100</v>
      </c>
      <c r="BI76">
        <v>100</v>
      </c>
      <c r="BJ76">
        <v>100</v>
      </c>
      <c r="BK76">
        <v>100</v>
      </c>
      <c r="BL76">
        <v>100</v>
      </c>
      <c r="BM76">
        <v>100</v>
      </c>
      <c r="BN76">
        <v>100</v>
      </c>
      <c r="BO76">
        <v>100</v>
      </c>
      <c r="BP76">
        <v>100</v>
      </c>
    </row>
    <row r="77" spans="1:68" x14ac:dyDescent="0.3">
      <c r="A77" t="s">
        <v>76</v>
      </c>
      <c r="B77" t="s">
        <v>421</v>
      </c>
      <c r="C77" t="s">
        <v>715</v>
      </c>
      <c r="D77" t="s">
        <v>716</v>
      </c>
      <c r="AS77">
        <v>12.7</v>
      </c>
      <c r="AT77">
        <v>10.199999999999999</v>
      </c>
      <c r="AU77">
        <v>11.9</v>
      </c>
      <c r="AV77">
        <v>13.5</v>
      </c>
      <c r="AW77">
        <v>15.2</v>
      </c>
      <c r="AX77">
        <v>14</v>
      </c>
      <c r="AY77">
        <v>18.600000000000001</v>
      </c>
      <c r="AZ77">
        <v>20.3</v>
      </c>
      <c r="BA77">
        <v>22</v>
      </c>
      <c r="BB77">
        <v>23.7</v>
      </c>
      <c r="BC77">
        <v>25.5</v>
      </c>
      <c r="BD77">
        <v>23</v>
      </c>
      <c r="BE77">
        <v>29</v>
      </c>
      <c r="BF77">
        <v>30.8</v>
      </c>
      <c r="BG77">
        <v>27.2</v>
      </c>
      <c r="BH77">
        <v>29</v>
      </c>
      <c r="BI77">
        <v>42.9</v>
      </c>
      <c r="BJ77">
        <v>44.3</v>
      </c>
      <c r="BK77">
        <v>44.8</v>
      </c>
      <c r="BL77">
        <v>48</v>
      </c>
      <c r="BM77">
        <v>51.1</v>
      </c>
      <c r="BN77">
        <v>54.2</v>
      </c>
      <c r="BO77">
        <v>55.4</v>
      </c>
      <c r="BP77">
        <v>55.4</v>
      </c>
    </row>
    <row r="78" spans="1:68" x14ac:dyDescent="0.3">
      <c r="A78" t="s">
        <v>422</v>
      </c>
      <c r="B78" t="s">
        <v>423</v>
      </c>
      <c r="C78" t="s">
        <v>715</v>
      </c>
      <c r="D78" t="s">
        <v>716</v>
      </c>
      <c r="AI78">
        <v>100</v>
      </c>
      <c r="AJ78">
        <v>100</v>
      </c>
      <c r="AK78">
        <v>100</v>
      </c>
      <c r="AL78">
        <v>100</v>
      </c>
      <c r="AM78">
        <v>100</v>
      </c>
      <c r="AN78">
        <v>100</v>
      </c>
      <c r="AO78">
        <v>100</v>
      </c>
      <c r="AP78">
        <v>100</v>
      </c>
      <c r="AQ78">
        <v>100</v>
      </c>
      <c r="AR78">
        <v>100</v>
      </c>
      <c r="AS78">
        <v>99.476189858031162</v>
      </c>
      <c r="AT78">
        <v>99.505044484184651</v>
      </c>
      <c r="AU78">
        <v>99.538715857932786</v>
      </c>
      <c r="AV78">
        <v>99.553990720591571</v>
      </c>
      <c r="AW78">
        <v>99.575824833185806</v>
      </c>
      <c r="AX78">
        <v>99.591370729411409</v>
      </c>
      <c r="AY78">
        <v>99.618839647241515</v>
      </c>
      <c r="AZ78">
        <v>99.646407525503349</v>
      </c>
      <c r="BA78">
        <v>99.68253039966531</v>
      </c>
      <c r="BB78">
        <v>99.72900757061511</v>
      </c>
      <c r="BC78">
        <v>99.755397253096334</v>
      </c>
      <c r="BD78">
        <v>99.780117832354222</v>
      </c>
      <c r="BE78">
        <v>99.812588699587806</v>
      </c>
      <c r="BF78">
        <v>99.838117375272702</v>
      </c>
      <c r="BG78">
        <v>99.86260295522483</v>
      </c>
      <c r="BH78">
        <v>99.89291160325935</v>
      </c>
      <c r="BI78">
        <v>99.91826371940931</v>
      </c>
      <c r="BJ78">
        <v>99.970972427847911</v>
      </c>
      <c r="BK78">
        <v>99.971727568144715</v>
      </c>
      <c r="BL78">
        <v>99.988155612014737</v>
      </c>
      <c r="BM78">
        <v>99.995602290190433</v>
      </c>
      <c r="BN78">
        <v>99.997083414594229</v>
      </c>
      <c r="BO78">
        <v>100</v>
      </c>
      <c r="BP78">
        <v>100</v>
      </c>
    </row>
    <row r="79" spans="1:68" x14ac:dyDescent="0.3">
      <c r="A79" t="s">
        <v>424</v>
      </c>
      <c r="B79" t="s">
        <v>425</v>
      </c>
      <c r="C79" t="s">
        <v>715</v>
      </c>
      <c r="D79" t="s">
        <v>716</v>
      </c>
      <c r="AS79">
        <v>40.433086837633944</v>
      </c>
      <c r="AT79">
        <v>40.94297789103382</v>
      </c>
      <c r="AU79">
        <v>41.492461233479894</v>
      </c>
      <c r="AV79">
        <v>43.276892313438587</v>
      </c>
      <c r="AW79">
        <v>42.586803623773406</v>
      </c>
      <c r="AX79">
        <v>42.684546646435585</v>
      </c>
      <c r="AY79">
        <v>44.130039790162236</v>
      </c>
      <c r="AZ79">
        <v>44.911911875401557</v>
      </c>
      <c r="BA79">
        <v>44.650443288176859</v>
      </c>
      <c r="BB79">
        <v>45.679598132441143</v>
      </c>
      <c r="BC79">
        <v>45.992492648626133</v>
      </c>
      <c r="BD79">
        <v>47.871052213607612</v>
      </c>
      <c r="BE79">
        <v>48.890920967348237</v>
      </c>
      <c r="BF79">
        <v>50.593776000847626</v>
      </c>
      <c r="BG79">
        <v>49.983732536825599</v>
      </c>
      <c r="BH79">
        <v>50.04322377118595</v>
      </c>
      <c r="BI79">
        <v>54.175771894607223</v>
      </c>
      <c r="BJ79">
        <v>54.53774955442541</v>
      </c>
      <c r="BK79">
        <v>54.515468657695529</v>
      </c>
      <c r="BL79">
        <v>55.451416425079316</v>
      </c>
      <c r="BM79">
        <v>56.301049050413638</v>
      </c>
      <c r="BN79">
        <v>57.833225592966173</v>
      </c>
      <c r="BO79">
        <v>57.94587064358722</v>
      </c>
      <c r="BP79">
        <v>58.95010930574697</v>
      </c>
    </row>
    <row r="80" spans="1:68" x14ac:dyDescent="0.3">
      <c r="A80" t="s">
        <v>78</v>
      </c>
      <c r="B80" t="s">
        <v>426</v>
      </c>
      <c r="C80" t="s">
        <v>715</v>
      </c>
      <c r="D80" t="s">
        <v>716</v>
      </c>
      <c r="AI80">
        <v>100</v>
      </c>
      <c r="AJ80">
        <v>100</v>
      </c>
      <c r="AK80">
        <v>100</v>
      </c>
      <c r="AL80">
        <v>100</v>
      </c>
      <c r="AM80">
        <v>100</v>
      </c>
      <c r="AN80">
        <v>100</v>
      </c>
      <c r="AO80">
        <v>100</v>
      </c>
      <c r="AP80">
        <v>100</v>
      </c>
      <c r="AQ80">
        <v>100</v>
      </c>
      <c r="AR80">
        <v>100</v>
      </c>
      <c r="AS80">
        <v>100</v>
      </c>
      <c r="AT80">
        <v>100</v>
      </c>
      <c r="AU80">
        <v>100</v>
      </c>
      <c r="AV80">
        <v>100</v>
      </c>
      <c r="AW80">
        <v>100</v>
      </c>
      <c r="AX80">
        <v>100</v>
      </c>
      <c r="AY80">
        <v>100</v>
      </c>
      <c r="AZ80">
        <v>100</v>
      </c>
      <c r="BA80">
        <v>100</v>
      </c>
      <c r="BB80">
        <v>100</v>
      </c>
      <c r="BC80">
        <v>100</v>
      </c>
      <c r="BD80">
        <v>100</v>
      </c>
      <c r="BE80">
        <v>100</v>
      </c>
      <c r="BF80">
        <v>100</v>
      </c>
      <c r="BG80">
        <v>100</v>
      </c>
      <c r="BH80">
        <v>100</v>
      </c>
      <c r="BI80">
        <v>100</v>
      </c>
      <c r="BJ80">
        <v>100</v>
      </c>
      <c r="BK80">
        <v>100</v>
      </c>
      <c r="BL80">
        <v>100</v>
      </c>
      <c r="BM80">
        <v>100</v>
      </c>
      <c r="BN80">
        <v>100</v>
      </c>
      <c r="BO80">
        <v>100</v>
      </c>
      <c r="BP80">
        <v>100</v>
      </c>
    </row>
    <row r="81" spans="1:68" x14ac:dyDescent="0.3">
      <c r="A81" t="s">
        <v>427</v>
      </c>
      <c r="B81" t="s">
        <v>428</v>
      </c>
      <c r="C81" t="s">
        <v>715</v>
      </c>
      <c r="D81" t="s">
        <v>716</v>
      </c>
      <c r="AO81">
        <v>66.900000000000006</v>
      </c>
      <c r="AP81">
        <v>71.771514892578097</v>
      </c>
      <c r="AQ81">
        <v>73.089584350585895</v>
      </c>
      <c r="AR81">
        <v>74.402816772460895</v>
      </c>
      <c r="AS81">
        <v>76.8</v>
      </c>
      <c r="AT81">
        <v>77.7</v>
      </c>
      <c r="AU81">
        <v>79.599999999999994</v>
      </c>
      <c r="AV81">
        <v>80</v>
      </c>
      <c r="AW81">
        <v>80.599999999999994</v>
      </c>
      <c r="AX81">
        <v>81.599999999999994</v>
      </c>
      <c r="AY81">
        <v>82.6</v>
      </c>
      <c r="AZ81">
        <v>88.9</v>
      </c>
      <c r="BA81">
        <v>86.2</v>
      </c>
      <c r="BB81">
        <v>85.6</v>
      </c>
      <c r="BC81">
        <v>92.4</v>
      </c>
      <c r="BD81">
        <v>92.5</v>
      </c>
      <c r="BE81">
        <v>92.6</v>
      </c>
      <c r="BF81">
        <v>91.8</v>
      </c>
      <c r="BG81">
        <v>93</v>
      </c>
      <c r="BH81">
        <v>93.2</v>
      </c>
      <c r="BI81">
        <v>93.4</v>
      </c>
      <c r="BJ81">
        <v>96</v>
      </c>
      <c r="BK81">
        <v>95.1</v>
      </c>
      <c r="BL81">
        <v>96.1</v>
      </c>
      <c r="BM81">
        <v>97.1</v>
      </c>
      <c r="BN81">
        <v>92.1</v>
      </c>
      <c r="BO81">
        <v>92</v>
      </c>
      <c r="BP81">
        <v>99.3</v>
      </c>
    </row>
    <row r="82" spans="1:68" x14ac:dyDescent="0.3">
      <c r="A82" t="s">
        <v>80</v>
      </c>
      <c r="B82" t="s">
        <v>429</v>
      </c>
      <c r="C82" t="s">
        <v>715</v>
      </c>
      <c r="D82" t="s">
        <v>716</v>
      </c>
      <c r="AI82">
        <v>100</v>
      </c>
      <c r="AJ82">
        <v>100</v>
      </c>
      <c r="AK82">
        <v>100</v>
      </c>
      <c r="AL82">
        <v>100</v>
      </c>
      <c r="AM82">
        <v>100</v>
      </c>
      <c r="AN82">
        <v>100</v>
      </c>
      <c r="AO82">
        <v>100</v>
      </c>
      <c r="AP82">
        <v>100</v>
      </c>
      <c r="AQ82">
        <v>100</v>
      </c>
      <c r="AR82">
        <v>100</v>
      </c>
      <c r="AS82">
        <v>100</v>
      </c>
      <c r="AT82">
        <v>100</v>
      </c>
      <c r="AU82">
        <v>100</v>
      </c>
      <c r="AV82">
        <v>100</v>
      </c>
      <c r="AW82">
        <v>100</v>
      </c>
      <c r="AX82">
        <v>100</v>
      </c>
      <c r="AY82">
        <v>100</v>
      </c>
      <c r="AZ82">
        <v>100</v>
      </c>
      <c r="BA82">
        <v>100</v>
      </c>
      <c r="BB82">
        <v>100</v>
      </c>
      <c r="BC82">
        <v>100</v>
      </c>
      <c r="BD82">
        <v>100</v>
      </c>
      <c r="BE82">
        <v>100</v>
      </c>
      <c r="BF82">
        <v>100</v>
      </c>
      <c r="BG82">
        <v>100</v>
      </c>
      <c r="BH82">
        <v>100</v>
      </c>
      <c r="BI82">
        <v>100</v>
      </c>
      <c r="BJ82">
        <v>100</v>
      </c>
      <c r="BK82">
        <v>100</v>
      </c>
      <c r="BL82">
        <v>100</v>
      </c>
      <c r="BM82">
        <v>100</v>
      </c>
      <c r="BN82">
        <v>100</v>
      </c>
      <c r="BO82">
        <v>100</v>
      </c>
      <c r="BP82">
        <v>100</v>
      </c>
    </row>
    <row r="83" spans="1:68" x14ac:dyDescent="0.3">
      <c r="A83" t="s">
        <v>430</v>
      </c>
      <c r="B83" t="s">
        <v>431</v>
      </c>
      <c r="C83" t="s">
        <v>715</v>
      </c>
      <c r="D83" t="s">
        <v>716</v>
      </c>
      <c r="AI83">
        <v>100</v>
      </c>
      <c r="AJ83">
        <v>100</v>
      </c>
      <c r="AK83">
        <v>100</v>
      </c>
      <c r="AL83">
        <v>100</v>
      </c>
      <c r="AM83">
        <v>100</v>
      </c>
      <c r="AN83">
        <v>100</v>
      </c>
      <c r="AO83">
        <v>100</v>
      </c>
      <c r="AP83">
        <v>100</v>
      </c>
      <c r="AQ83">
        <v>100</v>
      </c>
      <c r="AR83">
        <v>100</v>
      </c>
      <c r="AS83">
        <v>100</v>
      </c>
      <c r="AT83">
        <v>100</v>
      </c>
      <c r="AU83">
        <v>100</v>
      </c>
      <c r="AV83">
        <v>100</v>
      </c>
      <c r="AW83">
        <v>100</v>
      </c>
      <c r="AX83">
        <v>100</v>
      </c>
      <c r="AY83">
        <v>100</v>
      </c>
      <c r="AZ83">
        <v>100</v>
      </c>
      <c r="BA83">
        <v>100</v>
      </c>
      <c r="BB83">
        <v>100</v>
      </c>
      <c r="BC83">
        <v>100</v>
      </c>
      <c r="BD83">
        <v>100</v>
      </c>
      <c r="BE83">
        <v>100</v>
      </c>
      <c r="BF83">
        <v>100</v>
      </c>
      <c r="BG83">
        <v>100</v>
      </c>
      <c r="BH83">
        <v>100</v>
      </c>
      <c r="BI83">
        <v>100</v>
      </c>
      <c r="BJ83">
        <v>100</v>
      </c>
      <c r="BK83">
        <v>100</v>
      </c>
      <c r="BL83">
        <v>100</v>
      </c>
      <c r="BM83">
        <v>100</v>
      </c>
      <c r="BN83">
        <v>100</v>
      </c>
      <c r="BO83">
        <v>100</v>
      </c>
      <c r="BP83">
        <v>100</v>
      </c>
    </row>
    <row r="84" spans="1:68" x14ac:dyDescent="0.3">
      <c r="A84" t="s">
        <v>432</v>
      </c>
      <c r="B84" t="s">
        <v>433</v>
      </c>
      <c r="C84" t="s">
        <v>715</v>
      </c>
      <c r="D84" t="s">
        <v>716</v>
      </c>
      <c r="AS84">
        <v>46</v>
      </c>
      <c r="AT84">
        <v>48.4</v>
      </c>
      <c r="AU84">
        <v>50.1</v>
      </c>
      <c r="AV84">
        <v>51.8</v>
      </c>
      <c r="AW84">
        <v>53.5</v>
      </c>
      <c r="AX84">
        <v>55.2</v>
      </c>
      <c r="AY84">
        <v>57</v>
      </c>
      <c r="AZ84">
        <v>58.7</v>
      </c>
      <c r="BA84">
        <v>60.5</v>
      </c>
      <c r="BB84">
        <v>62.2</v>
      </c>
      <c r="BC84">
        <v>64.5</v>
      </c>
      <c r="BD84">
        <v>66.3</v>
      </c>
      <c r="BE84">
        <v>67.8</v>
      </c>
      <c r="BF84">
        <v>69.400000000000006</v>
      </c>
      <c r="BG84">
        <v>71.2</v>
      </c>
      <c r="BH84">
        <v>73</v>
      </c>
      <c r="BI84">
        <v>74.8</v>
      </c>
      <c r="BJ84">
        <v>76.5</v>
      </c>
      <c r="BK84">
        <v>78.3</v>
      </c>
      <c r="BL84">
        <v>80.099999999999994</v>
      </c>
      <c r="BM84">
        <v>81.900000000000006</v>
      </c>
      <c r="BN84">
        <v>83.6</v>
      </c>
      <c r="BO84">
        <v>85.3</v>
      </c>
      <c r="BP84">
        <v>86.9</v>
      </c>
    </row>
    <row r="85" spans="1:68" x14ac:dyDescent="0.3">
      <c r="A85" t="s">
        <v>82</v>
      </c>
      <c r="B85" t="s">
        <v>434</v>
      </c>
      <c r="C85" t="s">
        <v>715</v>
      </c>
      <c r="D85" t="s">
        <v>716</v>
      </c>
      <c r="AS85">
        <v>73.599999999999994</v>
      </c>
      <c r="AT85">
        <v>77.2</v>
      </c>
      <c r="AU85">
        <v>77.8</v>
      </c>
      <c r="AV85">
        <v>78.5</v>
      </c>
      <c r="AW85">
        <v>79.2</v>
      </c>
      <c r="AX85">
        <v>81.599999999999994</v>
      </c>
      <c r="AY85">
        <v>80.5</v>
      </c>
      <c r="AZ85">
        <v>81.3</v>
      </c>
      <c r="BA85">
        <v>82</v>
      </c>
      <c r="BB85">
        <v>82.7</v>
      </c>
      <c r="BC85">
        <v>89.3</v>
      </c>
      <c r="BD85">
        <v>88.7</v>
      </c>
      <c r="BE85">
        <v>89.3</v>
      </c>
      <c r="BF85">
        <v>86.4</v>
      </c>
      <c r="BG85">
        <v>87.1</v>
      </c>
      <c r="BH85">
        <v>87.3</v>
      </c>
      <c r="BI85">
        <v>88.1</v>
      </c>
      <c r="BJ85">
        <v>86.3</v>
      </c>
      <c r="BK85">
        <v>89.6</v>
      </c>
      <c r="BL85">
        <v>90.3</v>
      </c>
      <c r="BM85">
        <v>91.1</v>
      </c>
      <c r="BN85">
        <v>91.8</v>
      </c>
      <c r="BO85">
        <v>93.5</v>
      </c>
      <c r="BP85">
        <v>94.1</v>
      </c>
    </row>
    <row r="86" spans="1:68" x14ac:dyDescent="0.3">
      <c r="A86" t="s">
        <v>84</v>
      </c>
      <c r="B86" t="s">
        <v>435</v>
      </c>
      <c r="C86" t="s">
        <v>715</v>
      </c>
      <c r="D86" t="s">
        <v>716</v>
      </c>
      <c r="AI86">
        <v>100</v>
      </c>
      <c r="AJ86">
        <v>100</v>
      </c>
      <c r="AK86">
        <v>100</v>
      </c>
      <c r="AL86">
        <v>100</v>
      </c>
      <c r="AM86">
        <v>100</v>
      </c>
      <c r="AN86">
        <v>100</v>
      </c>
      <c r="AO86">
        <v>100</v>
      </c>
      <c r="AP86">
        <v>100</v>
      </c>
      <c r="AQ86">
        <v>100</v>
      </c>
      <c r="AR86">
        <v>100</v>
      </c>
      <c r="AS86">
        <v>100</v>
      </c>
      <c r="AT86">
        <v>100</v>
      </c>
      <c r="AU86">
        <v>100</v>
      </c>
      <c r="AV86">
        <v>100</v>
      </c>
      <c r="AW86">
        <v>100</v>
      </c>
      <c r="AX86">
        <v>100</v>
      </c>
      <c r="AY86">
        <v>100</v>
      </c>
      <c r="AZ86">
        <v>100</v>
      </c>
      <c r="BA86">
        <v>100</v>
      </c>
      <c r="BB86">
        <v>100</v>
      </c>
      <c r="BC86">
        <v>100</v>
      </c>
      <c r="BD86">
        <v>100</v>
      </c>
      <c r="BE86">
        <v>100</v>
      </c>
      <c r="BF86">
        <v>100</v>
      </c>
      <c r="BG86">
        <v>100</v>
      </c>
      <c r="BH86">
        <v>100</v>
      </c>
      <c r="BI86">
        <v>100</v>
      </c>
      <c r="BJ86">
        <v>100</v>
      </c>
      <c r="BK86">
        <v>100</v>
      </c>
      <c r="BL86">
        <v>100</v>
      </c>
      <c r="BM86">
        <v>100</v>
      </c>
      <c r="BN86">
        <v>100</v>
      </c>
      <c r="BO86">
        <v>100</v>
      </c>
      <c r="BP86">
        <v>100</v>
      </c>
    </row>
    <row r="87" spans="1:68" x14ac:dyDescent="0.3">
      <c r="A87" t="s">
        <v>86</v>
      </c>
      <c r="B87" t="s">
        <v>436</v>
      </c>
      <c r="C87" t="s">
        <v>715</v>
      </c>
      <c r="D87" t="s">
        <v>716</v>
      </c>
      <c r="AS87">
        <v>99.8</v>
      </c>
      <c r="AT87">
        <v>99.8</v>
      </c>
      <c r="AU87">
        <v>99.9</v>
      </c>
      <c r="AV87">
        <v>100</v>
      </c>
      <c r="AW87">
        <v>99.9</v>
      </c>
      <c r="AX87">
        <v>97.9</v>
      </c>
      <c r="AY87">
        <v>100</v>
      </c>
      <c r="AZ87">
        <v>100</v>
      </c>
      <c r="BA87">
        <v>100</v>
      </c>
      <c r="BB87">
        <v>100</v>
      </c>
      <c r="BC87">
        <v>100</v>
      </c>
      <c r="BD87">
        <v>100</v>
      </c>
      <c r="BE87">
        <v>100</v>
      </c>
      <c r="BF87">
        <v>100</v>
      </c>
      <c r="BG87">
        <v>100</v>
      </c>
      <c r="BH87">
        <v>100</v>
      </c>
      <c r="BI87">
        <v>100</v>
      </c>
      <c r="BJ87">
        <v>100</v>
      </c>
      <c r="BK87">
        <v>99.9</v>
      </c>
      <c r="BL87">
        <v>100</v>
      </c>
      <c r="BM87">
        <v>100</v>
      </c>
      <c r="BN87">
        <v>100</v>
      </c>
      <c r="BO87">
        <v>100</v>
      </c>
      <c r="BP87">
        <v>100</v>
      </c>
    </row>
    <row r="88" spans="1:68" x14ac:dyDescent="0.3">
      <c r="A88" t="s">
        <v>88</v>
      </c>
      <c r="B88" t="s">
        <v>437</v>
      </c>
      <c r="C88" t="s">
        <v>715</v>
      </c>
      <c r="D88" t="s">
        <v>716</v>
      </c>
      <c r="AL88">
        <v>30.6</v>
      </c>
      <c r="AM88">
        <v>30.36940574646</v>
      </c>
      <c r="AN88">
        <v>32.450450897216797</v>
      </c>
      <c r="AO88">
        <v>34.528770446777301</v>
      </c>
      <c r="AP88">
        <v>36.603694915771499</v>
      </c>
      <c r="AQ88">
        <v>42.6</v>
      </c>
      <c r="AR88">
        <v>40.7405395507813</v>
      </c>
      <c r="AS88">
        <v>43.7</v>
      </c>
      <c r="AT88">
        <v>44.8</v>
      </c>
      <c r="AU88">
        <v>46.8</v>
      </c>
      <c r="AV88">
        <v>48.3</v>
      </c>
      <c r="AW88">
        <v>50.8</v>
      </c>
      <c r="AX88">
        <v>41.3</v>
      </c>
      <c r="AY88">
        <v>55.1</v>
      </c>
      <c r="AZ88">
        <v>56.9</v>
      </c>
      <c r="BA88">
        <v>60.5</v>
      </c>
      <c r="BB88">
        <v>61.1</v>
      </c>
      <c r="BC88">
        <v>64.2</v>
      </c>
      <c r="BD88">
        <v>64.099999999999994</v>
      </c>
      <c r="BE88">
        <v>56.5</v>
      </c>
      <c r="BF88">
        <v>70.7</v>
      </c>
      <c r="BG88">
        <v>78.3</v>
      </c>
      <c r="BH88">
        <v>74</v>
      </c>
      <c r="BI88">
        <v>79.3</v>
      </c>
      <c r="BJ88">
        <v>79</v>
      </c>
      <c r="BK88">
        <v>80.400000000000006</v>
      </c>
      <c r="BL88">
        <v>83.5</v>
      </c>
      <c r="BM88">
        <v>85.4</v>
      </c>
      <c r="BN88">
        <v>86.3</v>
      </c>
      <c r="BO88">
        <v>85.1</v>
      </c>
      <c r="BP88">
        <v>89.5</v>
      </c>
    </row>
    <row r="89" spans="1:68" x14ac:dyDescent="0.3">
      <c r="A89" t="s">
        <v>438</v>
      </c>
      <c r="B89" t="s">
        <v>439</v>
      </c>
      <c r="C89" t="s">
        <v>715</v>
      </c>
      <c r="D89" t="s">
        <v>716</v>
      </c>
      <c r="AI89">
        <v>100</v>
      </c>
      <c r="AJ89">
        <v>100</v>
      </c>
      <c r="AK89">
        <v>100</v>
      </c>
      <c r="AL89">
        <v>100</v>
      </c>
      <c r="AM89">
        <v>100</v>
      </c>
      <c r="AN89">
        <v>100</v>
      </c>
      <c r="AO89">
        <v>100</v>
      </c>
      <c r="AP89">
        <v>100</v>
      </c>
      <c r="AQ89">
        <v>100</v>
      </c>
      <c r="AR89">
        <v>100</v>
      </c>
      <c r="AS89">
        <v>99.9</v>
      </c>
      <c r="AT89">
        <v>99.9</v>
      </c>
      <c r="AU89">
        <v>99.8</v>
      </c>
      <c r="AV89">
        <v>99.8</v>
      </c>
      <c r="AW89">
        <v>99.7</v>
      </c>
      <c r="AX89">
        <v>99.7</v>
      </c>
      <c r="AY89">
        <v>99.7</v>
      </c>
      <c r="AZ89">
        <v>99.7</v>
      </c>
      <c r="BA89">
        <v>99.7</v>
      </c>
      <c r="BB89">
        <v>100</v>
      </c>
      <c r="BC89">
        <v>100</v>
      </c>
      <c r="BD89">
        <v>99.8</v>
      </c>
      <c r="BE89">
        <v>99.9</v>
      </c>
      <c r="BF89">
        <v>99.9</v>
      </c>
      <c r="BG89">
        <v>99.9</v>
      </c>
      <c r="BH89">
        <v>100</v>
      </c>
      <c r="BI89">
        <v>100</v>
      </c>
      <c r="BJ89">
        <v>100</v>
      </c>
      <c r="BK89">
        <v>100</v>
      </c>
      <c r="BL89">
        <v>100</v>
      </c>
      <c r="BM89">
        <v>100</v>
      </c>
      <c r="BN89">
        <v>100</v>
      </c>
      <c r="BO89">
        <v>100</v>
      </c>
      <c r="BP89">
        <v>100</v>
      </c>
    </row>
    <row r="90" spans="1:68" x14ac:dyDescent="0.3">
      <c r="A90" t="s">
        <v>440</v>
      </c>
      <c r="B90" t="s">
        <v>441</v>
      </c>
      <c r="C90" t="s">
        <v>715</v>
      </c>
      <c r="D90" t="s">
        <v>716</v>
      </c>
      <c r="AR90">
        <v>16.399999999999999</v>
      </c>
      <c r="AS90">
        <v>15.2</v>
      </c>
      <c r="AT90">
        <v>16.399999999999999</v>
      </c>
      <c r="AU90">
        <v>17.7</v>
      </c>
      <c r="AV90">
        <v>18.899999999999999</v>
      </c>
      <c r="AW90">
        <v>20.2</v>
      </c>
      <c r="AX90">
        <v>20.2</v>
      </c>
      <c r="AY90">
        <v>22.8</v>
      </c>
      <c r="AZ90">
        <v>24.1</v>
      </c>
      <c r="BA90">
        <v>25.4</v>
      </c>
      <c r="BB90">
        <v>26.7</v>
      </c>
      <c r="BC90">
        <v>28.1</v>
      </c>
      <c r="BD90">
        <v>29.5</v>
      </c>
      <c r="BE90">
        <v>26.2</v>
      </c>
      <c r="BF90">
        <v>32.200000000000003</v>
      </c>
      <c r="BG90">
        <v>33.5</v>
      </c>
      <c r="BH90">
        <v>34.9</v>
      </c>
      <c r="BI90">
        <v>33.5</v>
      </c>
      <c r="BJ90">
        <v>35.4</v>
      </c>
      <c r="BK90">
        <v>45</v>
      </c>
      <c r="BL90">
        <v>42.2</v>
      </c>
      <c r="BM90">
        <v>44.7</v>
      </c>
      <c r="BN90">
        <v>46.8</v>
      </c>
      <c r="BO90">
        <v>47.7</v>
      </c>
      <c r="BP90">
        <v>51.1</v>
      </c>
    </row>
    <row r="91" spans="1:68" x14ac:dyDescent="0.3">
      <c r="A91" t="s">
        <v>442</v>
      </c>
      <c r="B91" t="s">
        <v>443</v>
      </c>
      <c r="C91" t="s">
        <v>715</v>
      </c>
      <c r="D91" t="s">
        <v>716</v>
      </c>
      <c r="AL91">
        <v>17.7</v>
      </c>
      <c r="AM91">
        <v>18.250049591064499</v>
      </c>
      <c r="AN91">
        <v>19.921443939208999</v>
      </c>
      <c r="AO91">
        <v>21.5901184082031</v>
      </c>
      <c r="AP91">
        <v>23.255392074585</v>
      </c>
      <c r="AQ91">
        <v>24.916587829589801</v>
      </c>
      <c r="AR91">
        <v>26.572940826416001</v>
      </c>
      <c r="AS91">
        <v>34.299999999999997</v>
      </c>
      <c r="AT91">
        <v>29.9</v>
      </c>
      <c r="AU91">
        <v>31.5</v>
      </c>
      <c r="AV91">
        <v>27.8</v>
      </c>
      <c r="AW91">
        <v>34.799999999999997</v>
      </c>
      <c r="AX91">
        <v>30.5</v>
      </c>
      <c r="AY91">
        <v>38.1</v>
      </c>
      <c r="AZ91">
        <v>39.799999999999997</v>
      </c>
      <c r="BA91">
        <v>41.5</v>
      </c>
      <c r="BB91">
        <v>43.2</v>
      </c>
      <c r="BC91">
        <v>46.8</v>
      </c>
      <c r="BD91">
        <v>48.3</v>
      </c>
      <c r="BE91">
        <v>49.9</v>
      </c>
      <c r="BF91">
        <v>51.5</v>
      </c>
      <c r="BG91">
        <v>53</v>
      </c>
      <c r="BH91">
        <v>54.7</v>
      </c>
      <c r="BI91">
        <v>56.4</v>
      </c>
      <c r="BJ91">
        <v>56.2</v>
      </c>
      <c r="BK91">
        <v>60.3</v>
      </c>
      <c r="BL91">
        <v>62.1</v>
      </c>
      <c r="BM91">
        <v>62.2</v>
      </c>
      <c r="BN91">
        <v>63.7</v>
      </c>
      <c r="BO91">
        <v>65.400000000000006</v>
      </c>
      <c r="BP91">
        <v>66.900000000000006</v>
      </c>
    </row>
    <row r="92" spans="1:68" x14ac:dyDescent="0.3">
      <c r="A92" t="s">
        <v>444</v>
      </c>
      <c r="B92" t="s">
        <v>445</v>
      </c>
      <c r="C92" t="s">
        <v>715</v>
      </c>
      <c r="D92" t="s">
        <v>716</v>
      </c>
      <c r="AU92">
        <v>1.3</v>
      </c>
      <c r="AV92">
        <v>2.6</v>
      </c>
      <c r="AW92">
        <v>3.9</v>
      </c>
      <c r="AX92">
        <v>5.2</v>
      </c>
      <c r="AY92">
        <v>14.5</v>
      </c>
      <c r="AZ92">
        <v>7.9</v>
      </c>
      <c r="BA92">
        <v>9.3000000000000007</v>
      </c>
      <c r="BB92">
        <v>4.7</v>
      </c>
      <c r="BC92">
        <v>6</v>
      </c>
      <c r="BD92">
        <v>13.5</v>
      </c>
      <c r="BE92">
        <v>14.9</v>
      </c>
      <c r="BF92">
        <v>16.3</v>
      </c>
      <c r="BG92">
        <v>17.2</v>
      </c>
      <c r="BH92">
        <v>20.100000000000001</v>
      </c>
      <c r="BI92">
        <v>22.9</v>
      </c>
      <c r="BJ92">
        <v>26</v>
      </c>
      <c r="BK92">
        <v>28.4</v>
      </c>
      <c r="BL92">
        <v>30.9</v>
      </c>
      <c r="BM92">
        <v>33.4</v>
      </c>
      <c r="BN92">
        <v>35.799999999999997</v>
      </c>
      <c r="BO92">
        <v>37.4</v>
      </c>
      <c r="BP92">
        <v>40.5</v>
      </c>
    </row>
    <row r="93" spans="1:68" x14ac:dyDescent="0.3">
      <c r="A93" t="s">
        <v>446</v>
      </c>
      <c r="B93" t="s">
        <v>447</v>
      </c>
      <c r="C93" t="s">
        <v>715</v>
      </c>
      <c r="D93" t="s">
        <v>716</v>
      </c>
      <c r="AS93">
        <v>64.8</v>
      </c>
      <c r="AT93">
        <v>64.900000000000006</v>
      </c>
      <c r="AU93">
        <v>64.900000000000006</v>
      </c>
      <c r="AV93">
        <v>64.900000000000006</v>
      </c>
      <c r="AW93">
        <v>64.900000000000006</v>
      </c>
      <c r="AX93">
        <v>65</v>
      </c>
      <c r="AY93">
        <v>65.099999999999994</v>
      </c>
      <c r="AZ93">
        <v>65.099999999999994</v>
      </c>
      <c r="BA93">
        <v>65.2</v>
      </c>
      <c r="BB93">
        <v>65.400000000000006</v>
      </c>
      <c r="BC93">
        <v>66.099999999999994</v>
      </c>
      <c r="BD93">
        <v>66.099999999999994</v>
      </c>
      <c r="BE93">
        <v>65.7</v>
      </c>
      <c r="BF93">
        <v>65.900000000000006</v>
      </c>
      <c r="BG93">
        <v>66</v>
      </c>
      <c r="BH93">
        <v>66.099999999999994</v>
      </c>
      <c r="BI93">
        <v>66.2</v>
      </c>
      <c r="BJ93">
        <v>66.400000000000006</v>
      </c>
      <c r="BK93">
        <v>66.5</v>
      </c>
      <c r="BL93">
        <v>66.599999999999994</v>
      </c>
      <c r="BM93">
        <v>66.7</v>
      </c>
      <c r="BN93">
        <v>66.8</v>
      </c>
      <c r="BO93">
        <v>67</v>
      </c>
      <c r="BP93">
        <v>66.900000000000006</v>
      </c>
    </row>
    <row r="94" spans="1:68" x14ac:dyDescent="0.3">
      <c r="A94" t="s">
        <v>90</v>
      </c>
      <c r="B94" t="s">
        <v>448</v>
      </c>
      <c r="C94" t="s">
        <v>715</v>
      </c>
      <c r="D94" t="s">
        <v>716</v>
      </c>
      <c r="AI94">
        <v>100</v>
      </c>
      <c r="AJ94">
        <v>100</v>
      </c>
      <c r="AK94">
        <v>100</v>
      </c>
      <c r="AL94">
        <v>100</v>
      </c>
      <c r="AM94">
        <v>100</v>
      </c>
      <c r="AN94">
        <v>100</v>
      </c>
      <c r="AO94">
        <v>100</v>
      </c>
      <c r="AP94">
        <v>100</v>
      </c>
      <c r="AQ94">
        <v>100</v>
      </c>
      <c r="AR94">
        <v>100</v>
      </c>
      <c r="AS94">
        <v>100</v>
      </c>
      <c r="AT94">
        <v>100</v>
      </c>
      <c r="AU94">
        <v>100</v>
      </c>
      <c r="AV94">
        <v>100</v>
      </c>
      <c r="AW94">
        <v>100</v>
      </c>
      <c r="AX94">
        <v>100</v>
      </c>
      <c r="AY94">
        <v>100</v>
      </c>
      <c r="AZ94">
        <v>100</v>
      </c>
      <c r="BA94">
        <v>100</v>
      </c>
      <c r="BB94">
        <v>100</v>
      </c>
      <c r="BC94">
        <v>100</v>
      </c>
      <c r="BD94">
        <v>100</v>
      </c>
      <c r="BE94">
        <v>100</v>
      </c>
      <c r="BF94">
        <v>100</v>
      </c>
      <c r="BG94">
        <v>100</v>
      </c>
      <c r="BH94">
        <v>100</v>
      </c>
      <c r="BI94">
        <v>100</v>
      </c>
      <c r="BJ94">
        <v>100</v>
      </c>
      <c r="BK94">
        <v>100</v>
      </c>
      <c r="BL94">
        <v>100</v>
      </c>
      <c r="BM94">
        <v>100</v>
      </c>
      <c r="BN94">
        <v>100</v>
      </c>
      <c r="BO94">
        <v>100</v>
      </c>
      <c r="BP94">
        <v>100</v>
      </c>
    </row>
    <row r="95" spans="1:68" x14ac:dyDescent="0.3">
      <c r="A95" t="s">
        <v>449</v>
      </c>
      <c r="B95" t="s">
        <v>450</v>
      </c>
      <c r="C95" t="s">
        <v>715</v>
      </c>
      <c r="D95" t="s">
        <v>716</v>
      </c>
      <c r="AQ95">
        <v>85.04</v>
      </c>
      <c r="AR95">
        <v>85.529464721679702</v>
      </c>
      <c r="AS95">
        <v>86</v>
      </c>
      <c r="AT95">
        <v>86.3</v>
      </c>
      <c r="AU95">
        <v>86.6</v>
      </c>
      <c r="AV95">
        <v>86.9</v>
      </c>
      <c r="AW95">
        <v>87.2</v>
      </c>
      <c r="AX95">
        <v>87.5</v>
      </c>
      <c r="AY95">
        <v>87.9</v>
      </c>
      <c r="AZ95">
        <v>88.2</v>
      </c>
      <c r="BA95">
        <v>90</v>
      </c>
      <c r="BB95">
        <v>89</v>
      </c>
      <c r="BC95">
        <v>89.4</v>
      </c>
      <c r="BD95">
        <v>88.8</v>
      </c>
      <c r="BE95">
        <v>90.2</v>
      </c>
      <c r="BF95">
        <v>90.6</v>
      </c>
      <c r="BG95">
        <v>91</v>
      </c>
      <c r="BH95">
        <v>91.4</v>
      </c>
      <c r="BI95">
        <v>91.8</v>
      </c>
      <c r="BJ95">
        <v>92.2</v>
      </c>
      <c r="BK95">
        <v>92.3</v>
      </c>
      <c r="BL95">
        <v>93</v>
      </c>
      <c r="BM95">
        <v>93.4</v>
      </c>
      <c r="BN95">
        <v>93.7</v>
      </c>
      <c r="BO95">
        <v>94.2</v>
      </c>
      <c r="BP95">
        <v>94.4</v>
      </c>
    </row>
    <row r="96" spans="1:68" x14ac:dyDescent="0.3">
      <c r="A96" t="s">
        <v>451</v>
      </c>
      <c r="B96" t="s">
        <v>452</v>
      </c>
      <c r="C96" t="s">
        <v>715</v>
      </c>
      <c r="D96" t="s">
        <v>716</v>
      </c>
      <c r="AI96">
        <v>100</v>
      </c>
      <c r="AJ96">
        <v>100</v>
      </c>
      <c r="AK96">
        <v>100</v>
      </c>
      <c r="AL96">
        <v>100</v>
      </c>
      <c r="AM96">
        <v>100</v>
      </c>
      <c r="AN96">
        <v>100</v>
      </c>
      <c r="AO96">
        <v>100</v>
      </c>
      <c r="AP96">
        <v>100</v>
      </c>
      <c r="AQ96">
        <v>100</v>
      </c>
      <c r="AR96">
        <v>100</v>
      </c>
      <c r="AS96">
        <v>100</v>
      </c>
      <c r="AT96">
        <v>100</v>
      </c>
      <c r="AU96">
        <v>100</v>
      </c>
      <c r="AV96">
        <v>100</v>
      </c>
      <c r="AW96">
        <v>100</v>
      </c>
      <c r="AX96">
        <v>100</v>
      </c>
      <c r="AY96">
        <v>100</v>
      </c>
      <c r="AZ96">
        <v>100</v>
      </c>
      <c r="BA96">
        <v>100</v>
      </c>
      <c r="BB96">
        <v>100</v>
      </c>
      <c r="BC96">
        <v>100</v>
      </c>
      <c r="BD96">
        <v>100</v>
      </c>
      <c r="BE96">
        <v>100</v>
      </c>
      <c r="BF96">
        <v>100</v>
      </c>
      <c r="BG96">
        <v>100</v>
      </c>
      <c r="BH96">
        <v>100</v>
      </c>
      <c r="BI96">
        <v>100</v>
      </c>
      <c r="BJ96">
        <v>100</v>
      </c>
      <c r="BK96">
        <v>100</v>
      </c>
      <c r="BL96">
        <v>100</v>
      </c>
      <c r="BM96">
        <v>100</v>
      </c>
      <c r="BN96">
        <v>100</v>
      </c>
      <c r="BO96">
        <v>100</v>
      </c>
      <c r="BP96">
        <v>100</v>
      </c>
    </row>
    <row r="97" spans="1:68" x14ac:dyDescent="0.3">
      <c r="A97" t="s">
        <v>92</v>
      </c>
      <c r="B97" t="s">
        <v>453</v>
      </c>
      <c r="C97" t="s">
        <v>715</v>
      </c>
      <c r="D97" t="s">
        <v>716</v>
      </c>
      <c r="AN97">
        <v>60.8</v>
      </c>
      <c r="AO97">
        <v>67.679939270019503</v>
      </c>
      <c r="AP97">
        <v>68.904075622558594</v>
      </c>
      <c r="AQ97">
        <v>70.124130249023395</v>
      </c>
      <c r="AR97">
        <v>70.900000000000006</v>
      </c>
      <c r="AS97">
        <v>73.3</v>
      </c>
      <c r="AT97">
        <v>73.7</v>
      </c>
      <c r="AU97">
        <v>78.7</v>
      </c>
      <c r="AV97">
        <v>78.5</v>
      </c>
      <c r="AW97">
        <v>77.2</v>
      </c>
      <c r="AX97">
        <v>78.3</v>
      </c>
      <c r="AY97">
        <v>83.7</v>
      </c>
      <c r="AZ97">
        <v>80.7</v>
      </c>
      <c r="BA97">
        <v>81.900000000000006</v>
      </c>
      <c r="BB97">
        <v>83.1</v>
      </c>
      <c r="BC97">
        <v>84.3</v>
      </c>
      <c r="BD97">
        <v>84</v>
      </c>
      <c r="BE97">
        <v>86.8</v>
      </c>
      <c r="BF97">
        <v>88.1</v>
      </c>
      <c r="BG97">
        <v>85.5</v>
      </c>
      <c r="BH97">
        <v>90.5</v>
      </c>
      <c r="BI97">
        <v>91.8</v>
      </c>
      <c r="BJ97">
        <v>93.3</v>
      </c>
      <c r="BK97">
        <v>94.2</v>
      </c>
      <c r="BL97">
        <v>95.4</v>
      </c>
      <c r="BM97">
        <v>96.6</v>
      </c>
      <c r="BN97">
        <v>97.9</v>
      </c>
      <c r="BO97">
        <v>99.1</v>
      </c>
      <c r="BP97">
        <v>100</v>
      </c>
    </row>
    <row r="98" spans="1:68" x14ac:dyDescent="0.3">
      <c r="A98" t="s">
        <v>454</v>
      </c>
      <c r="B98" t="s">
        <v>455</v>
      </c>
      <c r="C98" t="s">
        <v>715</v>
      </c>
      <c r="D98" t="s">
        <v>716</v>
      </c>
      <c r="AI98">
        <v>99.844306945800795</v>
      </c>
      <c r="AJ98">
        <v>99.875816345214801</v>
      </c>
      <c r="AK98">
        <v>99.906867980957003</v>
      </c>
      <c r="AL98">
        <v>99.937255859375</v>
      </c>
      <c r="AM98">
        <v>99.965080261230497</v>
      </c>
      <c r="AN98">
        <v>100</v>
      </c>
      <c r="AO98">
        <v>100</v>
      </c>
      <c r="AP98">
        <v>100</v>
      </c>
      <c r="AQ98">
        <v>100</v>
      </c>
      <c r="AR98">
        <v>100</v>
      </c>
      <c r="AS98">
        <v>100</v>
      </c>
      <c r="AT98">
        <v>100</v>
      </c>
      <c r="AU98">
        <v>100</v>
      </c>
      <c r="AV98">
        <v>100</v>
      </c>
      <c r="AW98">
        <v>100</v>
      </c>
      <c r="AX98">
        <v>100</v>
      </c>
      <c r="AY98">
        <v>100</v>
      </c>
      <c r="AZ98">
        <v>100</v>
      </c>
      <c r="BA98">
        <v>100</v>
      </c>
      <c r="BB98">
        <v>100</v>
      </c>
      <c r="BC98">
        <v>100</v>
      </c>
      <c r="BD98">
        <v>100</v>
      </c>
      <c r="BE98">
        <v>100</v>
      </c>
      <c r="BF98">
        <v>100</v>
      </c>
      <c r="BG98">
        <v>100</v>
      </c>
      <c r="BH98">
        <v>100</v>
      </c>
      <c r="BI98">
        <v>100</v>
      </c>
      <c r="BJ98">
        <v>100</v>
      </c>
      <c r="BK98">
        <v>100</v>
      </c>
      <c r="BL98">
        <v>100</v>
      </c>
      <c r="BM98">
        <v>100</v>
      </c>
      <c r="BN98">
        <v>100</v>
      </c>
      <c r="BO98">
        <v>100</v>
      </c>
      <c r="BP98">
        <v>100</v>
      </c>
    </row>
    <row r="99" spans="1:68" x14ac:dyDescent="0.3">
      <c r="A99" t="s">
        <v>456</v>
      </c>
      <c r="B99" t="s">
        <v>457</v>
      </c>
      <c r="C99" t="s">
        <v>715</v>
      </c>
      <c r="D99" t="s">
        <v>716</v>
      </c>
      <c r="AL99">
        <v>72.376631000000003</v>
      </c>
      <c r="AM99">
        <v>70.713981628417997</v>
      </c>
      <c r="AN99">
        <v>71.351982116699205</v>
      </c>
      <c r="AO99">
        <v>71.987266540527301</v>
      </c>
      <c r="AP99">
        <v>72.619155883789105</v>
      </c>
      <c r="AQ99">
        <v>73.246955871582003</v>
      </c>
      <c r="AR99">
        <v>73.869918823242202</v>
      </c>
      <c r="AS99">
        <v>74.599999999999994</v>
      </c>
      <c r="AT99">
        <v>75.099999999999994</v>
      </c>
      <c r="AU99">
        <v>75.7</v>
      </c>
      <c r="AV99">
        <v>76.2</v>
      </c>
      <c r="AW99">
        <v>76.8</v>
      </c>
      <c r="AX99">
        <v>77.5</v>
      </c>
      <c r="AY99">
        <v>73.400000000000006</v>
      </c>
      <c r="AZ99">
        <v>78.5</v>
      </c>
      <c r="BA99">
        <v>79.099999999999994</v>
      </c>
      <c r="BB99">
        <v>77.599999999999994</v>
      </c>
      <c r="BC99">
        <v>83.3</v>
      </c>
      <c r="BD99">
        <v>84.2</v>
      </c>
      <c r="BE99">
        <v>85.1</v>
      </c>
      <c r="BF99">
        <v>86</v>
      </c>
      <c r="BG99">
        <v>86.9</v>
      </c>
      <c r="BH99">
        <v>88</v>
      </c>
      <c r="BI99">
        <v>89</v>
      </c>
      <c r="BJ99">
        <v>90</v>
      </c>
      <c r="BK99">
        <v>90.9</v>
      </c>
      <c r="BL99">
        <v>91.6</v>
      </c>
      <c r="BM99">
        <v>92.3</v>
      </c>
      <c r="BN99">
        <v>92.9</v>
      </c>
      <c r="BO99">
        <v>93</v>
      </c>
      <c r="BP99">
        <v>98.9</v>
      </c>
    </row>
    <row r="100" spans="1:68" x14ac:dyDescent="0.3">
      <c r="A100" t="s">
        <v>458</v>
      </c>
      <c r="B100" t="s">
        <v>459</v>
      </c>
      <c r="C100" t="s">
        <v>715</v>
      </c>
      <c r="D100" t="s">
        <v>716</v>
      </c>
      <c r="AI100">
        <v>99.841048629665664</v>
      </c>
      <c r="AJ100">
        <v>99.87713769200964</v>
      </c>
      <c r="AK100">
        <v>99.866216026073076</v>
      </c>
      <c r="AL100">
        <v>99.859190541755865</v>
      </c>
      <c r="AM100">
        <v>99.862328903436975</v>
      </c>
      <c r="AN100">
        <v>99.867339705473881</v>
      </c>
      <c r="AO100">
        <v>99.864553664457802</v>
      </c>
      <c r="AP100">
        <v>99.876441618478694</v>
      </c>
      <c r="AQ100">
        <v>99.890738975690155</v>
      </c>
      <c r="AR100">
        <v>99.88575405523865</v>
      </c>
      <c r="AS100">
        <v>99.441643111123966</v>
      </c>
      <c r="AT100">
        <v>99.46644306818574</v>
      </c>
      <c r="AU100">
        <v>99.486329436650664</v>
      </c>
      <c r="AV100">
        <v>99.528425385873447</v>
      </c>
      <c r="AW100">
        <v>99.523189156681639</v>
      </c>
      <c r="AX100">
        <v>99.533232922493823</v>
      </c>
      <c r="AY100">
        <v>99.584424413618777</v>
      </c>
      <c r="AZ100">
        <v>99.594446381278445</v>
      </c>
      <c r="BA100">
        <v>99.625104814071037</v>
      </c>
      <c r="BB100">
        <v>99.672436510522516</v>
      </c>
      <c r="BC100">
        <v>99.781851067690567</v>
      </c>
      <c r="BD100">
        <v>99.784427606820884</v>
      </c>
      <c r="BE100">
        <v>99.89514469279051</v>
      </c>
      <c r="BF100">
        <v>99.898738459991819</v>
      </c>
      <c r="BG100">
        <v>99.917207440354659</v>
      </c>
      <c r="BH100">
        <v>99.441256009679662</v>
      </c>
      <c r="BI100">
        <v>99.874939924135845</v>
      </c>
      <c r="BJ100">
        <v>99.95972176674735</v>
      </c>
      <c r="BK100">
        <v>99.962651069369358</v>
      </c>
      <c r="BL100">
        <v>99.949610007616499</v>
      </c>
      <c r="BM100">
        <v>99.968306376790721</v>
      </c>
      <c r="BN100">
        <v>99.979891304797846</v>
      </c>
      <c r="BO100">
        <v>99.979807511910096</v>
      </c>
      <c r="BP100">
        <v>99.988405023697453</v>
      </c>
    </row>
    <row r="101" spans="1:68" x14ac:dyDescent="0.3">
      <c r="A101" t="s">
        <v>94</v>
      </c>
      <c r="B101" t="s">
        <v>460</v>
      </c>
      <c r="C101" t="s">
        <v>715</v>
      </c>
      <c r="D101" t="s">
        <v>716</v>
      </c>
      <c r="AI101">
        <v>100</v>
      </c>
      <c r="AJ101">
        <v>100</v>
      </c>
      <c r="AK101">
        <v>100</v>
      </c>
      <c r="AL101">
        <v>100</v>
      </c>
      <c r="AM101">
        <v>100</v>
      </c>
      <c r="AN101">
        <v>100</v>
      </c>
      <c r="AO101">
        <v>100</v>
      </c>
      <c r="AP101">
        <v>100</v>
      </c>
      <c r="AQ101">
        <v>100</v>
      </c>
      <c r="AR101">
        <v>100</v>
      </c>
      <c r="AS101">
        <v>100</v>
      </c>
      <c r="AT101">
        <v>100</v>
      </c>
      <c r="AU101">
        <v>100</v>
      </c>
      <c r="AV101">
        <v>100</v>
      </c>
      <c r="AW101">
        <v>100</v>
      </c>
      <c r="AX101">
        <v>100</v>
      </c>
      <c r="AY101">
        <v>100</v>
      </c>
      <c r="AZ101">
        <v>100</v>
      </c>
      <c r="BA101">
        <v>100</v>
      </c>
      <c r="BB101">
        <v>100</v>
      </c>
      <c r="BC101">
        <v>100</v>
      </c>
      <c r="BD101">
        <v>100</v>
      </c>
      <c r="BE101">
        <v>100</v>
      </c>
      <c r="BF101">
        <v>100</v>
      </c>
      <c r="BG101">
        <v>100</v>
      </c>
      <c r="BH101">
        <v>100</v>
      </c>
      <c r="BI101">
        <v>100</v>
      </c>
      <c r="BJ101">
        <v>100</v>
      </c>
      <c r="BK101">
        <v>100</v>
      </c>
      <c r="BL101">
        <v>100</v>
      </c>
      <c r="BM101">
        <v>100</v>
      </c>
      <c r="BN101">
        <v>100</v>
      </c>
      <c r="BO101">
        <v>100</v>
      </c>
      <c r="BP101">
        <v>100</v>
      </c>
    </row>
    <row r="102" spans="1:68" x14ac:dyDescent="0.3">
      <c r="A102" t="s">
        <v>95</v>
      </c>
      <c r="B102" t="s">
        <v>461</v>
      </c>
      <c r="C102" t="s">
        <v>715</v>
      </c>
      <c r="D102" t="s">
        <v>716</v>
      </c>
      <c r="AJ102">
        <v>54.781936999999999</v>
      </c>
      <c r="AK102">
        <v>58.913111999999998</v>
      </c>
      <c r="AL102">
        <v>61.100155999999998</v>
      </c>
      <c r="AM102">
        <v>64.733947000000001</v>
      </c>
      <c r="AN102">
        <v>66.122022000000001</v>
      </c>
      <c r="AO102">
        <v>61.68112</v>
      </c>
      <c r="AP102">
        <v>64.794753999999998</v>
      </c>
      <c r="AQ102">
        <v>66.859519000000006</v>
      </c>
      <c r="AR102">
        <v>67.394103000000001</v>
      </c>
      <c r="AS102">
        <v>67.400000000000006</v>
      </c>
      <c r="AT102">
        <v>64.2</v>
      </c>
      <c r="AU102">
        <v>63.1</v>
      </c>
      <c r="AV102">
        <v>65.099999999999994</v>
      </c>
      <c r="AW102">
        <v>67.099999999999994</v>
      </c>
      <c r="AX102">
        <v>68.900000000000006</v>
      </c>
      <c r="AY102">
        <v>71.3</v>
      </c>
      <c r="AZ102">
        <v>73.5</v>
      </c>
      <c r="BA102">
        <v>76.400000000000006</v>
      </c>
      <c r="BB102">
        <v>78.3</v>
      </c>
      <c r="BC102">
        <v>81</v>
      </c>
      <c r="BD102">
        <v>82.2</v>
      </c>
      <c r="BE102">
        <v>83.6</v>
      </c>
      <c r="BF102">
        <v>87.2</v>
      </c>
      <c r="BG102">
        <v>88.7</v>
      </c>
      <c r="BH102">
        <v>90</v>
      </c>
      <c r="BI102">
        <v>91.6</v>
      </c>
      <c r="BJ102">
        <v>86.5</v>
      </c>
      <c r="BK102">
        <v>91.6</v>
      </c>
      <c r="BL102">
        <v>91.1</v>
      </c>
      <c r="BM102">
        <v>93.1</v>
      </c>
      <c r="BN102">
        <v>94.1</v>
      </c>
      <c r="BO102">
        <v>94.4</v>
      </c>
      <c r="BP102">
        <v>95.6</v>
      </c>
    </row>
    <row r="103" spans="1:68" x14ac:dyDescent="0.3">
      <c r="A103" t="s">
        <v>462</v>
      </c>
      <c r="B103" t="s">
        <v>463</v>
      </c>
      <c r="C103" t="s">
        <v>715</v>
      </c>
      <c r="D103" t="s">
        <v>716</v>
      </c>
      <c r="AS103">
        <v>17.824478605208927</v>
      </c>
      <c r="AT103">
        <v>18.69723552909424</v>
      </c>
      <c r="AU103">
        <v>19.403578591130536</v>
      </c>
      <c r="AV103">
        <v>20.872297208887055</v>
      </c>
      <c r="AW103">
        <v>21.919398023811983</v>
      </c>
      <c r="AX103">
        <v>21.665607026330935</v>
      </c>
      <c r="AY103">
        <v>24.29705524068406</v>
      </c>
      <c r="AZ103">
        <v>25.847755027410951</v>
      </c>
      <c r="BA103">
        <v>25.803747137151568</v>
      </c>
      <c r="BB103">
        <v>27.024611988869765</v>
      </c>
      <c r="BC103">
        <v>28.67943130183399</v>
      </c>
      <c r="BD103">
        <v>29.171839682858298</v>
      </c>
      <c r="BE103">
        <v>31.897966049350103</v>
      </c>
      <c r="BF103">
        <v>32.887311045362054</v>
      </c>
      <c r="BG103">
        <v>35.34329387411514</v>
      </c>
      <c r="BH103">
        <v>35.453233423296282</v>
      </c>
      <c r="BI103">
        <v>40.587914385909535</v>
      </c>
      <c r="BJ103">
        <v>41.476140008264203</v>
      </c>
      <c r="BK103">
        <v>43.978055915551124</v>
      </c>
      <c r="BL103">
        <v>45.02245693284025</v>
      </c>
      <c r="BM103">
        <v>46.340598868519763</v>
      </c>
      <c r="BN103">
        <v>48.019941220743483</v>
      </c>
      <c r="BO103">
        <v>48.717127728938443</v>
      </c>
      <c r="BP103">
        <v>50.531112749859759</v>
      </c>
    </row>
    <row r="104" spans="1:68" x14ac:dyDescent="0.3">
      <c r="A104" t="s">
        <v>97</v>
      </c>
      <c r="B104" t="s">
        <v>464</v>
      </c>
      <c r="C104" t="s">
        <v>715</v>
      </c>
      <c r="D104" t="s">
        <v>716</v>
      </c>
      <c r="AI104">
        <v>100</v>
      </c>
      <c r="AJ104">
        <v>100</v>
      </c>
      <c r="AK104">
        <v>100</v>
      </c>
      <c r="AL104">
        <v>100</v>
      </c>
      <c r="AM104">
        <v>100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100</v>
      </c>
      <c r="AU104">
        <v>100</v>
      </c>
      <c r="AV104">
        <v>100</v>
      </c>
      <c r="AW104">
        <v>99.9</v>
      </c>
      <c r="AX104">
        <v>99.9</v>
      </c>
      <c r="AY104">
        <v>99.8</v>
      </c>
      <c r="AZ104">
        <v>99.8</v>
      </c>
      <c r="BA104">
        <v>100</v>
      </c>
      <c r="BB104">
        <v>100</v>
      </c>
      <c r="BC104">
        <v>100</v>
      </c>
      <c r="BD104">
        <v>100</v>
      </c>
      <c r="BE104">
        <v>100</v>
      </c>
      <c r="BF104">
        <v>100</v>
      </c>
      <c r="BG104">
        <v>100</v>
      </c>
      <c r="BH104">
        <v>100</v>
      </c>
      <c r="BI104">
        <v>100</v>
      </c>
      <c r="BJ104">
        <v>100</v>
      </c>
      <c r="BK104">
        <v>100</v>
      </c>
      <c r="BL104">
        <v>100</v>
      </c>
      <c r="BM104">
        <v>100</v>
      </c>
      <c r="BN104">
        <v>100</v>
      </c>
      <c r="BO104">
        <v>100</v>
      </c>
      <c r="BP104">
        <v>100</v>
      </c>
    </row>
    <row r="105" spans="1:68" x14ac:dyDescent="0.3">
      <c r="A105" t="s">
        <v>99</v>
      </c>
      <c r="B105" t="s">
        <v>465</v>
      </c>
      <c r="C105" t="s">
        <v>715</v>
      </c>
      <c r="D105" t="s">
        <v>716</v>
      </c>
      <c r="AN105">
        <v>31.3</v>
      </c>
      <c r="AO105">
        <v>30.013017654418899</v>
      </c>
      <c r="AP105">
        <v>30.5570373535156</v>
      </c>
      <c r="AQ105">
        <v>31.0969753265381</v>
      </c>
      <c r="AR105">
        <v>31.632072448730501</v>
      </c>
      <c r="AS105">
        <v>33.700000000000003</v>
      </c>
      <c r="AT105">
        <v>31.5</v>
      </c>
      <c r="AU105">
        <v>33.1</v>
      </c>
      <c r="AV105">
        <v>31.6</v>
      </c>
      <c r="AW105">
        <v>34.1</v>
      </c>
      <c r="AX105">
        <v>34.5</v>
      </c>
      <c r="AY105">
        <v>33.9</v>
      </c>
      <c r="AZ105">
        <v>35.5</v>
      </c>
      <c r="BA105">
        <v>36.1</v>
      </c>
      <c r="BB105">
        <v>36.6</v>
      </c>
      <c r="BC105">
        <v>37.200000000000003</v>
      </c>
      <c r="BD105">
        <v>37.799999999999997</v>
      </c>
      <c r="BE105">
        <v>37.9</v>
      </c>
      <c r="BF105">
        <v>38.9</v>
      </c>
      <c r="BG105">
        <v>39.6</v>
      </c>
      <c r="BH105">
        <v>40.799999999999997</v>
      </c>
      <c r="BI105">
        <v>40.4</v>
      </c>
      <c r="BJ105">
        <v>43.3</v>
      </c>
      <c r="BK105">
        <v>44.4</v>
      </c>
      <c r="BL105">
        <v>45.4</v>
      </c>
      <c r="BM105">
        <v>46.3</v>
      </c>
      <c r="BN105">
        <v>47.2</v>
      </c>
      <c r="BO105">
        <v>49.3</v>
      </c>
      <c r="BP105">
        <v>51.3</v>
      </c>
    </row>
    <row r="106" spans="1:68" x14ac:dyDescent="0.3">
      <c r="A106" t="s">
        <v>101</v>
      </c>
      <c r="B106" t="s">
        <v>466</v>
      </c>
      <c r="C106" t="s">
        <v>715</v>
      </c>
      <c r="D106" t="s">
        <v>716</v>
      </c>
      <c r="AI106">
        <v>100</v>
      </c>
      <c r="AJ106">
        <v>100</v>
      </c>
      <c r="AK106">
        <v>100</v>
      </c>
      <c r="AL106">
        <v>100</v>
      </c>
      <c r="AM106">
        <v>100</v>
      </c>
      <c r="AN106">
        <v>100</v>
      </c>
      <c r="AO106">
        <v>100</v>
      </c>
      <c r="AP106">
        <v>100</v>
      </c>
      <c r="AQ106">
        <v>100</v>
      </c>
      <c r="AR106">
        <v>100</v>
      </c>
      <c r="AS106">
        <v>100</v>
      </c>
      <c r="AT106">
        <v>100</v>
      </c>
      <c r="AU106">
        <v>100</v>
      </c>
      <c r="AV106">
        <v>100</v>
      </c>
      <c r="AW106">
        <v>100</v>
      </c>
      <c r="AX106">
        <v>99.9</v>
      </c>
      <c r="AY106">
        <v>99.9</v>
      </c>
      <c r="AZ106">
        <v>100</v>
      </c>
      <c r="BA106">
        <v>100</v>
      </c>
      <c r="BB106">
        <v>100</v>
      </c>
      <c r="BC106">
        <v>100</v>
      </c>
      <c r="BD106">
        <v>100</v>
      </c>
      <c r="BE106">
        <v>100</v>
      </c>
      <c r="BF106">
        <v>100</v>
      </c>
      <c r="BG106">
        <v>100</v>
      </c>
      <c r="BH106">
        <v>100</v>
      </c>
      <c r="BI106">
        <v>100</v>
      </c>
      <c r="BJ106">
        <v>100</v>
      </c>
      <c r="BK106">
        <v>100</v>
      </c>
      <c r="BL106">
        <v>100</v>
      </c>
      <c r="BM106">
        <v>100</v>
      </c>
      <c r="BN106">
        <v>100</v>
      </c>
      <c r="BO106">
        <v>100</v>
      </c>
      <c r="BP106">
        <v>100</v>
      </c>
    </row>
    <row r="107" spans="1:68" x14ac:dyDescent="0.3">
      <c r="A107" t="s">
        <v>467</v>
      </c>
      <c r="B107" t="s">
        <v>468</v>
      </c>
      <c r="C107" t="s">
        <v>715</v>
      </c>
      <c r="D107" t="s">
        <v>716</v>
      </c>
      <c r="AS107">
        <v>84.551420039195335</v>
      </c>
      <c r="AT107">
        <v>85.260545288029519</v>
      </c>
      <c r="AU107">
        <v>85.598361383749818</v>
      </c>
      <c r="AV107">
        <v>86.55819569022718</v>
      </c>
      <c r="AW107">
        <v>86.718490542475323</v>
      </c>
      <c r="AX107">
        <v>87.733322756668755</v>
      </c>
      <c r="AY107">
        <v>88.168089146625363</v>
      </c>
      <c r="AZ107">
        <v>89.324212163893165</v>
      </c>
      <c r="BA107">
        <v>90.166529400894788</v>
      </c>
      <c r="BB107">
        <v>90.673176233291159</v>
      </c>
      <c r="BC107">
        <v>91.454057140759559</v>
      </c>
      <c r="BD107">
        <v>92.508495617541669</v>
      </c>
      <c r="BE107">
        <v>92.769211926387783</v>
      </c>
      <c r="BF107">
        <v>93.782132708479139</v>
      </c>
      <c r="BG107">
        <v>94.424010343468566</v>
      </c>
      <c r="BH107">
        <v>95.176959424091748</v>
      </c>
      <c r="BI107">
        <v>95.836532216849889</v>
      </c>
      <c r="BJ107">
        <v>96.604214852008482</v>
      </c>
      <c r="BK107">
        <v>97.749965389821611</v>
      </c>
      <c r="BL107">
        <v>97.877324817405253</v>
      </c>
      <c r="BM107">
        <v>98.057196288285866</v>
      </c>
      <c r="BN107">
        <v>99.109475232608801</v>
      </c>
      <c r="BO107">
        <v>98.968725687628023</v>
      </c>
      <c r="BP107">
        <v>99.088645099492012</v>
      </c>
    </row>
    <row r="108" spans="1:68" x14ac:dyDescent="0.3">
      <c r="A108" t="s">
        <v>469</v>
      </c>
      <c r="B108" t="s">
        <v>470</v>
      </c>
      <c r="C108" t="s">
        <v>715</v>
      </c>
      <c r="D108" t="s">
        <v>716</v>
      </c>
      <c r="AS108">
        <v>73.965437250865875</v>
      </c>
      <c r="AT108">
        <v>74.588359845761815</v>
      </c>
      <c r="AU108">
        <v>75.0793291008235</v>
      </c>
      <c r="AV108">
        <v>76.134644740906381</v>
      </c>
      <c r="AW108">
        <v>76.144453608049488</v>
      </c>
      <c r="AX108">
        <v>77.059769000974626</v>
      </c>
      <c r="AY108">
        <v>77.855226654622783</v>
      </c>
      <c r="AZ108">
        <v>78.611980691197587</v>
      </c>
      <c r="BA108">
        <v>79.453318979565893</v>
      </c>
      <c r="BB108">
        <v>79.950152155281387</v>
      </c>
      <c r="BC108">
        <v>80.649133058185157</v>
      </c>
      <c r="BD108">
        <v>81.918910296073818</v>
      </c>
      <c r="BE108">
        <v>82.435805093571062</v>
      </c>
      <c r="BF108">
        <v>83.359547774855798</v>
      </c>
      <c r="BG108">
        <v>83.939807827562461</v>
      </c>
      <c r="BH108">
        <v>84.802454487893598</v>
      </c>
      <c r="BI108">
        <v>86.198372312667559</v>
      </c>
      <c r="BJ108">
        <v>87.178509735569932</v>
      </c>
      <c r="BK108">
        <v>88.203442200669414</v>
      </c>
      <c r="BL108">
        <v>88.572280636660665</v>
      </c>
      <c r="BM108">
        <v>88.912152428199548</v>
      </c>
      <c r="BN108">
        <v>90.020451108097745</v>
      </c>
      <c r="BO108">
        <v>89.961861455292734</v>
      </c>
      <c r="BP108">
        <v>90.315108914403311</v>
      </c>
    </row>
    <row r="109" spans="1:68" x14ac:dyDescent="0.3">
      <c r="A109" t="s">
        <v>471</v>
      </c>
      <c r="B109" t="s">
        <v>472</v>
      </c>
      <c r="C109" t="s">
        <v>715</v>
      </c>
      <c r="D109" t="s">
        <v>716</v>
      </c>
      <c r="AQ109">
        <v>36.946980560784517</v>
      </c>
      <c r="AR109">
        <v>38.337782452806977</v>
      </c>
      <c r="AS109">
        <v>36.362857158658848</v>
      </c>
      <c r="AT109">
        <v>37.142264025294004</v>
      </c>
      <c r="AU109">
        <v>38.683657675057312</v>
      </c>
      <c r="AV109">
        <v>40.537039021966777</v>
      </c>
      <c r="AW109">
        <v>40.488119366039733</v>
      </c>
      <c r="AX109">
        <v>41.522430010005309</v>
      </c>
      <c r="AY109">
        <v>43.969170038537413</v>
      </c>
      <c r="AZ109">
        <v>44.210915167277165</v>
      </c>
      <c r="BA109">
        <v>45.516681728267173</v>
      </c>
      <c r="BB109">
        <v>46.430338778000767</v>
      </c>
      <c r="BC109">
        <v>47.315587567975527</v>
      </c>
      <c r="BD109">
        <v>49.662114210740491</v>
      </c>
      <c r="BE109">
        <v>51.318949556050619</v>
      </c>
      <c r="BF109">
        <v>52.281730355199507</v>
      </c>
      <c r="BG109">
        <v>53.000578458485329</v>
      </c>
      <c r="BH109">
        <v>54.522399449380913</v>
      </c>
      <c r="BI109">
        <v>58.39487610486637</v>
      </c>
      <c r="BJ109">
        <v>60.317935543241255</v>
      </c>
      <c r="BK109">
        <v>61.354448837086814</v>
      </c>
      <c r="BL109">
        <v>62.769644320149027</v>
      </c>
      <c r="BM109">
        <v>63.937074359376879</v>
      </c>
      <c r="BN109">
        <v>65.598211852634989</v>
      </c>
      <c r="BO109">
        <v>66.156904333555758</v>
      </c>
      <c r="BP109">
        <v>67.501493782886797</v>
      </c>
    </row>
    <row r="110" spans="1:68" x14ac:dyDescent="0.3">
      <c r="A110" t="s">
        <v>473</v>
      </c>
      <c r="B110" t="s">
        <v>474</v>
      </c>
      <c r="C110" t="s">
        <v>715</v>
      </c>
      <c r="D110" t="s">
        <v>716</v>
      </c>
      <c r="AQ110">
        <v>54.159310521688511</v>
      </c>
      <c r="AR110">
        <v>55.455819920573795</v>
      </c>
      <c r="AS110">
        <v>55.648110796612201</v>
      </c>
      <c r="AT110">
        <v>56.707898850050022</v>
      </c>
      <c r="AU110">
        <v>57.418213504278761</v>
      </c>
      <c r="AV110">
        <v>60.095281651132801</v>
      </c>
      <c r="AW110">
        <v>59.143274246878903</v>
      </c>
      <c r="AX110">
        <v>60.224211282843406</v>
      </c>
      <c r="AY110">
        <v>61.12698262232243</v>
      </c>
      <c r="AZ110">
        <v>62.304314841416769</v>
      </c>
      <c r="BA110">
        <v>63.330939154909892</v>
      </c>
      <c r="BB110">
        <v>63.115541656224153</v>
      </c>
      <c r="BC110">
        <v>63.954748645589085</v>
      </c>
      <c r="BD110">
        <v>68.04984867830305</v>
      </c>
      <c r="BE110">
        <v>67.753428275176333</v>
      </c>
      <c r="BF110">
        <v>69.201284903933541</v>
      </c>
      <c r="BG110">
        <v>68.474990117402768</v>
      </c>
      <c r="BH110">
        <v>68.786832494063106</v>
      </c>
      <c r="BI110">
        <v>72.546034914171898</v>
      </c>
      <c r="BJ110">
        <v>71.646613733255919</v>
      </c>
      <c r="BK110">
        <v>73.151878223368996</v>
      </c>
      <c r="BL110">
        <v>73.908908808971219</v>
      </c>
      <c r="BM110">
        <v>74.492462198968198</v>
      </c>
      <c r="BN110">
        <v>76.469887325023848</v>
      </c>
      <c r="BO110">
        <v>77.072132496506697</v>
      </c>
      <c r="BP110">
        <v>77.920134375695383</v>
      </c>
    </row>
    <row r="111" spans="1:68" x14ac:dyDescent="0.3">
      <c r="A111" t="s">
        <v>103</v>
      </c>
      <c r="B111" t="s">
        <v>475</v>
      </c>
      <c r="C111" t="s">
        <v>715</v>
      </c>
      <c r="D111" t="s">
        <v>716</v>
      </c>
      <c r="AJ111">
        <v>48.9</v>
      </c>
      <c r="AK111">
        <v>66.696563720703097</v>
      </c>
      <c r="AL111">
        <v>55.43</v>
      </c>
      <c r="AM111">
        <v>62.8</v>
      </c>
      <c r="AN111">
        <v>66.86</v>
      </c>
      <c r="AO111">
        <v>72.39</v>
      </c>
      <c r="AP111">
        <v>80.3</v>
      </c>
      <c r="AQ111">
        <v>80.94</v>
      </c>
      <c r="AR111">
        <v>83.73</v>
      </c>
      <c r="AS111">
        <v>86.3</v>
      </c>
      <c r="AT111">
        <v>86.3</v>
      </c>
      <c r="AU111">
        <v>87.6</v>
      </c>
      <c r="AV111">
        <v>87.9</v>
      </c>
      <c r="AW111">
        <v>89</v>
      </c>
      <c r="AX111">
        <v>84.8</v>
      </c>
      <c r="AY111">
        <v>90.6</v>
      </c>
      <c r="AZ111">
        <v>91.1</v>
      </c>
      <c r="BA111">
        <v>92.7</v>
      </c>
      <c r="BB111">
        <v>93.6</v>
      </c>
      <c r="BC111">
        <v>94.2</v>
      </c>
      <c r="BD111">
        <v>94.8</v>
      </c>
      <c r="BE111">
        <v>96</v>
      </c>
      <c r="BF111">
        <v>96.5</v>
      </c>
      <c r="BG111">
        <v>97</v>
      </c>
      <c r="BH111">
        <v>97.5</v>
      </c>
      <c r="BI111">
        <v>97.6</v>
      </c>
      <c r="BJ111">
        <v>98.1</v>
      </c>
      <c r="BK111">
        <v>98.5</v>
      </c>
      <c r="BL111">
        <v>98.9</v>
      </c>
      <c r="BM111">
        <v>97</v>
      </c>
      <c r="BN111">
        <v>99.2</v>
      </c>
      <c r="BO111">
        <v>100</v>
      </c>
      <c r="BP111">
        <v>99.4</v>
      </c>
    </row>
    <row r="112" spans="1:68" x14ac:dyDescent="0.3">
      <c r="A112" t="s">
        <v>476</v>
      </c>
      <c r="B112" t="s">
        <v>477</v>
      </c>
      <c r="C112" t="s">
        <v>715</v>
      </c>
      <c r="D112" t="s">
        <v>716</v>
      </c>
      <c r="AS112">
        <v>25.911552326283303</v>
      </c>
      <c r="AT112">
        <v>26.503365515603221</v>
      </c>
      <c r="AU112">
        <v>28.501568921188781</v>
      </c>
      <c r="AV112">
        <v>29.898463854245339</v>
      </c>
      <c r="AW112">
        <v>30.318782034672253</v>
      </c>
      <c r="AX112">
        <v>31.306662041874532</v>
      </c>
      <c r="AY112">
        <v>34.58069854693408</v>
      </c>
      <c r="AZ112">
        <v>34.416894260371144</v>
      </c>
      <c r="BA112">
        <v>35.839153133687368</v>
      </c>
      <c r="BB112">
        <v>37.335127271670117</v>
      </c>
      <c r="BC112">
        <v>38.216364564041399</v>
      </c>
      <c r="BD112">
        <v>39.586572964430523</v>
      </c>
      <c r="BE112">
        <v>42.308029151004376</v>
      </c>
      <c r="BF112">
        <v>42.997938461142745</v>
      </c>
      <c r="BG112">
        <v>44.511896697903282</v>
      </c>
      <c r="BH112">
        <v>46.705998397654028</v>
      </c>
      <c r="BI112">
        <v>50.660226481362322</v>
      </c>
      <c r="BJ112">
        <v>54.142724095253385</v>
      </c>
      <c r="BK112">
        <v>54.941273906369538</v>
      </c>
      <c r="BL112">
        <v>56.734623782157975</v>
      </c>
      <c r="BM112">
        <v>58.236518846734597</v>
      </c>
      <c r="BN112">
        <v>59.741160065960834</v>
      </c>
      <c r="BO112">
        <v>60.290135879405945</v>
      </c>
      <c r="BP112">
        <v>61.920192118908432</v>
      </c>
    </row>
    <row r="113" spans="1:68" x14ac:dyDescent="0.3">
      <c r="A113" t="s">
        <v>478</v>
      </c>
      <c r="B113" t="s">
        <v>479</v>
      </c>
      <c r="C113" t="s">
        <v>715</v>
      </c>
      <c r="D113" t="s">
        <v>716</v>
      </c>
      <c r="AI113">
        <v>100</v>
      </c>
      <c r="AJ113">
        <v>100</v>
      </c>
      <c r="AK113">
        <v>100</v>
      </c>
      <c r="AL113">
        <v>100</v>
      </c>
      <c r="AM113">
        <v>100</v>
      </c>
      <c r="AN113">
        <v>100</v>
      </c>
      <c r="AO113">
        <v>100</v>
      </c>
      <c r="AP113">
        <v>100</v>
      </c>
      <c r="AQ113">
        <v>100</v>
      </c>
      <c r="AR113">
        <v>100</v>
      </c>
      <c r="AS113">
        <v>100</v>
      </c>
      <c r="AT113">
        <v>100</v>
      </c>
      <c r="AU113">
        <v>100</v>
      </c>
      <c r="AV113">
        <v>100</v>
      </c>
      <c r="AW113">
        <v>100</v>
      </c>
      <c r="AX113">
        <v>100</v>
      </c>
      <c r="AY113">
        <v>100</v>
      </c>
      <c r="AZ113">
        <v>100</v>
      </c>
      <c r="BA113">
        <v>100</v>
      </c>
      <c r="BB113">
        <v>100</v>
      </c>
      <c r="BC113">
        <v>100</v>
      </c>
      <c r="BD113">
        <v>100</v>
      </c>
      <c r="BE113">
        <v>100</v>
      </c>
      <c r="BF113">
        <v>100</v>
      </c>
      <c r="BG113">
        <v>100</v>
      </c>
      <c r="BH113">
        <v>100</v>
      </c>
      <c r="BI113">
        <v>100</v>
      </c>
      <c r="BJ113">
        <v>100</v>
      </c>
      <c r="BK113">
        <v>100</v>
      </c>
      <c r="BL113">
        <v>100</v>
      </c>
      <c r="BM113">
        <v>100</v>
      </c>
      <c r="BN113">
        <v>100</v>
      </c>
      <c r="BO113">
        <v>100</v>
      </c>
      <c r="BP113">
        <v>100</v>
      </c>
    </row>
    <row r="114" spans="1:68" x14ac:dyDescent="0.3">
      <c r="A114" t="s">
        <v>105</v>
      </c>
      <c r="B114" t="s">
        <v>480</v>
      </c>
      <c r="C114" t="s">
        <v>715</v>
      </c>
      <c r="D114" t="s">
        <v>716</v>
      </c>
      <c r="AL114">
        <v>50.9</v>
      </c>
      <c r="AM114">
        <v>49.811309814453097</v>
      </c>
      <c r="AN114">
        <v>51.408775329589801</v>
      </c>
      <c r="AO114">
        <v>53.0035209655762</v>
      </c>
      <c r="AP114">
        <v>54.594863891601598</v>
      </c>
      <c r="AQ114">
        <v>56.182132720947301</v>
      </c>
      <c r="AR114">
        <v>60.1</v>
      </c>
      <c r="AS114">
        <v>60.3</v>
      </c>
      <c r="AT114">
        <v>62</v>
      </c>
      <c r="AU114">
        <v>62.3</v>
      </c>
      <c r="AV114">
        <v>65.400000000000006</v>
      </c>
      <c r="AW114">
        <v>64.400000000000006</v>
      </c>
      <c r="AX114">
        <v>68.8</v>
      </c>
      <c r="AY114">
        <v>67.900000000000006</v>
      </c>
      <c r="AZ114">
        <v>72.3</v>
      </c>
      <c r="BA114">
        <v>74.099999999999994</v>
      </c>
      <c r="BB114">
        <v>75</v>
      </c>
      <c r="BC114">
        <v>76.3</v>
      </c>
      <c r="BD114">
        <v>79.5</v>
      </c>
      <c r="BE114">
        <v>79.900000000000006</v>
      </c>
      <c r="BF114">
        <v>83.1</v>
      </c>
      <c r="BG114">
        <v>85.1</v>
      </c>
      <c r="BH114">
        <v>88</v>
      </c>
      <c r="BI114">
        <v>89.6</v>
      </c>
      <c r="BJ114">
        <v>91.8</v>
      </c>
      <c r="BK114">
        <v>95.7</v>
      </c>
      <c r="BL114">
        <v>95.9</v>
      </c>
      <c r="BM114">
        <v>96.5</v>
      </c>
      <c r="BN114">
        <v>99.6</v>
      </c>
      <c r="BO114">
        <v>99.2</v>
      </c>
      <c r="BP114">
        <v>99.5</v>
      </c>
    </row>
    <row r="115" spans="1:68" x14ac:dyDescent="0.3">
      <c r="A115" t="s">
        <v>481</v>
      </c>
      <c r="B115" t="s">
        <v>482</v>
      </c>
      <c r="C115" t="s">
        <v>715</v>
      </c>
      <c r="D115" t="s">
        <v>716</v>
      </c>
    </row>
    <row r="116" spans="1:68" x14ac:dyDescent="0.3">
      <c r="A116" t="s">
        <v>107</v>
      </c>
      <c r="B116" t="s">
        <v>483</v>
      </c>
      <c r="C116" t="s">
        <v>715</v>
      </c>
      <c r="D116" t="s">
        <v>716</v>
      </c>
      <c r="AI116">
        <v>100</v>
      </c>
      <c r="AJ116">
        <v>100</v>
      </c>
      <c r="AK116">
        <v>100</v>
      </c>
      <c r="AL116">
        <v>100</v>
      </c>
      <c r="AM116">
        <v>100</v>
      </c>
      <c r="AN116">
        <v>100</v>
      </c>
      <c r="AO116">
        <v>100</v>
      </c>
      <c r="AP116">
        <v>100</v>
      </c>
      <c r="AQ116">
        <v>100</v>
      </c>
      <c r="AR116">
        <v>100</v>
      </c>
      <c r="AS116">
        <v>100</v>
      </c>
      <c r="AT116">
        <v>100</v>
      </c>
      <c r="AU116">
        <v>100</v>
      </c>
      <c r="AV116">
        <v>100</v>
      </c>
      <c r="AW116">
        <v>100</v>
      </c>
      <c r="AX116">
        <v>100</v>
      </c>
      <c r="AY116">
        <v>100</v>
      </c>
      <c r="AZ116">
        <v>100</v>
      </c>
      <c r="BA116">
        <v>100</v>
      </c>
      <c r="BB116">
        <v>100</v>
      </c>
      <c r="BC116">
        <v>100</v>
      </c>
      <c r="BD116">
        <v>100</v>
      </c>
      <c r="BE116">
        <v>100</v>
      </c>
      <c r="BF116">
        <v>100</v>
      </c>
      <c r="BG116">
        <v>100</v>
      </c>
      <c r="BH116">
        <v>100</v>
      </c>
      <c r="BI116">
        <v>100</v>
      </c>
      <c r="BJ116">
        <v>100</v>
      </c>
      <c r="BK116">
        <v>100</v>
      </c>
      <c r="BL116">
        <v>100</v>
      </c>
      <c r="BM116">
        <v>100</v>
      </c>
      <c r="BN116">
        <v>100</v>
      </c>
      <c r="BO116">
        <v>100</v>
      </c>
      <c r="BP116">
        <v>100</v>
      </c>
    </row>
    <row r="117" spans="1:68" x14ac:dyDescent="0.3">
      <c r="A117" t="s">
        <v>747</v>
      </c>
      <c r="B117" t="s">
        <v>484</v>
      </c>
      <c r="C117" t="s">
        <v>715</v>
      </c>
      <c r="D117" t="s">
        <v>716</v>
      </c>
      <c r="AS117">
        <v>97.9</v>
      </c>
      <c r="AT117">
        <v>98.1</v>
      </c>
      <c r="AU117">
        <v>98.1</v>
      </c>
      <c r="AV117">
        <v>98.2</v>
      </c>
      <c r="AW117">
        <v>98.3</v>
      </c>
      <c r="AX117">
        <v>98.4</v>
      </c>
      <c r="AY117">
        <v>98.4</v>
      </c>
      <c r="AZ117">
        <v>98.7</v>
      </c>
      <c r="BA117">
        <v>98.8</v>
      </c>
      <c r="BB117">
        <v>99.7</v>
      </c>
      <c r="BC117">
        <v>99.4</v>
      </c>
      <c r="BD117">
        <v>99.5</v>
      </c>
      <c r="BE117">
        <v>99.5</v>
      </c>
      <c r="BF117">
        <v>99.8</v>
      </c>
      <c r="BG117">
        <v>100</v>
      </c>
      <c r="BH117">
        <v>100</v>
      </c>
      <c r="BI117">
        <v>100</v>
      </c>
      <c r="BJ117">
        <v>99.9</v>
      </c>
      <c r="BK117">
        <v>100</v>
      </c>
      <c r="BL117">
        <v>100</v>
      </c>
      <c r="BM117">
        <v>100</v>
      </c>
      <c r="BN117">
        <v>100</v>
      </c>
      <c r="BO117">
        <v>100</v>
      </c>
      <c r="BP117">
        <v>100</v>
      </c>
    </row>
    <row r="118" spans="1:68" x14ac:dyDescent="0.3">
      <c r="A118" t="s">
        <v>110</v>
      </c>
      <c r="B118" t="s">
        <v>485</v>
      </c>
      <c r="C118" t="s">
        <v>715</v>
      </c>
      <c r="D118" t="s">
        <v>716</v>
      </c>
      <c r="AS118">
        <v>96.8</v>
      </c>
      <c r="AT118">
        <v>96.9</v>
      </c>
      <c r="AU118">
        <v>97.1</v>
      </c>
      <c r="AV118">
        <v>97.2</v>
      </c>
      <c r="AW118">
        <v>97.3</v>
      </c>
      <c r="AX118">
        <v>97.4</v>
      </c>
      <c r="AY118">
        <v>97.6</v>
      </c>
      <c r="AZ118">
        <v>98.1</v>
      </c>
      <c r="BA118">
        <v>97.9</v>
      </c>
      <c r="BB118">
        <v>98.1</v>
      </c>
      <c r="BC118">
        <v>98.4</v>
      </c>
      <c r="BD118">
        <v>98</v>
      </c>
      <c r="BE118">
        <v>99.3</v>
      </c>
      <c r="BF118">
        <v>99</v>
      </c>
      <c r="BG118">
        <v>99.2</v>
      </c>
      <c r="BH118">
        <v>99.4</v>
      </c>
      <c r="BI118">
        <v>99.7</v>
      </c>
      <c r="BJ118">
        <v>99.9</v>
      </c>
      <c r="BK118">
        <v>99.9</v>
      </c>
      <c r="BL118">
        <v>100</v>
      </c>
      <c r="BM118">
        <v>100</v>
      </c>
      <c r="BN118">
        <v>100</v>
      </c>
      <c r="BO118">
        <v>100</v>
      </c>
      <c r="BP118">
        <v>100</v>
      </c>
    </row>
    <row r="119" spans="1:68" x14ac:dyDescent="0.3">
      <c r="A119" t="s">
        <v>112</v>
      </c>
      <c r="B119" t="s">
        <v>486</v>
      </c>
      <c r="C119" t="s">
        <v>715</v>
      </c>
      <c r="D119" t="s">
        <v>716</v>
      </c>
      <c r="AI119">
        <v>100</v>
      </c>
      <c r="AJ119">
        <v>100</v>
      </c>
      <c r="AK119">
        <v>100</v>
      </c>
      <c r="AL119">
        <v>100</v>
      </c>
      <c r="AM119">
        <v>100</v>
      </c>
      <c r="AN119">
        <v>100</v>
      </c>
      <c r="AO119">
        <v>100</v>
      </c>
      <c r="AP119">
        <v>100</v>
      </c>
      <c r="AQ119">
        <v>100</v>
      </c>
      <c r="AR119">
        <v>100</v>
      </c>
      <c r="AS119">
        <v>100</v>
      </c>
      <c r="AT119">
        <v>100</v>
      </c>
      <c r="AU119">
        <v>100</v>
      </c>
      <c r="AV119">
        <v>100</v>
      </c>
      <c r="AW119">
        <v>100</v>
      </c>
      <c r="AX119">
        <v>100</v>
      </c>
      <c r="AY119">
        <v>100</v>
      </c>
      <c r="AZ119">
        <v>100</v>
      </c>
      <c r="BA119">
        <v>100</v>
      </c>
      <c r="BB119">
        <v>100</v>
      </c>
      <c r="BC119">
        <v>100</v>
      </c>
      <c r="BD119">
        <v>100</v>
      </c>
      <c r="BE119">
        <v>100</v>
      </c>
      <c r="BF119">
        <v>100</v>
      </c>
      <c r="BG119">
        <v>100</v>
      </c>
      <c r="BH119">
        <v>100</v>
      </c>
      <c r="BI119">
        <v>100</v>
      </c>
      <c r="BJ119">
        <v>100</v>
      </c>
      <c r="BK119">
        <v>100</v>
      </c>
      <c r="BL119">
        <v>100</v>
      </c>
      <c r="BM119">
        <v>100</v>
      </c>
      <c r="BN119">
        <v>100</v>
      </c>
      <c r="BO119">
        <v>100</v>
      </c>
      <c r="BP119">
        <v>100</v>
      </c>
    </row>
    <row r="120" spans="1:68" x14ac:dyDescent="0.3">
      <c r="A120" t="s">
        <v>113</v>
      </c>
      <c r="B120" t="s">
        <v>487</v>
      </c>
      <c r="C120" t="s">
        <v>715</v>
      </c>
      <c r="D120" t="s">
        <v>716</v>
      </c>
      <c r="AI120">
        <v>100</v>
      </c>
      <c r="AJ120">
        <v>100</v>
      </c>
      <c r="AK120">
        <v>100</v>
      </c>
      <c r="AL120">
        <v>100</v>
      </c>
      <c r="AM120">
        <v>100</v>
      </c>
      <c r="AN120">
        <v>100</v>
      </c>
      <c r="AO120">
        <v>100</v>
      </c>
      <c r="AP120">
        <v>100</v>
      </c>
      <c r="AQ120">
        <v>100</v>
      </c>
      <c r="AR120">
        <v>100</v>
      </c>
      <c r="AS120">
        <v>100</v>
      </c>
      <c r="AT120">
        <v>100</v>
      </c>
      <c r="AU120">
        <v>100</v>
      </c>
      <c r="AV120">
        <v>100</v>
      </c>
      <c r="AW120">
        <v>100</v>
      </c>
      <c r="AX120">
        <v>100</v>
      </c>
      <c r="AY120">
        <v>100</v>
      </c>
      <c r="AZ120">
        <v>100</v>
      </c>
      <c r="BA120">
        <v>100</v>
      </c>
      <c r="BB120">
        <v>100</v>
      </c>
      <c r="BC120">
        <v>100</v>
      </c>
      <c r="BD120">
        <v>100</v>
      </c>
      <c r="BE120">
        <v>100</v>
      </c>
      <c r="BF120">
        <v>100</v>
      </c>
      <c r="BG120">
        <v>100</v>
      </c>
      <c r="BH120">
        <v>100</v>
      </c>
      <c r="BI120">
        <v>100</v>
      </c>
      <c r="BJ120">
        <v>100</v>
      </c>
      <c r="BK120">
        <v>100</v>
      </c>
      <c r="BL120">
        <v>100</v>
      </c>
      <c r="BM120">
        <v>100</v>
      </c>
      <c r="BN120">
        <v>100</v>
      </c>
      <c r="BO120">
        <v>100</v>
      </c>
      <c r="BP120">
        <v>100</v>
      </c>
    </row>
    <row r="121" spans="1:68" x14ac:dyDescent="0.3">
      <c r="A121" t="s">
        <v>115</v>
      </c>
      <c r="B121" t="s">
        <v>488</v>
      </c>
      <c r="C121" t="s">
        <v>715</v>
      </c>
      <c r="D121" t="s">
        <v>716</v>
      </c>
      <c r="AI121">
        <v>100</v>
      </c>
      <c r="AJ121">
        <v>100</v>
      </c>
      <c r="AK121">
        <v>100</v>
      </c>
      <c r="AL121">
        <v>100</v>
      </c>
      <c r="AM121">
        <v>100</v>
      </c>
      <c r="AN121">
        <v>100</v>
      </c>
      <c r="AO121">
        <v>100</v>
      </c>
      <c r="AP121">
        <v>100</v>
      </c>
      <c r="AQ121">
        <v>100</v>
      </c>
      <c r="AR121">
        <v>100</v>
      </c>
      <c r="AS121">
        <v>100</v>
      </c>
      <c r="AT121">
        <v>100</v>
      </c>
      <c r="AU121">
        <v>100</v>
      </c>
      <c r="AV121">
        <v>100</v>
      </c>
      <c r="AW121">
        <v>100</v>
      </c>
      <c r="AX121">
        <v>100</v>
      </c>
      <c r="AY121">
        <v>100</v>
      </c>
      <c r="AZ121">
        <v>100</v>
      </c>
      <c r="BA121">
        <v>100</v>
      </c>
      <c r="BB121">
        <v>100</v>
      </c>
      <c r="BC121">
        <v>100</v>
      </c>
      <c r="BD121">
        <v>100</v>
      </c>
      <c r="BE121">
        <v>100</v>
      </c>
      <c r="BF121">
        <v>100</v>
      </c>
      <c r="BG121">
        <v>100</v>
      </c>
      <c r="BH121">
        <v>100</v>
      </c>
      <c r="BI121">
        <v>100</v>
      </c>
      <c r="BJ121">
        <v>100</v>
      </c>
      <c r="BK121">
        <v>100</v>
      </c>
      <c r="BL121">
        <v>100</v>
      </c>
      <c r="BM121">
        <v>100</v>
      </c>
      <c r="BN121">
        <v>100</v>
      </c>
      <c r="BO121">
        <v>100</v>
      </c>
      <c r="BP121">
        <v>100</v>
      </c>
    </row>
    <row r="122" spans="1:68" x14ac:dyDescent="0.3">
      <c r="A122" t="s">
        <v>117</v>
      </c>
      <c r="B122" t="s">
        <v>489</v>
      </c>
      <c r="C122" t="s">
        <v>715</v>
      </c>
      <c r="D122" t="s">
        <v>716</v>
      </c>
      <c r="AI122">
        <v>70.334586000000002</v>
      </c>
      <c r="AJ122">
        <v>77.228866577148395</v>
      </c>
      <c r="AK122">
        <v>78.032920837402301</v>
      </c>
      <c r="AL122">
        <v>78.836296081542997</v>
      </c>
      <c r="AM122">
        <v>79.638313293457003</v>
      </c>
      <c r="AN122">
        <v>80.438293457031307</v>
      </c>
      <c r="AO122">
        <v>85.706045000000003</v>
      </c>
      <c r="AP122">
        <v>82.029403686523395</v>
      </c>
      <c r="AQ122">
        <v>82.819175720214801</v>
      </c>
      <c r="AR122">
        <v>84.554112000000003</v>
      </c>
      <c r="AS122">
        <v>84.4</v>
      </c>
      <c r="AT122">
        <v>87.7</v>
      </c>
      <c r="AU122">
        <v>86.7</v>
      </c>
      <c r="AV122">
        <v>86.5</v>
      </c>
      <c r="AW122">
        <v>87.2</v>
      </c>
      <c r="AX122">
        <v>88</v>
      </c>
      <c r="AY122">
        <v>88.7</v>
      </c>
      <c r="AZ122">
        <v>89.4</v>
      </c>
      <c r="BA122">
        <v>92</v>
      </c>
      <c r="BB122">
        <v>91</v>
      </c>
      <c r="BC122">
        <v>92.2</v>
      </c>
      <c r="BD122">
        <v>91.1</v>
      </c>
      <c r="BE122">
        <v>93.1</v>
      </c>
      <c r="BF122">
        <v>93.9</v>
      </c>
      <c r="BG122">
        <v>93.3</v>
      </c>
      <c r="BH122">
        <v>94.9</v>
      </c>
      <c r="BI122">
        <v>96.6</v>
      </c>
      <c r="BJ122">
        <v>97.4</v>
      </c>
      <c r="BK122">
        <v>98.2</v>
      </c>
      <c r="BL122">
        <v>98.9</v>
      </c>
      <c r="BM122">
        <v>99.7</v>
      </c>
      <c r="BN122">
        <v>100</v>
      </c>
      <c r="BO122">
        <v>100</v>
      </c>
      <c r="BP122">
        <v>97.7</v>
      </c>
    </row>
    <row r="123" spans="1:68" x14ac:dyDescent="0.3">
      <c r="A123" t="s">
        <v>118</v>
      </c>
      <c r="B123" t="s">
        <v>490</v>
      </c>
      <c r="C123" t="s">
        <v>715</v>
      </c>
      <c r="D123" t="s">
        <v>716</v>
      </c>
      <c r="AI123">
        <v>96.8</v>
      </c>
      <c r="AJ123">
        <v>97.854682922363295</v>
      </c>
      <c r="AK123">
        <v>97.974861145019503</v>
      </c>
      <c r="AL123">
        <v>98.0943603515625</v>
      </c>
      <c r="AM123">
        <v>98.212501525878906</v>
      </c>
      <c r="AN123">
        <v>98.328598022460895</v>
      </c>
      <c r="AO123">
        <v>98.441978454589801</v>
      </c>
      <c r="AP123">
        <v>98.9</v>
      </c>
      <c r="AQ123">
        <v>98.657852172851605</v>
      </c>
      <c r="AR123">
        <v>98.7589111328125</v>
      </c>
      <c r="AS123">
        <v>99</v>
      </c>
      <c r="AT123">
        <v>99</v>
      </c>
      <c r="AU123">
        <v>99.5</v>
      </c>
      <c r="AV123">
        <v>99</v>
      </c>
      <c r="AW123">
        <v>99.2</v>
      </c>
      <c r="AX123">
        <v>99</v>
      </c>
      <c r="AY123">
        <v>100</v>
      </c>
      <c r="AZ123">
        <v>98.8</v>
      </c>
      <c r="BA123">
        <v>100</v>
      </c>
      <c r="BB123">
        <v>99.4</v>
      </c>
      <c r="BC123">
        <v>100</v>
      </c>
      <c r="BD123">
        <v>99.6</v>
      </c>
      <c r="BE123">
        <v>99.5</v>
      </c>
      <c r="BF123">
        <v>99.7</v>
      </c>
      <c r="BG123">
        <v>99.8</v>
      </c>
      <c r="BH123">
        <v>99.9</v>
      </c>
      <c r="BI123">
        <v>100</v>
      </c>
      <c r="BJ123">
        <v>100</v>
      </c>
      <c r="BK123">
        <v>99.9</v>
      </c>
      <c r="BL123">
        <v>99.9</v>
      </c>
      <c r="BM123">
        <v>99.9</v>
      </c>
      <c r="BN123">
        <v>99.9</v>
      </c>
      <c r="BO123">
        <v>100</v>
      </c>
      <c r="BP123">
        <v>100</v>
      </c>
    </row>
    <row r="124" spans="1:68" x14ac:dyDescent="0.3">
      <c r="A124" t="s">
        <v>119</v>
      </c>
      <c r="B124" t="s">
        <v>491</v>
      </c>
      <c r="C124" t="s">
        <v>715</v>
      </c>
      <c r="D124" t="s">
        <v>716</v>
      </c>
      <c r="AI124">
        <v>100</v>
      </c>
      <c r="AJ124">
        <v>100</v>
      </c>
      <c r="AK124">
        <v>100</v>
      </c>
      <c r="AL124">
        <v>100</v>
      </c>
      <c r="AM124">
        <v>100</v>
      </c>
      <c r="AN124">
        <v>100</v>
      </c>
      <c r="AO124">
        <v>100</v>
      </c>
      <c r="AP124">
        <v>100</v>
      </c>
      <c r="AQ124">
        <v>100</v>
      </c>
      <c r="AR124">
        <v>100</v>
      </c>
      <c r="AS124">
        <v>100</v>
      </c>
      <c r="AT124">
        <v>100</v>
      </c>
      <c r="AU124">
        <v>100</v>
      </c>
      <c r="AV124">
        <v>100</v>
      </c>
      <c r="AW124">
        <v>100</v>
      </c>
      <c r="AX124">
        <v>100</v>
      </c>
      <c r="AY124">
        <v>100</v>
      </c>
      <c r="AZ124">
        <v>100</v>
      </c>
      <c r="BA124">
        <v>100</v>
      </c>
      <c r="BB124">
        <v>100</v>
      </c>
      <c r="BC124">
        <v>100</v>
      </c>
      <c r="BD124">
        <v>100</v>
      </c>
      <c r="BE124">
        <v>100</v>
      </c>
      <c r="BF124">
        <v>100</v>
      </c>
      <c r="BG124">
        <v>100</v>
      </c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</row>
    <row r="125" spans="1:68" x14ac:dyDescent="0.3">
      <c r="A125" t="s">
        <v>121</v>
      </c>
      <c r="B125" t="s">
        <v>492</v>
      </c>
      <c r="C125" t="s">
        <v>715</v>
      </c>
      <c r="D125" t="s">
        <v>716</v>
      </c>
      <c r="AN125">
        <v>99.9</v>
      </c>
      <c r="AO125">
        <v>99.192115783691406</v>
      </c>
      <c r="AP125">
        <v>99.269470214843807</v>
      </c>
      <c r="AQ125">
        <v>99.342750549316406</v>
      </c>
      <c r="AR125">
        <v>97</v>
      </c>
      <c r="AS125">
        <v>99.6</v>
      </c>
      <c r="AT125">
        <v>99.7</v>
      </c>
      <c r="AU125">
        <v>99.8</v>
      </c>
      <c r="AV125">
        <v>99.9</v>
      </c>
      <c r="AW125">
        <v>100</v>
      </c>
      <c r="AX125">
        <v>100</v>
      </c>
      <c r="AY125">
        <v>99.8</v>
      </c>
      <c r="AZ125">
        <v>100</v>
      </c>
      <c r="BA125">
        <v>100</v>
      </c>
      <c r="BB125">
        <v>100</v>
      </c>
      <c r="BC125">
        <v>100</v>
      </c>
      <c r="BD125">
        <v>99.8</v>
      </c>
      <c r="BE125">
        <v>100</v>
      </c>
      <c r="BF125">
        <v>100</v>
      </c>
      <c r="BG125">
        <v>100</v>
      </c>
      <c r="BH125">
        <v>100</v>
      </c>
      <c r="BI125">
        <v>100</v>
      </c>
      <c r="BJ125">
        <v>100</v>
      </c>
      <c r="BK125">
        <v>100</v>
      </c>
      <c r="BL125">
        <v>100</v>
      </c>
      <c r="BM125">
        <v>100</v>
      </c>
      <c r="BN125">
        <v>100</v>
      </c>
      <c r="BO125">
        <v>100</v>
      </c>
      <c r="BP125">
        <v>100</v>
      </c>
    </row>
    <row r="126" spans="1:68" x14ac:dyDescent="0.3">
      <c r="A126" t="s">
        <v>123</v>
      </c>
      <c r="B126" t="s">
        <v>493</v>
      </c>
      <c r="C126" t="s">
        <v>715</v>
      </c>
      <c r="D126" t="s">
        <v>716</v>
      </c>
      <c r="AL126">
        <v>10.9</v>
      </c>
      <c r="AM126">
        <v>3.4734368324279798</v>
      </c>
      <c r="AN126">
        <v>5.4273433685302699</v>
      </c>
      <c r="AO126">
        <v>7.3785305023193404</v>
      </c>
      <c r="AP126">
        <v>9.3263177871704102</v>
      </c>
      <c r="AQ126">
        <v>14.5</v>
      </c>
      <c r="AR126">
        <v>13.2088918685913</v>
      </c>
      <c r="AS126">
        <v>15.2</v>
      </c>
      <c r="AT126">
        <v>17</v>
      </c>
      <c r="AU126">
        <v>18.899999999999999</v>
      </c>
      <c r="AV126">
        <v>16</v>
      </c>
      <c r="AW126">
        <v>22.6</v>
      </c>
      <c r="AX126">
        <v>24.5</v>
      </c>
      <c r="AY126">
        <v>26.4</v>
      </c>
      <c r="AZ126">
        <v>28.3</v>
      </c>
      <c r="BA126">
        <v>30.3</v>
      </c>
      <c r="BB126">
        <v>23</v>
      </c>
      <c r="BC126">
        <v>19.2</v>
      </c>
      <c r="BD126">
        <v>36.200000000000003</v>
      </c>
      <c r="BE126">
        <v>38.1</v>
      </c>
      <c r="BF126">
        <v>40.1</v>
      </c>
      <c r="BG126">
        <v>36</v>
      </c>
      <c r="BH126">
        <v>41.6</v>
      </c>
      <c r="BI126">
        <v>53.1</v>
      </c>
      <c r="BJ126">
        <v>55.8</v>
      </c>
      <c r="BK126">
        <v>61.2</v>
      </c>
      <c r="BL126">
        <v>69.7</v>
      </c>
      <c r="BM126">
        <v>71.5</v>
      </c>
      <c r="BN126">
        <v>76.5</v>
      </c>
      <c r="BO126">
        <v>76</v>
      </c>
      <c r="BP126">
        <v>76.2</v>
      </c>
    </row>
    <row r="127" spans="1:68" x14ac:dyDescent="0.3">
      <c r="A127" t="s">
        <v>725</v>
      </c>
      <c r="B127" t="s">
        <v>494</v>
      </c>
      <c r="C127" t="s">
        <v>715</v>
      </c>
      <c r="D127" t="s">
        <v>716</v>
      </c>
      <c r="AP127">
        <v>99.8</v>
      </c>
      <c r="AQ127">
        <v>99.553825378417997</v>
      </c>
      <c r="AR127">
        <v>99.565582275390597</v>
      </c>
      <c r="AS127">
        <v>99.6</v>
      </c>
      <c r="AT127">
        <v>99.5</v>
      </c>
      <c r="AU127">
        <v>100</v>
      </c>
      <c r="AV127">
        <v>99.4</v>
      </c>
      <c r="AW127">
        <v>99.3</v>
      </c>
      <c r="AX127">
        <v>99.4</v>
      </c>
      <c r="AY127">
        <v>98.9</v>
      </c>
      <c r="AZ127">
        <v>99.5</v>
      </c>
      <c r="BA127">
        <v>99.5</v>
      </c>
      <c r="BB127">
        <v>99.5</v>
      </c>
      <c r="BC127">
        <v>99</v>
      </c>
      <c r="BD127">
        <v>98.3</v>
      </c>
      <c r="BE127">
        <v>99.8</v>
      </c>
      <c r="BF127">
        <v>98.9</v>
      </c>
      <c r="BG127">
        <v>99.8</v>
      </c>
      <c r="BH127">
        <v>98.7</v>
      </c>
      <c r="BI127">
        <v>99.7</v>
      </c>
      <c r="BJ127">
        <v>100</v>
      </c>
      <c r="BK127">
        <v>100</v>
      </c>
      <c r="BL127">
        <v>99.9</v>
      </c>
      <c r="BM127">
        <v>99.9</v>
      </c>
      <c r="BN127">
        <v>99.7</v>
      </c>
      <c r="BO127">
        <v>99.7</v>
      </c>
      <c r="BP127">
        <v>100</v>
      </c>
    </row>
    <row r="128" spans="1:68" x14ac:dyDescent="0.3">
      <c r="A128" t="s">
        <v>126</v>
      </c>
      <c r="B128" t="s">
        <v>495</v>
      </c>
      <c r="C128" t="s">
        <v>715</v>
      </c>
      <c r="D128" t="s">
        <v>716</v>
      </c>
      <c r="AQ128">
        <v>18.670000000000002</v>
      </c>
      <c r="AR128">
        <v>8.8200368881225604</v>
      </c>
      <c r="AS128">
        <v>16.600000000000001</v>
      </c>
      <c r="AT128">
        <v>9.5</v>
      </c>
      <c r="AU128">
        <v>13.1</v>
      </c>
      <c r="AV128">
        <v>19.3</v>
      </c>
      <c r="AW128">
        <v>14.2</v>
      </c>
      <c r="AX128">
        <v>20.5</v>
      </c>
      <c r="AY128">
        <v>27.5</v>
      </c>
      <c r="AZ128">
        <v>20.2</v>
      </c>
      <c r="BA128">
        <v>26.4</v>
      </c>
      <c r="BB128">
        <v>25.6</v>
      </c>
      <c r="BC128">
        <v>31.1</v>
      </c>
      <c r="BD128">
        <v>37.4</v>
      </c>
      <c r="BE128">
        <v>42.3</v>
      </c>
      <c r="BF128">
        <v>50.9</v>
      </c>
      <c r="BG128">
        <v>56.1</v>
      </c>
      <c r="BH128">
        <v>62.7</v>
      </c>
      <c r="BI128">
        <v>68.8</v>
      </c>
      <c r="BJ128">
        <v>89.1</v>
      </c>
      <c r="BK128">
        <v>80.7</v>
      </c>
      <c r="BL128">
        <v>84</v>
      </c>
      <c r="BM128">
        <v>86.4</v>
      </c>
      <c r="BN128">
        <v>82.5</v>
      </c>
      <c r="BO128">
        <v>92.3</v>
      </c>
      <c r="BP128">
        <v>95</v>
      </c>
    </row>
    <row r="129" spans="1:68" x14ac:dyDescent="0.3">
      <c r="A129" t="s">
        <v>496</v>
      </c>
      <c r="B129" t="s">
        <v>497</v>
      </c>
      <c r="C129" t="s">
        <v>715</v>
      </c>
      <c r="D129" t="s">
        <v>716</v>
      </c>
      <c r="AS129">
        <v>55.6</v>
      </c>
      <c r="AT129">
        <v>57.3</v>
      </c>
      <c r="AU129">
        <v>59</v>
      </c>
      <c r="AV129">
        <v>60.7</v>
      </c>
      <c r="AW129">
        <v>62.4</v>
      </c>
      <c r="AX129">
        <v>69.7</v>
      </c>
      <c r="AY129">
        <v>68.8</v>
      </c>
      <c r="AZ129">
        <v>67.7</v>
      </c>
      <c r="BA129">
        <v>69.400000000000006</v>
      </c>
      <c r="BB129">
        <v>64.2</v>
      </c>
      <c r="BC129">
        <v>63.2</v>
      </c>
      <c r="BD129">
        <v>74.900000000000006</v>
      </c>
      <c r="BE129">
        <v>76.7</v>
      </c>
      <c r="BF129">
        <v>78.8</v>
      </c>
      <c r="BG129">
        <v>83.4</v>
      </c>
      <c r="BH129">
        <v>90.6</v>
      </c>
      <c r="BI129">
        <v>92.6</v>
      </c>
      <c r="BJ129">
        <v>85.7</v>
      </c>
      <c r="BK129">
        <v>87.5</v>
      </c>
      <c r="BL129">
        <v>89.3</v>
      </c>
      <c r="BM129">
        <v>91</v>
      </c>
      <c r="BN129">
        <v>92.8</v>
      </c>
      <c r="BO129">
        <v>94.4</v>
      </c>
      <c r="BP129">
        <v>95.9</v>
      </c>
    </row>
    <row r="130" spans="1:68" x14ac:dyDescent="0.3">
      <c r="A130" t="s">
        <v>498</v>
      </c>
      <c r="B130" t="s">
        <v>499</v>
      </c>
      <c r="C130" t="s">
        <v>715</v>
      </c>
      <c r="D130" t="s">
        <v>716</v>
      </c>
      <c r="AI130">
        <v>91.306816101074205</v>
      </c>
      <c r="AJ130">
        <v>91.671173095703097</v>
      </c>
      <c r="AK130">
        <v>92.035430908203097</v>
      </c>
      <c r="AL130">
        <v>92.399002075195298</v>
      </c>
      <c r="AM130">
        <v>92.761207580566406</v>
      </c>
      <c r="AN130">
        <v>93.121383666992202</v>
      </c>
      <c r="AO130">
        <v>93.478836059570298</v>
      </c>
      <c r="AP130">
        <v>93.8328857421875</v>
      </c>
      <c r="AQ130">
        <v>94.182861328125</v>
      </c>
      <c r="AR130">
        <v>94.527992248535199</v>
      </c>
      <c r="AS130">
        <v>95.4</v>
      </c>
      <c r="AT130">
        <v>93.5</v>
      </c>
      <c r="AU130">
        <v>95.8</v>
      </c>
      <c r="AV130">
        <v>96</v>
      </c>
      <c r="AW130">
        <v>96.3</v>
      </c>
      <c r="AX130">
        <v>96.5</v>
      </c>
      <c r="AY130">
        <v>96.7</v>
      </c>
      <c r="AZ130">
        <v>97</v>
      </c>
      <c r="BA130">
        <v>97.3</v>
      </c>
      <c r="BB130">
        <v>97.6</v>
      </c>
      <c r="BC130">
        <v>99.8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  <c r="BP130">
        <v>100</v>
      </c>
    </row>
    <row r="131" spans="1:68" x14ac:dyDescent="0.3">
      <c r="A131" t="s">
        <v>748</v>
      </c>
      <c r="B131" t="s">
        <v>500</v>
      </c>
      <c r="C131" t="s">
        <v>715</v>
      </c>
      <c r="D131" t="s">
        <v>716</v>
      </c>
      <c r="AI131">
        <v>99.882843017578097</v>
      </c>
      <c r="AJ131">
        <v>99.912673950195298</v>
      </c>
      <c r="AK131">
        <v>99.942214965820298</v>
      </c>
      <c r="AL131">
        <v>99.969436645507798</v>
      </c>
      <c r="AM131">
        <v>99.989120483398395</v>
      </c>
      <c r="AN131">
        <v>100</v>
      </c>
      <c r="AO131">
        <v>100</v>
      </c>
      <c r="AP131">
        <v>100</v>
      </c>
      <c r="AQ131">
        <v>100</v>
      </c>
      <c r="AR131">
        <v>100</v>
      </c>
      <c r="AS131">
        <v>100</v>
      </c>
      <c r="AT131">
        <v>100</v>
      </c>
      <c r="AU131">
        <v>100</v>
      </c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  <c r="BP131">
        <v>100</v>
      </c>
    </row>
    <row r="132" spans="1:68" x14ac:dyDescent="0.3">
      <c r="A132" t="s">
        <v>129</v>
      </c>
      <c r="B132" t="s">
        <v>501</v>
      </c>
      <c r="C132" t="s">
        <v>715</v>
      </c>
      <c r="D132" t="s">
        <v>716</v>
      </c>
      <c r="AI132">
        <v>100</v>
      </c>
      <c r="AJ132">
        <v>100</v>
      </c>
      <c r="AK132">
        <v>100</v>
      </c>
      <c r="AL132">
        <v>100</v>
      </c>
      <c r="AM132">
        <v>100</v>
      </c>
      <c r="AN132">
        <v>100</v>
      </c>
      <c r="AO132">
        <v>100</v>
      </c>
      <c r="AP132">
        <v>100</v>
      </c>
      <c r="AQ132">
        <v>100</v>
      </c>
      <c r="AR132">
        <v>100</v>
      </c>
      <c r="AS132">
        <v>100</v>
      </c>
      <c r="AT132">
        <v>100</v>
      </c>
      <c r="AU132">
        <v>100</v>
      </c>
      <c r="AV132">
        <v>100</v>
      </c>
      <c r="AW132">
        <v>100</v>
      </c>
      <c r="AX132">
        <v>100</v>
      </c>
      <c r="AY132">
        <v>100</v>
      </c>
      <c r="AZ132">
        <v>100</v>
      </c>
      <c r="BA132">
        <v>100</v>
      </c>
      <c r="BB132">
        <v>100</v>
      </c>
      <c r="BC132">
        <v>100</v>
      </c>
      <c r="BD132">
        <v>100</v>
      </c>
      <c r="BE132">
        <v>100</v>
      </c>
      <c r="BF132">
        <v>100</v>
      </c>
      <c r="BG132">
        <v>100</v>
      </c>
      <c r="BH132">
        <v>100</v>
      </c>
      <c r="BI132">
        <v>100</v>
      </c>
      <c r="BJ132">
        <v>100</v>
      </c>
      <c r="BK132">
        <v>100</v>
      </c>
      <c r="BL132">
        <v>100</v>
      </c>
      <c r="BM132">
        <v>100</v>
      </c>
      <c r="BN132">
        <v>100</v>
      </c>
      <c r="BO132">
        <v>100</v>
      </c>
      <c r="BP132">
        <v>100</v>
      </c>
    </row>
    <row r="133" spans="1:68" x14ac:dyDescent="0.3">
      <c r="A133" t="s">
        <v>502</v>
      </c>
      <c r="B133" t="s">
        <v>503</v>
      </c>
      <c r="C133" t="s">
        <v>715</v>
      </c>
      <c r="D133" t="s">
        <v>716</v>
      </c>
      <c r="AK133">
        <v>87.877487392004412</v>
      </c>
      <c r="AL133">
        <v>88.547974438973611</v>
      </c>
      <c r="AM133">
        <v>89.539742150277092</v>
      </c>
      <c r="AN133">
        <v>87.73701130659083</v>
      </c>
      <c r="AO133">
        <v>88.834290145097356</v>
      </c>
      <c r="AP133">
        <v>89.292967784147493</v>
      </c>
      <c r="AQ133">
        <v>89.956030063098083</v>
      </c>
      <c r="AR133">
        <v>90.621198195276307</v>
      </c>
      <c r="AS133">
        <v>91.075293345756876</v>
      </c>
      <c r="AT133">
        <v>91.690440503015168</v>
      </c>
      <c r="AU133">
        <v>92.042359667761232</v>
      </c>
      <c r="AV133">
        <v>92.264552561160158</v>
      </c>
      <c r="AW133">
        <v>92.689959545234032</v>
      </c>
      <c r="AX133">
        <v>93.040147021850018</v>
      </c>
      <c r="AY133">
        <v>93.768506942341901</v>
      </c>
      <c r="AZ133">
        <v>94.066305531029727</v>
      </c>
      <c r="BA133">
        <v>94.891138972116735</v>
      </c>
      <c r="BB133">
        <v>95.066055033047789</v>
      </c>
      <c r="BC133">
        <v>95.565614024175346</v>
      </c>
      <c r="BD133">
        <v>95.913671996716431</v>
      </c>
      <c r="BE133">
        <v>96.288238387919279</v>
      </c>
      <c r="BF133">
        <v>96.627272327495291</v>
      </c>
      <c r="BG133">
        <v>96.782149387197492</v>
      </c>
      <c r="BH133">
        <v>97.044484254320707</v>
      </c>
      <c r="BI133">
        <v>97.278372515273787</v>
      </c>
      <c r="BJ133">
        <v>97.549452000149643</v>
      </c>
      <c r="BK133">
        <v>97.555023579869427</v>
      </c>
      <c r="BL133">
        <v>97.832195015339991</v>
      </c>
      <c r="BM133">
        <v>97.985777482580403</v>
      </c>
      <c r="BN133">
        <v>98.121087568018325</v>
      </c>
      <c r="BO133">
        <v>98.462602071621689</v>
      </c>
      <c r="BP133">
        <v>98.268744342362439</v>
      </c>
    </row>
    <row r="134" spans="1:68" x14ac:dyDescent="0.3">
      <c r="A134" t="s">
        <v>504</v>
      </c>
      <c r="B134" t="s">
        <v>505</v>
      </c>
      <c r="C134" t="s">
        <v>715</v>
      </c>
      <c r="D134" t="s">
        <v>716</v>
      </c>
      <c r="AL134">
        <v>31</v>
      </c>
      <c r="AM134">
        <v>25.605792999267599</v>
      </c>
      <c r="AN134">
        <v>25</v>
      </c>
      <c r="AO134">
        <v>31.2476997375488</v>
      </c>
      <c r="AP134">
        <v>34.063896179199197</v>
      </c>
      <c r="AQ134">
        <v>36.876010894775398</v>
      </c>
      <c r="AR134">
        <v>39.683284759521499</v>
      </c>
      <c r="AS134">
        <v>42.6</v>
      </c>
      <c r="AT134">
        <v>45.3</v>
      </c>
      <c r="AU134">
        <v>46.3</v>
      </c>
      <c r="AV134">
        <v>48</v>
      </c>
      <c r="AW134">
        <v>53.5</v>
      </c>
      <c r="AX134">
        <v>57.2</v>
      </c>
      <c r="AY134">
        <v>57</v>
      </c>
      <c r="AZ134">
        <v>55</v>
      </c>
      <c r="BA134">
        <v>66</v>
      </c>
      <c r="BB134">
        <v>67.400000000000006</v>
      </c>
      <c r="BC134">
        <v>70.2</v>
      </c>
      <c r="BD134">
        <v>70</v>
      </c>
      <c r="BE134">
        <v>76.400000000000006</v>
      </c>
      <c r="BF134">
        <v>79.3</v>
      </c>
      <c r="BG134">
        <v>82.5</v>
      </c>
      <c r="BH134">
        <v>89.7</v>
      </c>
      <c r="BI134">
        <v>89</v>
      </c>
      <c r="BJ134">
        <v>93.6</v>
      </c>
      <c r="BK134">
        <v>92.9</v>
      </c>
      <c r="BL134">
        <v>98.4</v>
      </c>
      <c r="BM134">
        <v>99.3</v>
      </c>
      <c r="BN134">
        <v>100</v>
      </c>
      <c r="BO134">
        <v>100</v>
      </c>
      <c r="BP134">
        <v>96.5</v>
      </c>
    </row>
    <row r="135" spans="1:68" x14ac:dyDescent="0.3">
      <c r="A135" t="s">
        <v>131</v>
      </c>
      <c r="B135" t="s">
        <v>506</v>
      </c>
      <c r="C135" t="s">
        <v>715</v>
      </c>
      <c r="D135" t="s">
        <v>716</v>
      </c>
      <c r="AS135">
        <v>99.3</v>
      </c>
      <c r="AT135">
        <v>99.3</v>
      </c>
      <c r="AU135">
        <v>99.3</v>
      </c>
      <c r="AV135">
        <v>99.2</v>
      </c>
      <c r="AW135">
        <v>99.9</v>
      </c>
      <c r="AX135">
        <v>99.2</v>
      </c>
      <c r="AY135">
        <v>99.4</v>
      </c>
      <c r="AZ135">
        <v>97.8</v>
      </c>
      <c r="BA135">
        <v>99.9</v>
      </c>
      <c r="BB135">
        <v>99.3</v>
      </c>
      <c r="BC135">
        <v>99.5</v>
      </c>
      <c r="BD135">
        <v>99.7</v>
      </c>
      <c r="BE135">
        <v>99.5</v>
      </c>
      <c r="BF135">
        <v>99.6</v>
      </c>
      <c r="BG135">
        <v>99.7</v>
      </c>
      <c r="BH135">
        <v>99.7</v>
      </c>
      <c r="BI135">
        <v>99.8</v>
      </c>
      <c r="BJ135">
        <v>99.9</v>
      </c>
      <c r="BK135">
        <v>99.7</v>
      </c>
      <c r="BL135">
        <v>100</v>
      </c>
      <c r="BM135">
        <v>100</v>
      </c>
      <c r="BN135">
        <v>100</v>
      </c>
      <c r="BO135">
        <v>100</v>
      </c>
      <c r="BP135">
        <v>100</v>
      </c>
    </row>
    <row r="136" spans="1:68" x14ac:dyDescent="0.3">
      <c r="A136" t="s">
        <v>507</v>
      </c>
      <c r="B136" t="s">
        <v>508</v>
      </c>
      <c r="C136" t="s">
        <v>715</v>
      </c>
      <c r="D136" t="s">
        <v>716</v>
      </c>
      <c r="AZ136">
        <v>3</v>
      </c>
      <c r="BA136">
        <v>1.3</v>
      </c>
      <c r="BB136">
        <v>1.9</v>
      </c>
      <c r="BC136">
        <v>5.3</v>
      </c>
      <c r="BD136">
        <v>4.0999999999999996</v>
      </c>
      <c r="BE136">
        <v>9.3000000000000007</v>
      </c>
      <c r="BF136">
        <v>9.8000000000000007</v>
      </c>
      <c r="BG136">
        <v>9.4</v>
      </c>
      <c r="BH136">
        <v>15.2</v>
      </c>
      <c r="BI136">
        <v>17.7</v>
      </c>
      <c r="BJ136">
        <v>24.2</v>
      </c>
      <c r="BK136">
        <v>22.8</v>
      </c>
      <c r="BL136">
        <v>23.1</v>
      </c>
      <c r="BM136">
        <v>27.6</v>
      </c>
      <c r="BN136">
        <v>29.8</v>
      </c>
      <c r="BO136">
        <v>31.8</v>
      </c>
      <c r="BP136">
        <v>32.5</v>
      </c>
    </row>
    <row r="137" spans="1:68" x14ac:dyDescent="0.3">
      <c r="A137" t="s">
        <v>133</v>
      </c>
      <c r="B137" t="s">
        <v>509</v>
      </c>
      <c r="C137" t="s">
        <v>715</v>
      </c>
      <c r="D137" t="s">
        <v>716</v>
      </c>
      <c r="AS137">
        <v>99.8</v>
      </c>
      <c r="AT137">
        <v>96.9</v>
      </c>
      <c r="AU137">
        <v>95.2</v>
      </c>
      <c r="AV137">
        <v>93.5</v>
      </c>
      <c r="AW137">
        <v>91.8</v>
      </c>
      <c r="AX137">
        <v>90.1</v>
      </c>
      <c r="AY137">
        <v>88.4</v>
      </c>
      <c r="AZ137">
        <v>86.8</v>
      </c>
      <c r="BA137">
        <v>85.1</v>
      </c>
      <c r="BB137">
        <v>83.5</v>
      </c>
      <c r="BC137">
        <v>81.900000000000006</v>
      </c>
      <c r="BD137">
        <v>80.3</v>
      </c>
      <c r="BE137">
        <v>78.7</v>
      </c>
      <c r="BF137">
        <v>77.099999999999994</v>
      </c>
      <c r="BG137">
        <v>75.5</v>
      </c>
      <c r="BH137">
        <v>73.8</v>
      </c>
      <c r="BI137">
        <v>72.2</v>
      </c>
      <c r="BJ137">
        <v>70.599999999999994</v>
      </c>
      <c r="BK137">
        <v>67</v>
      </c>
      <c r="BL137">
        <v>68.5</v>
      </c>
      <c r="BM137">
        <v>69.400000000000006</v>
      </c>
      <c r="BN137">
        <v>70.2</v>
      </c>
      <c r="BO137">
        <v>70</v>
      </c>
      <c r="BP137">
        <v>73.2</v>
      </c>
    </row>
    <row r="138" spans="1:68" x14ac:dyDescent="0.3">
      <c r="A138" t="s">
        <v>510</v>
      </c>
      <c r="B138" t="s">
        <v>511</v>
      </c>
      <c r="C138" t="s">
        <v>715</v>
      </c>
      <c r="D138" t="s">
        <v>716</v>
      </c>
      <c r="AS138">
        <v>86</v>
      </c>
      <c r="AT138">
        <v>89.9</v>
      </c>
      <c r="AU138">
        <v>87.7</v>
      </c>
      <c r="AV138">
        <v>88.5</v>
      </c>
      <c r="AW138">
        <v>89.3</v>
      </c>
      <c r="AX138">
        <v>90.1</v>
      </c>
      <c r="AY138">
        <v>90.9</v>
      </c>
      <c r="AZ138">
        <v>91.8</v>
      </c>
      <c r="BA138">
        <v>92.7</v>
      </c>
      <c r="BB138">
        <v>93.5</v>
      </c>
      <c r="BC138">
        <v>94.2</v>
      </c>
      <c r="BD138">
        <v>95.4</v>
      </c>
      <c r="BE138">
        <v>95.3</v>
      </c>
      <c r="BF138">
        <v>97.2</v>
      </c>
      <c r="BG138">
        <v>98.1</v>
      </c>
      <c r="BH138">
        <v>99</v>
      </c>
      <c r="BI138">
        <v>99.8</v>
      </c>
      <c r="BJ138">
        <v>99.9</v>
      </c>
      <c r="BK138">
        <v>100</v>
      </c>
      <c r="BL138">
        <v>100</v>
      </c>
      <c r="BM138">
        <v>100</v>
      </c>
      <c r="BN138">
        <v>100</v>
      </c>
      <c r="BO138">
        <v>100</v>
      </c>
      <c r="BP138">
        <v>100</v>
      </c>
    </row>
    <row r="139" spans="1:68" x14ac:dyDescent="0.3">
      <c r="A139" t="s">
        <v>512</v>
      </c>
      <c r="B139" t="s">
        <v>513</v>
      </c>
      <c r="C139" t="s">
        <v>715</v>
      </c>
      <c r="D139" t="s">
        <v>716</v>
      </c>
      <c r="AK139">
        <v>88.734481362226347</v>
      </c>
      <c r="AL139">
        <v>89.343452335519032</v>
      </c>
      <c r="AM139">
        <v>90.241013703307772</v>
      </c>
      <c r="AN139">
        <v>88.621263596698071</v>
      </c>
      <c r="AO139">
        <v>89.576268844563799</v>
      </c>
      <c r="AP139">
        <v>90.030900876532783</v>
      </c>
      <c r="AQ139">
        <v>90.648251905524802</v>
      </c>
      <c r="AR139">
        <v>91.25763829487218</v>
      </c>
      <c r="AS139">
        <v>91.736086427756618</v>
      </c>
      <c r="AT139">
        <v>92.332550773397557</v>
      </c>
      <c r="AU139">
        <v>92.655446118844978</v>
      </c>
      <c r="AV139">
        <v>92.738408833458166</v>
      </c>
      <c r="AW139">
        <v>93.219141010335591</v>
      </c>
      <c r="AX139">
        <v>93.522744236308355</v>
      </c>
      <c r="AY139">
        <v>94.259334622501271</v>
      </c>
      <c r="AZ139">
        <v>94.476542195932339</v>
      </c>
      <c r="BA139">
        <v>95.223080828900891</v>
      </c>
      <c r="BB139">
        <v>95.426662402836911</v>
      </c>
      <c r="BC139">
        <v>95.879004910919093</v>
      </c>
      <c r="BD139">
        <v>96.184103120050835</v>
      </c>
      <c r="BE139">
        <v>96.569234553016017</v>
      </c>
      <c r="BF139">
        <v>96.864682228680479</v>
      </c>
      <c r="BG139">
        <v>97.054025417086137</v>
      </c>
      <c r="BH139">
        <v>97.284727607431378</v>
      </c>
      <c r="BI139">
        <v>97.478382134228724</v>
      </c>
      <c r="BJ139">
        <v>97.710599217417695</v>
      </c>
      <c r="BK139">
        <v>97.75671520799095</v>
      </c>
      <c r="BL139">
        <v>97.998211387048471</v>
      </c>
      <c r="BM139">
        <v>98.149992759307523</v>
      </c>
      <c r="BN139">
        <v>98.27562636709753</v>
      </c>
      <c r="BO139">
        <v>98.578871365658856</v>
      </c>
      <c r="BP139">
        <v>98.422620474839647</v>
      </c>
    </row>
    <row r="140" spans="1:68" x14ac:dyDescent="0.3">
      <c r="A140" t="s">
        <v>514</v>
      </c>
      <c r="B140" t="s">
        <v>515</v>
      </c>
      <c r="C140" t="s">
        <v>715</v>
      </c>
      <c r="D140" t="s">
        <v>716</v>
      </c>
      <c r="AS140">
        <v>20.228054244719146</v>
      </c>
      <c r="AT140">
        <v>20.997755401722692</v>
      </c>
      <c r="AU140">
        <v>22.98180791258352</v>
      </c>
      <c r="AV140">
        <v>24.519923826863931</v>
      </c>
      <c r="AW140">
        <v>24.909719415298518</v>
      </c>
      <c r="AX140">
        <v>26.271180746356102</v>
      </c>
      <c r="AY140">
        <v>29.139392423505765</v>
      </c>
      <c r="AZ140">
        <v>29.352471209981996</v>
      </c>
      <c r="BA140">
        <v>30.741293806780494</v>
      </c>
      <c r="BB140">
        <v>32.144430624864917</v>
      </c>
      <c r="BC140">
        <v>33.016452287558543</v>
      </c>
      <c r="BD140">
        <v>34.499177768677242</v>
      </c>
      <c r="BE140">
        <v>37.823243478299432</v>
      </c>
      <c r="BF140">
        <v>38.230624532696488</v>
      </c>
      <c r="BG140">
        <v>39.48782347724768</v>
      </c>
      <c r="BH140">
        <v>42.312728127497742</v>
      </c>
      <c r="BI140">
        <v>46.345833242944174</v>
      </c>
      <c r="BJ140">
        <v>50.20449408687351</v>
      </c>
      <c r="BK140">
        <v>51.087420260040105</v>
      </c>
      <c r="BL140">
        <v>52.878712266240484</v>
      </c>
      <c r="BM140">
        <v>54.473684014626414</v>
      </c>
      <c r="BN140">
        <v>56.105537355346087</v>
      </c>
      <c r="BO140">
        <v>56.738312928479573</v>
      </c>
      <c r="BP140">
        <v>58.434145296604889</v>
      </c>
    </row>
    <row r="141" spans="1:68" x14ac:dyDescent="0.3">
      <c r="A141" t="s">
        <v>516</v>
      </c>
      <c r="B141" t="s">
        <v>517</v>
      </c>
      <c r="C141" t="s">
        <v>715</v>
      </c>
      <c r="D141" t="s">
        <v>716</v>
      </c>
      <c r="AS141">
        <v>16.631872272007953</v>
      </c>
      <c r="AT141">
        <v>18.161562560991722</v>
      </c>
      <c r="AU141">
        <v>18.61813699878309</v>
      </c>
      <c r="AV141">
        <v>20.366125389985427</v>
      </c>
      <c r="AW141">
        <v>20.95815976022514</v>
      </c>
      <c r="AX141">
        <v>20.922571526067323</v>
      </c>
      <c r="AY141">
        <v>22.95226398675754</v>
      </c>
      <c r="AZ141">
        <v>24.418321663645894</v>
      </c>
      <c r="BA141">
        <v>23.444731878401885</v>
      </c>
      <c r="BB141">
        <v>24.958448059972291</v>
      </c>
      <c r="BC141">
        <v>26.447137199646647</v>
      </c>
      <c r="BD141">
        <v>27.666409468700351</v>
      </c>
      <c r="BE141">
        <v>30.077646650454813</v>
      </c>
      <c r="BF141">
        <v>31.07253971390293</v>
      </c>
      <c r="BG141">
        <v>33.471640305689519</v>
      </c>
      <c r="BH141">
        <v>33.070218388295281</v>
      </c>
      <c r="BI141">
        <v>36.433612416159065</v>
      </c>
      <c r="BJ141">
        <v>38.179256386152261</v>
      </c>
      <c r="BK141">
        <v>39.683802790056845</v>
      </c>
      <c r="BL141">
        <v>40.702144497581486</v>
      </c>
      <c r="BM141">
        <v>41.736845671684598</v>
      </c>
      <c r="BN141">
        <v>43.015465793649</v>
      </c>
      <c r="BO141">
        <v>43.006088282937597</v>
      </c>
      <c r="BP141">
        <v>45.272191875679304</v>
      </c>
    </row>
    <row r="142" spans="1:68" x14ac:dyDescent="0.3">
      <c r="A142" t="s">
        <v>518</v>
      </c>
      <c r="B142" t="s">
        <v>519</v>
      </c>
      <c r="C142" t="s">
        <v>715</v>
      </c>
      <c r="D142" t="s">
        <v>716</v>
      </c>
      <c r="AI142">
        <v>100</v>
      </c>
      <c r="AJ142">
        <v>100</v>
      </c>
      <c r="AK142">
        <v>100</v>
      </c>
      <c r="AL142">
        <v>100</v>
      </c>
      <c r="AM142">
        <v>100</v>
      </c>
      <c r="AN142">
        <v>100</v>
      </c>
      <c r="AO142">
        <v>100</v>
      </c>
      <c r="AP142">
        <v>100</v>
      </c>
      <c r="AQ142">
        <v>100</v>
      </c>
      <c r="AR142">
        <v>100</v>
      </c>
      <c r="AS142">
        <v>100</v>
      </c>
      <c r="AT142">
        <v>100</v>
      </c>
      <c r="AU142">
        <v>100</v>
      </c>
      <c r="AV142">
        <v>100</v>
      </c>
      <c r="AW142">
        <v>100</v>
      </c>
      <c r="AX142">
        <v>100</v>
      </c>
      <c r="AY142">
        <v>100</v>
      </c>
      <c r="AZ142">
        <v>100</v>
      </c>
      <c r="BA142">
        <v>100</v>
      </c>
      <c r="BB142">
        <v>100</v>
      </c>
      <c r="BC142">
        <v>100</v>
      </c>
      <c r="BD142">
        <v>100</v>
      </c>
      <c r="BE142">
        <v>100</v>
      </c>
      <c r="BF142">
        <v>100</v>
      </c>
      <c r="BG142">
        <v>100</v>
      </c>
      <c r="BH142">
        <v>100</v>
      </c>
      <c r="BI142">
        <v>100</v>
      </c>
      <c r="BJ142">
        <v>100</v>
      </c>
      <c r="BK142">
        <v>100</v>
      </c>
      <c r="BL142">
        <v>100</v>
      </c>
      <c r="BM142">
        <v>100</v>
      </c>
      <c r="BN142">
        <v>100</v>
      </c>
      <c r="BO142">
        <v>100</v>
      </c>
      <c r="BP142">
        <v>100</v>
      </c>
    </row>
    <row r="143" spans="1:68" x14ac:dyDescent="0.3">
      <c r="A143" t="s">
        <v>135</v>
      </c>
      <c r="B143" t="s">
        <v>520</v>
      </c>
      <c r="C143" t="s">
        <v>715</v>
      </c>
      <c r="D143" t="s">
        <v>716</v>
      </c>
      <c r="AS143">
        <v>70.3</v>
      </c>
      <c r="AT143">
        <v>63.6</v>
      </c>
      <c r="AU143">
        <v>80.7</v>
      </c>
      <c r="AV143">
        <v>75</v>
      </c>
      <c r="AW143">
        <v>76.5</v>
      </c>
      <c r="AX143">
        <v>78.099999999999994</v>
      </c>
      <c r="AY143">
        <v>82.1</v>
      </c>
      <c r="AZ143">
        <v>80</v>
      </c>
      <c r="BA143">
        <v>82.9</v>
      </c>
      <c r="BB143">
        <v>87.1</v>
      </c>
      <c r="BC143">
        <v>85.3</v>
      </c>
      <c r="BD143">
        <v>87.8</v>
      </c>
      <c r="BE143">
        <v>87</v>
      </c>
      <c r="BF143">
        <v>90.2</v>
      </c>
      <c r="BG143">
        <v>92.7</v>
      </c>
      <c r="BH143">
        <v>94.3</v>
      </c>
      <c r="BI143">
        <v>97.5</v>
      </c>
      <c r="BJ143">
        <v>97.5</v>
      </c>
      <c r="BK143">
        <v>99.6</v>
      </c>
      <c r="BL143">
        <v>99.8</v>
      </c>
      <c r="BM143">
        <v>100</v>
      </c>
      <c r="BN143">
        <v>100</v>
      </c>
      <c r="BO143">
        <v>100</v>
      </c>
      <c r="BP143">
        <v>100</v>
      </c>
    </row>
    <row r="144" spans="1:68" x14ac:dyDescent="0.3">
      <c r="A144" t="s">
        <v>521</v>
      </c>
      <c r="B144" t="s">
        <v>522</v>
      </c>
      <c r="C144" t="s">
        <v>715</v>
      </c>
      <c r="D144" t="s">
        <v>716</v>
      </c>
      <c r="AL144">
        <v>47.148193977199746</v>
      </c>
      <c r="AM144">
        <v>47.108638948328178</v>
      </c>
      <c r="AN144">
        <v>48.343849762822153</v>
      </c>
      <c r="AO144">
        <v>50.054312887308392</v>
      </c>
      <c r="AP144">
        <v>52.638270492466035</v>
      </c>
      <c r="AQ144">
        <v>55.553758641807086</v>
      </c>
      <c r="AR144">
        <v>58.069941790176394</v>
      </c>
      <c r="AS144">
        <v>58.18111579595633</v>
      </c>
      <c r="AT144">
        <v>59.353030292769468</v>
      </c>
      <c r="AU144">
        <v>60.326107176097779</v>
      </c>
      <c r="AV144">
        <v>62.721457299698457</v>
      </c>
      <c r="AW144">
        <v>62.540041590231482</v>
      </c>
      <c r="AX144">
        <v>65.248435602704006</v>
      </c>
      <c r="AY144">
        <v>65.97722073619083</v>
      </c>
      <c r="AZ144">
        <v>67.943772109010666</v>
      </c>
      <c r="BA144">
        <v>69.833208905217219</v>
      </c>
      <c r="BB144">
        <v>70.583966620019353</v>
      </c>
      <c r="BC144">
        <v>71.68773918210178</v>
      </c>
      <c r="BD144">
        <v>74.603675894420988</v>
      </c>
      <c r="BE144">
        <v>75.154084873368078</v>
      </c>
      <c r="BF144">
        <v>77.118880444307393</v>
      </c>
      <c r="BG144">
        <v>78.28970969170291</v>
      </c>
      <c r="BH144">
        <v>80.658695354603026</v>
      </c>
      <c r="BI144">
        <v>82.716714523231573</v>
      </c>
      <c r="BJ144">
        <v>84.659238704956977</v>
      </c>
      <c r="BK144">
        <v>86.912180569853405</v>
      </c>
      <c r="BL144">
        <v>87.613522186223577</v>
      </c>
      <c r="BM144">
        <v>88.380414392263205</v>
      </c>
      <c r="BN144">
        <v>90.555734236784986</v>
      </c>
      <c r="BO144">
        <v>90.576840598158725</v>
      </c>
      <c r="BP144">
        <v>91.268074975722243</v>
      </c>
    </row>
    <row r="145" spans="1:68" x14ac:dyDescent="0.3">
      <c r="A145" t="s">
        <v>523</v>
      </c>
      <c r="B145" t="s">
        <v>524</v>
      </c>
      <c r="C145" t="s">
        <v>715</v>
      </c>
      <c r="D145" t="s">
        <v>716</v>
      </c>
      <c r="AS145">
        <v>73.562125845164971</v>
      </c>
      <c r="AT145">
        <v>74.285738001549632</v>
      </c>
      <c r="AU145">
        <v>74.814999996679163</v>
      </c>
      <c r="AV145">
        <v>75.96296743140239</v>
      </c>
      <c r="AW145">
        <v>75.96387822071722</v>
      </c>
      <c r="AX145">
        <v>76.987568609595542</v>
      </c>
      <c r="AY145">
        <v>77.778703231449825</v>
      </c>
      <c r="AZ145">
        <v>78.58602332544767</v>
      </c>
      <c r="BA145">
        <v>79.474620114645262</v>
      </c>
      <c r="BB145">
        <v>79.743942477285543</v>
      </c>
      <c r="BC145">
        <v>80.469738579114534</v>
      </c>
      <c r="BD145">
        <v>81.890497604890257</v>
      </c>
      <c r="BE145">
        <v>82.343562140873729</v>
      </c>
      <c r="BF145">
        <v>83.320801709632846</v>
      </c>
      <c r="BG145">
        <v>84.020090649977078</v>
      </c>
      <c r="BH145">
        <v>85.040729872881272</v>
      </c>
      <c r="BI145">
        <v>86.206087276797732</v>
      </c>
      <c r="BJ145">
        <v>87.228235438438503</v>
      </c>
      <c r="BK145">
        <v>88.327136631984004</v>
      </c>
      <c r="BL145">
        <v>88.690834081120371</v>
      </c>
      <c r="BM145">
        <v>89.016288064378756</v>
      </c>
      <c r="BN145">
        <v>90.152493438900734</v>
      </c>
      <c r="BO145">
        <v>90.093269591365726</v>
      </c>
      <c r="BP145">
        <v>90.492071175052644</v>
      </c>
    </row>
    <row r="146" spans="1:68" x14ac:dyDescent="0.3">
      <c r="A146" t="s">
        <v>525</v>
      </c>
      <c r="B146" t="s">
        <v>526</v>
      </c>
      <c r="C146" t="s">
        <v>715</v>
      </c>
      <c r="D146" t="s">
        <v>716</v>
      </c>
      <c r="AS146">
        <v>4.3</v>
      </c>
      <c r="AT146">
        <v>1.3</v>
      </c>
      <c r="AU146">
        <v>3.4</v>
      </c>
      <c r="AV146">
        <v>5.4</v>
      </c>
      <c r="AW146">
        <v>6.8</v>
      </c>
      <c r="AX146">
        <v>9.6</v>
      </c>
      <c r="AY146">
        <v>9.6999999999999993</v>
      </c>
      <c r="AZ146">
        <v>13.9</v>
      </c>
      <c r="BA146">
        <v>16</v>
      </c>
      <c r="BB146">
        <v>17</v>
      </c>
      <c r="BC146">
        <v>17</v>
      </c>
      <c r="BD146">
        <v>22.5</v>
      </c>
      <c r="BE146">
        <v>20.6</v>
      </c>
      <c r="BF146">
        <v>26.9</v>
      </c>
      <c r="BG146">
        <v>27.8</v>
      </c>
      <c r="BH146">
        <v>31.8</v>
      </c>
      <c r="BI146">
        <v>35.1</v>
      </c>
      <c r="BJ146">
        <v>33.700000000000003</v>
      </c>
      <c r="BK146">
        <v>47</v>
      </c>
      <c r="BL146">
        <v>44.6</v>
      </c>
      <c r="BM146">
        <v>47.5</v>
      </c>
      <c r="BN146">
        <v>50.4</v>
      </c>
      <c r="BO146">
        <v>50</v>
      </c>
      <c r="BP146">
        <v>57.3</v>
      </c>
    </row>
    <row r="147" spans="1:68" x14ac:dyDescent="0.3">
      <c r="A147" t="s">
        <v>527</v>
      </c>
      <c r="B147" t="s">
        <v>528</v>
      </c>
      <c r="C147" t="s">
        <v>715</v>
      </c>
      <c r="D147" t="s">
        <v>716</v>
      </c>
      <c r="AS147">
        <v>95.251303888709558</v>
      </c>
      <c r="AT147">
        <v>95.913498524695314</v>
      </c>
      <c r="AU147">
        <v>96.253707452568776</v>
      </c>
      <c r="AV147">
        <v>96.455722748191477</v>
      </c>
      <c r="AW147">
        <v>96.735983500810704</v>
      </c>
      <c r="AX147">
        <v>97.166459720587909</v>
      </c>
      <c r="AY147">
        <v>97.889470069955394</v>
      </c>
      <c r="AZ147">
        <v>97.62867501028127</v>
      </c>
      <c r="BA147">
        <v>97.994926347230447</v>
      </c>
      <c r="BB147">
        <v>97.688782947467516</v>
      </c>
      <c r="BC147">
        <v>98.352511439472352</v>
      </c>
      <c r="BD147">
        <v>98.626021837538744</v>
      </c>
      <c r="BE147">
        <v>98.712210261276638</v>
      </c>
      <c r="BF147">
        <v>98.898002657093244</v>
      </c>
      <c r="BG147">
        <v>99.004390661832275</v>
      </c>
      <c r="BH147">
        <v>98.780302503994676</v>
      </c>
      <c r="BI147">
        <v>99.116414092257159</v>
      </c>
      <c r="BJ147">
        <v>99.272174152130475</v>
      </c>
      <c r="BK147">
        <v>99.28075729718168</v>
      </c>
      <c r="BL147">
        <v>99.329060345649182</v>
      </c>
      <c r="BM147">
        <v>99.386940885518229</v>
      </c>
      <c r="BN147">
        <v>99.411699782050235</v>
      </c>
      <c r="BO147">
        <v>99.477188186216665</v>
      </c>
      <c r="BP147">
        <v>99.457175757678399</v>
      </c>
    </row>
    <row r="148" spans="1:68" x14ac:dyDescent="0.3">
      <c r="A148" t="s">
        <v>137</v>
      </c>
      <c r="B148" t="s">
        <v>529</v>
      </c>
      <c r="C148" t="s">
        <v>715</v>
      </c>
      <c r="D148" t="s">
        <v>716</v>
      </c>
      <c r="AI148">
        <v>100</v>
      </c>
      <c r="AJ148">
        <v>100</v>
      </c>
      <c r="AK148">
        <v>100</v>
      </c>
      <c r="AL148">
        <v>100</v>
      </c>
      <c r="AM148">
        <v>100</v>
      </c>
      <c r="AN148">
        <v>100</v>
      </c>
      <c r="AO148">
        <v>100</v>
      </c>
      <c r="AP148">
        <v>100</v>
      </c>
      <c r="AQ148">
        <v>100</v>
      </c>
      <c r="AR148">
        <v>100</v>
      </c>
      <c r="AS148">
        <v>99.5</v>
      </c>
      <c r="AT148">
        <v>99.5</v>
      </c>
      <c r="AU148">
        <v>99.4</v>
      </c>
      <c r="AV148">
        <v>99.4</v>
      </c>
      <c r="AW148">
        <v>99.4</v>
      </c>
      <c r="AX148">
        <v>99.4</v>
      </c>
      <c r="AY148">
        <v>99.4</v>
      </c>
      <c r="AZ148">
        <v>99.4</v>
      </c>
      <c r="BA148">
        <v>99.4</v>
      </c>
      <c r="BB148">
        <v>99.5</v>
      </c>
      <c r="BC148">
        <v>99.7</v>
      </c>
      <c r="BD148">
        <v>99.7</v>
      </c>
      <c r="BE148">
        <v>100</v>
      </c>
      <c r="BF148">
        <v>100</v>
      </c>
      <c r="BG148">
        <v>100</v>
      </c>
      <c r="BH148">
        <v>100</v>
      </c>
      <c r="BI148">
        <v>100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  <c r="BP148">
        <v>100</v>
      </c>
    </row>
    <row r="149" spans="1:68" x14ac:dyDescent="0.3">
      <c r="A149" t="s">
        <v>139</v>
      </c>
      <c r="B149" t="s">
        <v>530</v>
      </c>
      <c r="C149" t="s">
        <v>715</v>
      </c>
      <c r="D149" t="s">
        <v>716</v>
      </c>
      <c r="AI149">
        <v>100</v>
      </c>
      <c r="AJ149">
        <v>100</v>
      </c>
      <c r="AK149">
        <v>100</v>
      </c>
      <c r="AL149">
        <v>100</v>
      </c>
      <c r="AM149">
        <v>100</v>
      </c>
      <c r="AN149">
        <v>100</v>
      </c>
      <c r="AO149">
        <v>100</v>
      </c>
      <c r="AP149">
        <v>100</v>
      </c>
      <c r="AQ149">
        <v>100</v>
      </c>
      <c r="AR149">
        <v>100</v>
      </c>
      <c r="AS149">
        <v>100</v>
      </c>
      <c r="AT149">
        <v>100</v>
      </c>
      <c r="AU149">
        <v>100</v>
      </c>
      <c r="AV149">
        <v>100</v>
      </c>
      <c r="AW149">
        <v>100</v>
      </c>
      <c r="AX149">
        <v>100</v>
      </c>
      <c r="AY149">
        <v>100</v>
      </c>
      <c r="AZ149">
        <v>100</v>
      </c>
      <c r="BA149">
        <v>100</v>
      </c>
      <c r="BB149">
        <v>100</v>
      </c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  <c r="BO149">
        <v>100</v>
      </c>
      <c r="BP149">
        <v>100</v>
      </c>
    </row>
    <row r="150" spans="1:68" x14ac:dyDescent="0.3">
      <c r="A150" t="s">
        <v>141</v>
      </c>
      <c r="B150" t="s">
        <v>531</v>
      </c>
      <c r="C150" t="s">
        <v>715</v>
      </c>
      <c r="D150" t="s">
        <v>716</v>
      </c>
      <c r="AI150">
        <v>100</v>
      </c>
      <c r="AJ150">
        <v>100</v>
      </c>
      <c r="AK150">
        <v>100</v>
      </c>
      <c r="AL150">
        <v>100</v>
      </c>
      <c r="AM150">
        <v>100</v>
      </c>
      <c r="AN150">
        <v>100</v>
      </c>
      <c r="AO150">
        <v>100</v>
      </c>
      <c r="AP150">
        <v>100</v>
      </c>
      <c r="AQ150">
        <v>100</v>
      </c>
      <c r="AR150">
        <v>100</v>
      </c>
      <c r="AS150">
        <v>99.9</v>
      </c>
      <c r="AT150">
        <v>99.9</v>
      </c>
      <c r="AU150">
        <v>99.8</v>
      </c>
      <c r="AV150">
        <v>99.8</v>
      </c>
      <c r="AW150">
        <v>99.7</v>
      </c>
      <c r="AX150">
        <v>99.7</v>
      </c>
      <c r="AY150">
        <v>99.6</v>
      </c>
      <c r="AZ150">
        <v>99.7</v>
      </c>
      <c r="BA150">
        <v>99.7</v>
      </c>
      <c r="BB150">
        <v>100</v>
      </c>
      <c r="BC150">
        <v>99.8</v>
      </c>
      <c r="BD150">
        <v>99.8</v>
      </c>
      <c r="BE150">
        <v>100</v>
      </c>
      <c r="BF150">
        <v>100</v>
      </c>
      <c r="BG150">
        <v>100</v>
      </c>
      <c r="BH150">
        <v>100</v>
      </c>
      <c r="BI150">
        <v>100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  <c r="BP150">
        <v>100</v>
      </c>
    </row>
    <row r="151" spans="1:68" x14ac:dyDescent="0.3">
      <c r="A151" t="s">
        <v>532</v>
      </c>
      <c r="B151" t="s">
        <v>533</v>
      </c>
      <c r="C151" t="s">
        <v>715</v>
      </c>
      <c r="D151" t="s">
        <v>716</v>
      </c>
      <c r="AI151">
        <v>99.849281311035199</v>
      </c>
      <c r="AJ151">
        <v>99.880584716796903</v>
      </c>
      <c r="AK151">
        <v>99.911430358886705</v>
      </c>
      <c r="AL151">
        <v>99.941619873046903</v>
      </c>
      <c r="AM151">
        <v>100</v>
      </c>
      <c r="AN151">
        <v>100</v>
      </c>
      <c r="AO151">
        <v>100</v>
      </c>
      <c r="AP151">
        <v>100</v>
      </c>
      <c r="AQ151">
        <v>100</v>
      </c>
      <c r="AR151">
        <v>100</v>
      </c>
      <c r="AS151">
        <v>100</v>
      </c>
      <c r="AT151">
        <v>100</v>
      </c>
      <c r="AU151">
        <v>100</v>
      </c>
      <c r="AV151">
        <v>100</v>
      </c>
      <c r="AW151">
        <v>100</v>
      </c>
      <c r="AX151">
        <v>100</v>
      </c>
      <c r="AY151">
        <v>100</v>
      </c>
      <c r="AZ151">
        <v>100</v>
      </c>
      <c r="BA151">
        <v>100</v>
      </c>
      <c r="BB151">
        <v>100</v>
      </c>
      <c r="BC151">
        <v>100</v>
      </c>
      <c r="BD151">
        <v>100</v>
      </c>
      <c r="BE151">
        <v>100</v>
      </c>
      <c r="BF151">
        <v>100</v>
      </c>
      <c r="BG151">
        <v>100</v>
      </c>
      <c r="BH151">
        <v>100</v>
      </c>
      <c r="BI151">
        <v>100</v>
      </c>
      <c r="BJ151">
        <v>100</v>
      </c>
      <c r="BK151">
        <v>100</v>
      </c>
      <c r="BL151">
        <v>100</v>
      </c>
      <c r="BM151">
        <v>100</v>
      </c>
      <c r="BN151">
        <v>100</v>
      </c>
      <c r="BO151">
        <v>100</v>
      </c>
      <c r="BP151">
        <v>100</v>
      </c>
    </row>
    <row r="152" spans="1:68" x14ac:dyDescent="0.3">
      <c r="A152" t="s">
        <v>534</v>
      </c>
      <c r="B152" t="s">
        <v>535</v>
      </c>
      <c r="C152" t="s">
        <v>715</v>
      </c>
      <c r="D152" t="s">
        <v>716</v>
      </c>
      <c r="AI152">
        <v>100</v>
      </c>
      <c r="AJ152">
        <v>100</v>
      </c>
      <c r="AK152">
        <v>100</v>
      </c>
      <c r="AL152">
        <v>100</v>
      </c>
      <c r="AM152">
        <v>100</v>
      </c>
      <c r="AN152">
        <v>100</v>
      </c>
      <c r="AO152">
        <v>100</v>
      </c>
      <c r="AP152">
        <v>100</v>
      </c>
      <c r="AQ152">
        <v>100</v>
      </c>
      <c r="AR152">
        <v>100</v>
      </c>
      <c r="AS152">
        <v>100</v>
      </c>
      <c r="AT152">
        <v>99.9</v>
      </c>
      <c r="AU152">
        <v>99.9</v>
      </c>
      <c r="AV152">
        <v>99.8</v>
      </c>
      <c r="AW152">
        <v>99.8</v>
      </c>
      <c r="AX152">
        <v>99.7</v>
      </c>
      <c r="AY152">
        <v>99.7</v>
      </c>
      <c r="AZ152">
        <v>99.7</v>
      </c>
      <c r="BA152">
        <v>99.7</v>
      </c>
      <c r="BB152">
        <v>99.7</v>
      </c>
      <c r="BC152">
        <v>100</v>
      </c>
      <c r="BD152">
        <v>100</v>
      </c>
      <c r="BE152">
        <v>100</v>
      </c>
      <c r="BF152">
        <v>100</v>
      </c>
      <c r="BG152">
        <v>100</v>
      </c>
      <c r="BH152">
        <v>100</v>
      </c>
      <c r="BI152">
        <v>100</v>
      </c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 x14ac:dyDescent="0.3">
      <c r="A153" t="s">
        <v>143</v>
      </c>
      <c r="B153" t="s">
        <v>536</v>
      </c>
      <c r="C153" t="s">
        <v>715</v>
      </c>
      <c r="D153" t="s">
        <v>716</v>
      </c>
      <c r="AK153">
        <v>49.2</v>
      </c>
      <c r="AL153">
        <v>56.772651672363303</v>
      </c>
      <c r="AM153">
        <v>58.608898162841797</v>
      </c>
      <c r="AN153">
        <v>56.5</v>
      </c>
      <c r="AO153">
        <v>62.274593353271499</v>
      </c>
      <c r="AP153">
        <v>64.102684020996094</v>
      </c>
      <c r="AQ153">
        <v>65.926689147949205</v>
      </c>
      <c r="AR153">
        <v>67.745857238769503</v>
      </c>
      <c r="AS153">
        <v>69.8</v>
      </c>
      <c r="AT153">
        <v>71.599999999999994</v>
      </c>
      <c r="AU153">
        <v>73.3</v>
      </c>
      <c r="AV153">
        <v>75.099999999999994</v>
      </c>
      <c r="AW153">
        <v>78.2</v>
      </c>
      <c r="AX153">
        <v>78.599999999999994</v>
      </c>
      <c r="AY153">
        <v>96.5</v>
      </c>
      <c r="AZ153">
        <v>82.2</v>
      </c>
      <c r="BA153">
        <v>84.1</v>
      </c>
      <c r="BB153">
        <v>85.9</v>
      </c>
      <c r="BC153">
        <v>95.7</v>
      </c>
      <c r="BD153">
        <v>96.1</v>
      </c>
      <c r="BE153">
        <v>96.4</v>
      </c>
      <c r="BF153">
        <v>97.2</v>
      </c>
      <c r="BG153">
        <v>97.3</v>
      </c>
      <c r="BH153">
        <v>97.3</v>
      </c>
      <c r="BI153">
        <v>97.8</v>
      </c>
      <c r="BJ153">
        <v>100</v>
      </c>
      <c r="BK153">
        <v>98.1</v>
      </c>
      <c r="BL153">
        <v>99.6</v>
      </c>
      <c r="BM153">
        <v>100</v>
      </c>
      <c r="BN153">
        <v>100</v>
      </c>
      <c r="BO153">
        <v>100</v>
      </c>
      <c r="BP153">
        <v>100</v>
      </c>
    </row>
    <row r="154" spans="1:68" x14ac:dyDescent="0.3">
      <c r="A154" t="s">
        <v>537</v>
      </c>
      <c r="B154" t="s">
        <v>538</v>
      </c>
      <c r="C154" t="s">
        <v>715</v>
      </c>
      <c r="D154" t="s">
        <v>716</v>
      </c>
      <c r="AI154">
        <v>100</v>
      </c>
      <c r="AJ154">
        <v>100</v>
      </c>
      <c r="AK154">
        <v>100</v>
      </c>
      <c r="AL154">
        <v>100</v>
      </c>
      <c r="AM154">
        <v>100</v>
      </c>
      <c r="AN154">
        <v>100</v>
      </c>
      <c r="AO154">
        <v>100</v>
      </c>
      <c r="AP154">
        <v>100</v>
      </c>
      <c r="AQ154">
        <v>100</v>
      </c>
      <c r="AR154">
        <v>100</v>
      </c>
      <c r="AS154">
        <v>100</v>
      </c>
      <c r="AT154">
        <v>100</v>
      </c>
      <c r="AU154">
        <v>100</v>
      </c>
      <c r="AV154">
        <v>100</v>
      </c>
      <c r="AW154">
        <v>100</v>
      </c>
      <c r="AX154">
        <v>100</v>
      </c>
      <c r="AY154">
        <v>100</v>
      </c>
      <c r="AZ154">
        <v>100</v>
      </c>
      <c r="BA154">
        <v>100</v>
      </c>
      <c r="BB154">
        <v>100</v>
      </c>
      <c r="BC154">
        <v>100</v>
      </c>
      <c r="BD154">
        <v>100</v>
      </c>
      <c r="BE154">
        <v>100</v>
      </c>
      <c r="BF154">
        <v>100</v>
      </c>
      <c r="BG154">
        <v>100</v>
      </c>
      <c r="BH154">
        <v>100</v>
      </c>
      <c r="BI154">
        <v>100</v>
      </c>
      <c r="BJ154">
        <v>100</v>
      </c>
      <c r="BK154">
        <v>100</v>
      </c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8" x14ac:dyDescent="0.3">
      <c r="A155" t="s">
        <v>145</v>
      </c>
      <c r="B155" t="s">
        <v>539</v>
      </c>
      <c r="C155" t="s">
        <v>715</v>
      </c>
      <c r="D155" t="s">
        <v>716</v>
      </c>
      <c r="AI155">
        <v>100</v>
      </c>
      <c r="AJ155">
        <v>100</v>
      </c>
      <c r="AK155">
        <v>100</v>
      </c>
      <c r="AL155">
        <v>100</v>
      </c>
      <c r="AM155">
        <v>100</v>
      </c>
      <c r="AN155">
        <v>100</v>
      </c>
      <c r="AO155">
        <v>100</v>
      </c>
      <c r="AP155">
        <v>100</v>
      </c>
      <c r="AQ155">
        <v>100</v>
      </c>
      <c r="AR155">
        <v>100</v>
      </c>
      <c r="AS155">
        <v>98.7</v>
      </c>
      <c r="AT155">
        <v>98.8</v>
      </c>
      <c r="AU155">
        <v>99</v>
      </c>
      <c r="AV155">
        <v>98.8</v>
      </c>
      <c r="AW155">
        <v>99.1</v>
      </c>
      <c r="AX155">
        <v>98.6</v>
      </c>
      <c r="AY155">
        <v>98.9</v>
      </c>
      <c r="AZ155">
        <v>99</v>
      </c>
      <c r="BA155">
        <v>99.1</v>
      </c>
      <c r="BB155">
        <v>99.2</v>
      </c>
      <c r="BC155">
        <v>99.3</v>
      </c>
      <c r="BD155">
        <v>99.4</v>
      </c>
      <c r="BE155">
        <v>99.5</v>
      </c>
      <c r="BF155">
        <v>99.6</v>
      </c>
      <c r="BG155">
        <v>99.8</v>
      </c>
      <c r="BH155">
        <v>99.9</v>
      </c>
      <c r="BI155">
        <v>99.9</v>
      </c>
      <c r="BJ155">
        <v>100</v>
      </c>
      <c r="BK155">
        <v>100</v>
      </c>
      <c r="BL155">
        <v>100</v>
      </c>
      <c r="BM155">
        <v>100</v>
      </c>
      <c r="BN155">
        <v>100</v>
      </c>
      <c r="BO155">
        <v>100</v>
      </c>
      <c r="BP155">
        <v>100</v>
      </c>
    </row>
    <row r="156" spans="1:68" x14ac:dyDescent="0.3">
      <c r="A156" t="s">
        <v>540</v>
      </c>
      <c r="B156" t="s">
        <v>541</v>
      </c>
      <c r="C156" t="s">
        <v>715</v>
      </c>
      <c r="D156" t="s">
        <v>716</v>
      </c>
      <c r="AK156">
        <v>9.1999999999999993</v>
      </c>
      <c r="AL156">
        <v>10.1056232452393</v>
      </c>
      <c r="AM156">
        <v>10.561648368835399</v>
      </c>
      <c r="AN156">
        <v>11.0156345367432</v>
      </c>
      <c r="AO156">
        <v>11.466900825500501</v>
      </c>
      <c r="AP156">
        <v>10.9</v>
      </c>
      <c r="AQ156">
        <v>12.3585548400879</v>
      </c>
      <c r="AR156">
        <v>12.7975006103516</v>
      </c>
      <c r="AS156">
        <v>12.6</v>
      </c>
      <c r="AT156">
        <v>14.8</v>
      </c>
      <c r="AU156">
        <v>14</v>
      </c>
      <c r="AV156">
        <v>20.3</v>
      </c>
      <c r="AW156">
        <v>15.3</v>
      </c>
      <c r="AX156">
        <v>16</v>
      </c>
      <c r="AY156">
        <v>16.8</v>
      </c>
      <c r="AZ156">
        <v>17.5</v>
      </c>
      <c r="BA156">
        <v>18.3</v>
      </c>
      <c r="BB156">
        <v>17.399999999999999</v>
      </c>
      <c r="BC156">
        <v>12.3</v>
      </c>
      <c r="BD156">
        <v>14.3</v>
      </c>
      <c r="BE156">
        <v>18.7</v>
      </c>
      <c r="BF156">
        <v>12.9</v>
      </c>
      <c r="BG156">
        <v>23</v>
      </c>
      <c r="BH156">
        <v>23.8</v>
      </c>
      <c r="BI156">
        <v>22.9</v>
      </c>
      <c r="BJ156">
        <v>24.1</v>
      </c>
      <c r="BK156">
        <v>36.5</v>
      </c>
      <c r="BL156">
        <v>31</v>
      </c>
      <c r="BM156">
        <v>32</v>
      </c>
      <c r="BN156">
        <v>35.1</v>
      </c>
      <c r="BO156">
        <v>36.1</v>
      </c>
      <c r="BP156">
        <v>39.4</v>
      </c>
    </row>
    <row r="157" spans="1:68" x14ac:dyDescent="0.3">
      <c r="A157" t="s">
        <v>542</v>
      </c>
      <c r="B157" t="s">
        <v>543</v>
      </c>
      <c r="C157" t="s">
        <v>715</v>
      </c>
      <c r="D157" t="s">
        <v>716</v>
      </c>
      <c r="AS157">
        <v>83.8</v>
      </c>
      <c r="AT157">
        <v>87.5</v>
      </c>
      <c r="AU157">
        <v>88.3</v>
      </c>
      <c r="AV157">
        <v>89.1</v>
      </c>
      <c r="AW157">
        <v>90</v>
      </c>
      <c r="AX157">
        <v>90.9</v>
      </c>
      <c r="AY157">
        <v>91.7</v>
      </c>
      <c r="AZ157">
        <v>92.6</v>
      </c>
      <c r="BA157">
        <v>93.6</v>
      </c>
      <c r="BB157">
        <v>99.9</v>
      </c>
      <c r="BC157">
        <v>99</v>
      </c>
      <c r="BD157">
        <v>99.1</v>
      </c>
      <c r="BE157">
        <v>99.2</v>
      </c>
      <c r="BF157">
        <v>99.4</v>
      </c>
      <c r="BG157">
        <v>100</v>
      </c>
      <c r="BH157">
        <v>99.8</v>
      </c>
      <c r="BI157">
        <v>100</v>
      </c>
      <c r="BJ157">
        <v>99.8</v>
      </c>
      <c r="BK157">
        <v>100</v>
      </c>
      <c r="BL157">
        <v>100</v>
      </c>
      <c r="BM157">
        <v>100</v>
      </c>
      <c r="BN157">
        <v>100</v>
      </c>
      <c r="BO157">
        <v>100</v>
      </c>
      <c r="BP157">
        <v>100</v>
      </c>
    </row>
    <row r="158" spans="1:68" x14ac:dyDescent="0.3">
      <c r="A158" t="s">
        <v>544</v>
      </c>
      <c r="B158" t="s">
        <v>545</v>
      </c>
      <c r="C158" t="s">
        <v>715</v>
      </c>
      <c r="D158" t="s">
        <v>716</v>
      </c>
      <c r="AS158">
        <v>82.569913904288754</v>
      </c>
      <c r="AT158">
        <v>83.279176170200671</v>
      </c>
      <c r="AU158">
        <v>83.608597936869828</v>
      </c>
      <c r="AV158">
        <v>84.584616655413612</v>
      </c>
      <c r="AW158">
        <v>84.980410117053324</v>
      </c>
      <c r="AX158">
        <v>85.957903666209404</v>
      </c>
      <c r="AY158">
        <v>87.656582300456279</v>
      </c>
      <c r="AZ158">
        <v>87.151911405220048</v>
      </c>
      <c r="BA158">
        <v>88.094660981396558</v>
      </c>
      <c r="BB158">
        <v>88.740342855560002</v>
      </c>
      <c r="BC158">
        <v>90.56081986149087</v>
      </c>
      <c r="BD158">
        <v>90.776155934710161</v>
      </c>
      <c r="BE158">
        <v>91.854121366531842</v>
      </c>
      <c r="BF158">
        <v>93.147969041644473</v>
      </c>
      <c r="BG158">
        <v>94.032095667721492</v>
      </c>
      <c r="BH158">
        <v>93.436065546111706</v>
      </c>
      <c r="BI158">
        <v>95.158764819742018</v>
      </c>
      <c r="BJ158">
        <v>96.001243169197778</v>
      </c>
      <c r="BK158">
        <v>94.97068617122855</v>
      </c>
      <c r="BL158">
        <v>96.008707298460138</v>
      </c>
      <c r="BM158">
        <v>96.262120442281798</v>
      </c>
      <c r="BN158">
        <v>96.416669055369312</v>
      </c>
      <c r="BO158">
        <v>95.863794501496415</v>
      </c>
      <c r="BP158">
        <v>96.42263674352742</v>
      </c>
    </row>
    <row r="159" spans="1:68" x14ac:dyDescent="0.3">
      <c r="A159" t="s">
        <v>147</v>
      </c>
      <c r="B159" t="s">
        <v>546</v>
      </c>
      <c r="C159" t="s">
        <v>715</v>
      </c>
      <c r="D159" t="s">
        <v>716</v>
      </c>
      <c r="AK159">
        <v>93.145981000000006</v>
      </c>
      <c r="AL159">
        <v>95.448463439941406</v>
      </c>
      <c r="AM159">
        <v>95.238293999999996</v>
      </c>
      <c r="AN159">
        <v>95.894462585449205</v>
      </c>
      <c r="AO159">
        <v>96.093624000000005</v>
      </c>
      <c r="AP159">
        <v>96.329582214355497</v>
      </c>
      <c r="AQ159">
        <v>96.092754999999997</v>
      </c>
      <c r="AR159">
        <v>96.748298645019503</v>
      </c>
      <c r="AS159">
        <v>98</v>
      </c>
      <c r="AT159">
        <v>97.1</v>
      </c>
      <c r="AU159">
        <v>97.9</v>
      </c>
      <c r="AV159">
        <v>97.4</v>
      </c>
      <c r="AW159">
        <v>98.6</v>
      </c>
      <c r="AX159">
        <v>98.9</v>
      </c>
      <c r="AY159">
        <v>99.1</v>
      </c>
      <c r="AZ159">
        <v>97.9</v>
      </c>
      <c r="BA159">
        <v>98.9</v>
      </c>
      <c r="BB159">
        <v>98.3</v>
      </c>
      <c r="BC159">
        <v>99.2</v>
      </c>
      <c r="BD159">
        <v>99</v>
      </c>
      <c r="BE159">
        <v>99.1</v>
      </c>
      <c r="BF159">
        <v>99.1</v>
      </c>
      <c r="BG159">
        <v>99.2</v>
      </c>
      <c r="BH159">
        <v>99</v>
      </c>
      <c r="BI159">
        <v>99.5</v>
      </c>
      <c r="BJ159">
        <v>100</v>
      </c>
      <c r="BK159">
        <v>99.5</v>
      </c>
      <c r="BL159">
        <v>99.6</v>
      </c>
      <c r="BM159">
        <v>99.4</v>
      </c>
      <c r="BN159">
        <v>100</v>
      </c>
      <c r="BO159">
        <v>100</v>
      </c>
      <c r="BP159">
        <v>99.7</v>
      </c>
    </row>
    <row r="160" spans="1:68" x14ac:dyDescent="0.3">
      <c r="A160" t="s">
        <v>547</v>
      </c>
      <c r="B160" t="s">
        <v>548</v>
      </c>
      <c r="C160" t="s">
        <v>715</v>
      </c>
      <c r="D160" t="s">
        <v>716</v>
      </c>
      <c r="AR160">
        <v>68.524235875270193</v>
      </c>
      <c r="AS160">
        <v>68.599999999999994</v>
      </c>
      <c r="AT160">
        <v>70.099999999999994</v>
      </c>
      <c r="AU160">
        <v>71.5</v>
      </c>
      <c r="AV160">
        <v>72.900000000000006</v>
      </c>
      <c r="AW160">
        <v>74.3</v>
      </c>
      <c r="AX160">
        <v>75.7</v>
      </c>
      <c r="AY160">
        <v>77.2</v>
      </c>
      <c r="AZ160">
        <v>72.3</v>
      </c>
      <c r="BA160">
        <v>80.2</v>
      </c>
      <c r="BB160">
        <v>81.7</v>
      </c>
      <c r="BC160">
        <v>89.4</v>
      </c>
      <c r="BD160">
        <v>89.9</v>
      </c>
      <c r="BE160">
        <v>90.4</v>
      </c>
      <c r="BF160">
        <v>90.9</v>
      </c>
      <c r="BG160">
        <v>91.5</v>
      </c>
      <c r="BH160">
        <v>92.1</v>
      </c>
      <c r="BI160">
        <v>92.7</v>
      </c>
      <c r="BJ160">
        <v>93.8</v>
      </c>
      <c r="BK160">
        <v>95.3</v>
      </c>
      <c r="BL160">
        <v>96.8</v>
      </c>
      <c r="BM160">
        <v>98.3</v>
      </c>
      <c r="BN160">
        <v>99.8</v>
      </c>
      <c r="BO160">
        <v>100</v>
      </c>
      <c r="BP160">
        <v>100</v>
      </c>
    </row>
    <row r="161" spans="1:68" x14ac:dyDescent="0.3">
      <c r="A161" t="s">
        <v>549</v>
      </c>
      <c r="B161" t="s">
        <v>550</v>
      </c>
      <c r="C161" t="s">
        <v>715</v>
      </c>
      <c r="D161" t="s">
        <v>716</v>
      </c>
      <c r="AS161">
        <v>77.224191446420633</v>
      </c>
      <c r="AT161">
        <v>77.943223765400177</v>
      </c>
      <c r="AU161">
        <v>78.554915833810639</v>
      </c>
      <c r="AV161">
        <v>79.728971784154226</v>
      </c>
      <c r="AW161">
        <v>79.750601386918589</v>
      </c>
      <c r="AX161">
        <v>80.911461878294503</v>
      </c>
      <c r="AY161">
        <v>81.685538137334987</v>
      </c>
      <c r="AZ161">
        <v>82.647603890068851</v>
      </c>
      <c r="BA161">
        <v>83.74982982489351</v>
      </c>
      <c r="BB161">
        <v>84.266897474185157</v>
      </c>
      <c r="BC161">
        <v>84.999953727105222</v>
      </c>
      <c r="BD161">
        <v>86.507728223494539</v>
      </c>
      <c r="BE161">
        <v>86.856659154970018</v>
      </c>
      <c r="BF161">
        <v>87.887993253969668</v>
      </c>
      <c r="BG161">
        <v>88.490984936541693</v>
      </c>
      <c r="BH161">
        <v>89.696086196751992</v>
      </c>
      <c r="BI161">
        <v>90.729439015602253</v>
      </c>
      <c r="BJ161">
        <v>91.756211195548289</v>
      </c>
      <c r="BK161">
        <v>92.895243185660647</v>
      </c>
      <c r="BL161">
        <v>93.281418412575377</v>
      </c>
      <c r="BM161">
        <v>93.624747712874836</v>
      </c>
      <c r="BN161">
        <v>94.833678510811879</v>
      </c>
      <c r="BO161">
        <v>94.85821200899062</v>
      </c>
      <c r="BP161">
        <v>95.158388463296333</v>
      </c>
    </row>
    <row r="162" spans="1:68" x14ac:dyDescent="0.3">
      <c r="A162" t="s">
        <v>149</v>
      </c>
      <c r="B162" t="s">
        <v>551</v>
      </c>
      <c r="C162" t="s">
        <v>715</v>
      </c>
      <c r="D162" t="s">
        <v>716</v>
      </c>
      <c r="AI162">
        <v>100</v>
      </c>
      <c r="AJ162">
        <v>100</v>
      </c>
      <c r="AK162">
        <v>100</v>
      </c>
      <c r="AL162">
        <v>100</v>
      </c>
      <c r="AM162">
        <v>100</v>
      </c>
      <c r="AN162">
        <v>100</v>
      </c>
      <c r="AO162">
        <v>100</v>
      </c>
      <c r="AP162">
        <v>100</v>
      </c>
      <c r="AQ162">
        <v>100</v>
      </c>
      <c r="AR162">
        <v>100</v>
      </c>
      <c r="AS162">
        <v>99</v>
      </c>
      <c r="AT162">
        <v>99</v>
      </c>
      <c r="AU162">
        <v>99</v>
      </c>
      <c r="AV162">
        <v>99</v>
      </c>
      <c r="AW162">
        <v>99.4</v>
      </c>
      <c r="AX162">
        <v>99.1</v>
      </c>
      <c r="AY162">
        <v>99</v>
      </c>
      <c r="AZ162">
        <v>99.1</v>
      </c>
      <c r="BA162">
        <v>99.2</v>
      </c>
      <c r="BB162">
        <v>99.2</v>
      </c>
      <c r="BC162">
        <v>99.5</v>
      </c>
      <c r="BD162">
        <v>99.7</v>
      </c>
      <c r="BE162">
        <v>99.6</v>
      </c>
      <c r="BF162">
        <v>99.7</v>
      </c>
      <c r="BG162">
        <v>99.8</v>
      </c>
      <c r="BH162">
        <v>99.9</v>
      </c>
      <c r="BI162">
        <v>100</v>
      </c>
      <c r="BJ162">
        <v>100</v>
      </c>
      <c r="BK162">
        <v>99.8</v>
      </c>
      <c r="BL162">
        <v>100</v>
      </c>
      <c r="BM162">
        <v>100</v>
      </c>
      <c r="BN162">
        <v>100</v>
      </c>
      <c r="BO162">
        <v>100</v>
      </c>
      <c r="BP162">
        <v>100</v>
      </c>
    </row>
    <row r="163" spans="1:68" x14ac:dyDescent="0.3">
      <c r="A163" t="s">
        <v>552</v>
      </c>
      <c r="B163" t="s">
        <v>553</v>
      </c>
      <c r="C163" t="s">
        <v>715</v>
      </c>
      <c r="D163" t="s">
        <v>716</v>
      </c>
      <c r="AO163">
        <v>6.2</v>
      </c>
      <c r="AP163">
        <v>4.2885408401489302</v>
      </c>
      <c r="AQ163">
        <v>6.0668635368347203</v>
      </c>
      <c r="AR163">
        <v>7.8403439521789604</v>
      </c>
      <c r="AS163">
        <v>9.6</v>
      </c>
      <c r="AT163">
        <v>10.8</v>
      </c>
      <c r="AU163">
        <v>13</v>
      </c>
      <c r="AV163">
        <v>14.7</v>
      </c>
      <c r="AW163">
        <v>16.399999999999999</v>
      </c>
      <c r="AX163">
        <v>18.2</v>
      </c>
      <c r="AY163">
        <v>16.600000000000001</v>
      </c>
      <c r="AZ163">
        <v>21.7</v>
      </c>
      <c r="BA163">
        <v>23.4</v>
      </c>
      <c r="BB163">
        <v>24</v>
      </c>
      <c r="BC163">
        <v>27</v>
      </c>
      <c r="BD163">
        <v>28.8</v>
      </c>
      <c r="BE163">
        <v>25.6</v>
      </c>
      <c r="BF163">
        <v>32.4</v>
      </c>
      <c r="BG163">
        <v>34.200000000000003</v>
      </c>
      <c r="BH163">
        <v>37.6</v>
      </c>
      <c r="BI163">
        <v>38.799999999999997</v>
      </c>
      <c r="BJ163">
        <v>34.799999999999997</v>
      </c>
      <c r="BK163">
        <v>50.9</v>
      </c>
      <c r="BL163">
        <v>47.9</v>
      </c>
      <c r="BM163">
        <v>50.6</v>
      </c>
      <c r="BN163">
        <v>53.4</v>
      </c>
      <c r="BO163">
        <v>53</v>
      </c>
      <c r="BP163">
        <v>54.5</v>
      </c>
    </row>
    <row r="164" spans="1:68" x14ac:dyDescent="0.3">
      <c r="A164" t="s">
        <v>151</v>
      </c>
      <c r="B164" t="s">
        <v>554</v>
      </c>
      <c r="C164" t="s">
        <v>715</v>
      </c>
      <c r="D164" t="s">
        <v>716</v>
      </c>
      <c r="AI164">
        <v>100</v>
      </c>
      <c r="AJ164">
        <v>100</v>
      </c>
      <c r="AK164">
        <v>100</v>
      </c>
      <c r="AL164">
        <v>100</v>
      </c>
      <c r="AM164">
        <v>100</v>
      </c>
      <c r="AN164">
        <v>100</v>
      </c>
      <c r="AO164">
        <v>100</v>
      </c>
      <c r="AP164">
        <v>100</v>
      </c>
      <c r="AQ164">
        <v>100</v>
      </c>
      <c r="AR164">
        <v>100</v>
      </c>
      <c r="AS164">
        <v>100</v>
      </c>
      <c r="AT164">
        <v>100</v>
      </c>
      <c r="AU164">
        <v>100</v>
      </c>
      <c r="AV164">
        <v>100</v>
      </c>
      <c r="AW164">
        <v>100</v>
      </c>
      <c r="AX164">
        <v>100</v>
      </c>
      <c r="AY164">
        <v>100</v>
      </c>
      <c r="AZ164">
        <v>100</v>
      </c>
      <c r="BA164">
        <v>100</v>
      </c>
      <c r="BB164">
        <v>100</v>
      </c>
      <c r="BC164">
        <v>100</v>
      </c>
      <c r="BD164">
        <v>100</v>
      </c>
      <c r="BE164">
        <v>100</v>
      </c>
      <c r="BF164">
        <v>100</v>
      </c>
      <c r="BG164">
        <v>100</v>
      </c>
      <c r="BH164">
        <v>100</v>
      </c>
      <c r="BI164">
        <v>100</v>
      </c>
      <c r="BJ164">
        <v>100</v>
      </c>
      <c r="BK164">
        <v>100</v>
      </c>
      <c r="BL164">
        <v>100</v>
      </c>
      <c r="BM164">
        <v>100</v>
      </c>
      <c r="BN164">
        <v>100</v>
      </c>
      <c r="BO164">
        <v>100</v>
      </c>
      <c r="BP164">
        <v>100</v>
      </c>
    </row>
    <row r="165" spans="1:68" x14ac:dyDescent="0.3">
      <c r="A165" t="s">
        <v>152</v>
      </c>
      <c r="B165" t="s">
        <v>555</v>
      </c>
      <c r="C165" t="s">
        <v>715</v>
      </c>
      <c r="D165" t="s">
        <v>716</v>
      </c>
      <c r="AS165">
        <v>41.9</v>
      </c>
      <c r="AT165">
        <v>43</v>
      </c>
      <c r="AU165">
        <v>47</v>
      </c>
      <c r="AV165">
        <v>45.1</v>
      </c>
      <c r="AW165">
        <v>46.2</v>
      </c>
      <c r="AX165">
        <v>47.3</v>
      </c>
      <c r="AY165">
        <v>48.4</v>
      </c>
      <c r="AZ165">
        <v>49.5</v>
      </c>
      <c r="BA165">
        <v>50.6</v>
      </c>
      <c r="BB165">
        <v>51.8</v>
      </c>
      <c r="BC165">
        <v>48.8</v>
      </c>
      <c r="BD165">
        <v>54.1</v>
      </c>
      <c r="BE165">
        <v>55.3</v>
      </c>
      <c r="BF165">
        <v>56.5</v>
      </c>
      <c r="BG165">
        <v>52</v>
      </c>
      <c r="BH165">
        <v>60.5</v>
      </c>
      <c r="BI165">
        <v>55.6</v>
      </c>
      <c r="BJ165">
        <v>69.8</v>
      </c>
      <c r="BK165">
        <v>66.099999999999994</v>
      </c>
      <c r="BL165">
        <v>68.3</v>
      </c>
      <c r="BM165">
        <v>70.400000000000006</v>
      </c>
      <c r="BN165">
        <v>72.5</v>
      </c>
      <c r="BO165">
        <v>73.599999999999994</v>
      </c>
      <c r="BP165">
        <v>76.8</v>
      </c>
    </row>
    <row r="166" spans="1:68" x14ac:dyDescent="0.3">
      <c r="A166" t="s">
        <v>556</v>
      </c>
      <c r="B166" t="s">
        <v>557</v>
      </c>
      <c r="C166" t="s">
        <v>715</v>
      </c>
      <c r="D166" t="s">
        <v>716</v>
      </c>
      <c r="AS166">
        <v>81.37009394576647</v>
      </c>
      <c r="AT166">
        <v>82.104162635468555</v>
      </c>
      <c r="AU166">
        <v>82.433920110843403</v>
      </c>
      <c r="AV166">
        <v>83.460313057266802</v>
      </c>
      <c r="AW166">
        <v>83.867411215778048</v>
      </c>
      <c r="AX166">
        <v>84.900433740358409</v>
      </c>
      <c r="AY166">
        <v>86.706734903516534</v>
      </c>
      <c r="AZ166">
        <v>86.132647922801212</v>
      </c>
      <c r="BA166">
        <v>87.122792121074212</v>
      </c>
      <c r="BB166">
        <v>87.801963783156339</v>
      </c>
      <c r="BC166">
        <v>89.785398708953394</v>
      </c>
      <c r="BD166">
        <v>90.003268306191401</v>
      </c>
      <c r="BE166">
        <v>91.153959111532899</v>
      </c>
      <c r="BF166">
        <v>92.541018620254505</v>
      </c>
      <c r="BG166">
        <v>93.495540870713739</v>
      </c>
      <c r="BH166">
        <v>92.827763491189515</v>
      </c>
      <c r="BI166">
        <v>94.704907124104039</v>
      </c>
      <c r="BJ166">
        <v>95.623022183764391</v>
      </c>
      <c r="BK166">
        <v>94.509363664815467</v>
      </c>
      <c r="BL166">
        <v>95.64374719346948</v>
      </c>
      <c r="BM166">
        <v>95.917370277519311</v>
      </c>
      <c r="BN166">
        <v>96.095601888866753</v>
      </c>
      <c r="BO166">
        <v>95.483714372762975</v>
      </c>
      <c r="BP166">
        <v>96.08542874687339</v>
      </c>
    </row>
    <row r="167" spans="1:68" x14ac:dyDescent="0.3">
      <c r="A167" t="s">
        <v>153</v>
      </c>
      <c r="B167" t="s">
        <v>558</v>
      </c>
      <c r="C167" t="s">
        <v>715</v>
      </c>
      <c r="D167" t="s">
        <v>716</v>
      </c>
      <c r="AI167">
        <v>100</v>
      </c>
      <c r="AJ167">
        <v>100</v>
      </c>
      <c r="AK167">
        <v>100</v>
      </c>
      <c r="AL167">
        <v>100</v>
      </c>
      <c r="AM167">
        <v>100</v>
      </c>
      <c r="AN167">
        <v>100</v>
      </c>
      <c r="AO167">
        <v>100</v>
      </c>
      <c r="AP167">
        <v>100</v>
      </c>
      <c r="AQ167">
        <v>100</v>
      </c>
      <c r="AR167">
        <v>100</v>
      </c>
      <c r="AS167">
        <v>99.1</v>
      </c>
      <c r="AT167">
        <v>99.1</v>
      </c>
      <c r="AU167">
        <v>99</v>
      </c>
      <c r="AV167">
        <v>99</v>
      </c>
      <c r="AW167">
        <v>99</v>
      </c>
      <c r="AX167">
        <v>99.8</v>
      </c>
      <c r="AY167">
        <v>99</v>
      </c>
      <c r="AZ167">
        <v>99</v>
      </c>
      <c r="BA167">
        <v>99</v>
      </c>
      <c r="BB167">
        <v>99.1</v>
      </c>
      <c r="BC167">
        <v>99.2</v>
      </c>
      <c r="BD167">
        <v>99</v>
      </c>
      <c r="BE167">
        <v>99.3</v>
      </c>
      <c r="BF167">
        <v>99.7</v>
      </c>
      <c r="BG167">
        <v>97.7</v>
      </c>
      <c r="BH167">
        <v>99.5</v>
      </c>
      <c r="BI167">
        <v>99.6</v>
      </c>
      <c r="BJ167">
        <v>100</v>
      </c>
      <c r="BK167">
        <v>100</v>
      </c>
      <c r="BL167">
        <v>100</v>
      </c>
      <c r="BM167">
        <v>99.9</v>
      </c>
      <c r="BN167">
        <v>99.8</v>
      </c>
      <c r="BO167">
        <v>100</v>
      </c>
      <c r="BP167">
        <v>100</v>
      </c>
    </row>
    <row r="168" spans="1:68" x14ac:dyDescent="0.3">
      <c r="A168" t="s">
        <v>155</v>
      </c>
      <c r="B168" t="s">
        <v>559</v>
      </c>
      <c r="C168" t="s">
        <v>715</v>
      </c>
      <c r="D168" t="s">
        <v>716</v>
      </c>
      <c r="AS168">
        <v>67.3</v>
      </c>
      <c r="AT168">
        <v>71.7</v>
      </c>
      <c r="AU168">
        <v>72.8</v>
      </c>
      <c r="AV168">
        <v>76.3</v>
      </c>
      <c r="AW168">
        <v>74.8</v>
      </c>
      <c r="AX168">
        <v>86.2</v>
      </c>
      <c r="AY168">
        <v>77</v>
      </c>
      <c r="AZ168">
        <v>78.099999999999994</v>
      </c>
      <c r="BA168">
        <v>79.2</v>
      </c>
      <c r="BB168">
        <v>80.3</v>
      </c>
      <c r="BC168">
        <v>78.5</v>
      </c>
      <c r="BD168">
        <v>72.099999999999994</v>
      </c>
      <c r="BE168">
        <v>83.7</v>
      </c>
      <c r="BF168">
        <v>81.2</v>
      </c>
      <c r="BG168">
        <v>86</v>
      </c>
      <c r="BH168">
        <v>88</v>
      </c>
      <c r="BI168">
        <v>90.8</v>
      </c>
      <c r="BJ168">
        <v>93.6</v>
      </c>
      <c r="BK168">
        <v>98.1</v>
      </c>
      <c r="BL168">
        <v>98.9</v>
      </c>
      <c r="BM168">
        <v>99.5</v>
      </c>
      <c r="BN168">
        <v>100</v>
      </c>
      <c r="BO168">
        <v>100</v>
      </c>
      <c r="BP168">
        <v>100</v>
      </c>
    </row>
    <row r="169" spans="1:68" x14ac:dyDescent="0.3">
      <c r="A169" t="s">
        <v>560</v>
      </c>
      <c r="B169" t="s">
        <v>561</v>
      </c>
      <c r="C169" t="s">
        <v>715</v>
      </c>
      <c r="D169" t="s">
        <v>716</v>
      </c>
      <c r="AI169">
        <v>99.853263854980497</v>
      </c>
      <c r="AJ169">
        <v>99.884376525878906</v>
      </c>
      <c r="AK169">
        <v>99.915031433105497</v>
      </c>
      <c r="AL169">
        <v>99.944923400878906</v>
      </c>
      <c r="AM169">
        <v>99.971641540527301</v>
      </c>
      <c r="AN169">
        <v>100</v>
      </c>
      <c r="AO169">
        <v>100</v>
      </c>
      <c r="AP169">
        <v>100</v>
      </c>
      <c r="AQ169">
        <v>100</v>
      </c>
      <c r="AR169">
        <v>100</v>
      </c>
      <c r="AS169">
        <v>100</v>
      </c>
      <c r="AT169">
        <v>100</v>
      </c>
      <c r="AU169">
        <v>99.9</v>
      </c>
      <c r="AV169">
        <v>99.9</v>
      </c>
      <c r="AW169">
        <v>99.8</v>
      </c>
      <c r="AX169">
        <v>99.8</v>
      </c>
      <c r="AY169">
        <v>99.7</v>
      </c>
      <c r="AZ169">
        <v>100</v>
      </c>
      <c r="BA169">
        <v>100</v>
      </c>
      <c r="BB169">
        <v>100</v>
      </c>
      <c r="BC169">
        <v>100</v>
      </c>
      <c r="BD169">
        <v>100</v>
      </c>
      <c r="BE169">
        <v>100</v>
      </c>
      <c r="BF169">
        <v>100</v>
      </c>
      <c r="BG169">
        <v>100</v>
      </c>
      <c r="BH169">
        <v>100</v>
      </c>
      <c r="BI169">
        <v>100</v>
      </c>
      <c r="BJ169">
        <v>100</v>
      </c>
      <c r="BK169">
        <v>100</v>
      </c>
      <c r="BL169">
        <v>100</v>
      </c>
      <c r="BM169">
        <v>100</v>
      </c>
      <c r="BN169">
        <v>100</v>
      </c>
      <c r="BO169">
        <v>100</v>
      </c>
      <c r="BP169">
        <v>100</v>
      </c>
    </row>
    <row r="170" spans="1:68" x14ac:dyDescent="0.3">
      <c r="A170" t="s">
        <v>157</v>
      </c>
      <c r="B170" t="s">
        <v>562</v>
      </c>
      <c r="C170" t="s">
        <v>715</v>
      </c>
      <c r="D170" t="s">
        <v>716</v>
      </c>
      <c r="AP170">
        <v>6.6</v>
      </c>
      <c r="AQ170">
        <v>3.66317558288574</v>
      </c>
      <c r="AR170">
        <v>4.8791236877441397</v>
      </c>
      <c r="AS170">
        <v>6.1</v>
      </c>
      <c r="AT170">
        <v>5.7</v>
      </c>
      <c r="AU170">
        <v>8.4</v>
      </c>
      <c r="AV170">
        <v>8.1</v>
      </c>
      <c r="AW170">
        <v>10.7</v>
      </c>
      <c r="AX170">
        <v>11.8</v>
      </c>
      <c r="AY170">
        <v>13</v>
      </c>
      <c r="AZ170">
        <v>12.4</v>
      </c>
      <c r="BA170">
        <v>13.6</v>
      </c>
      <c r="BB170">
        <v>15</v>
      </c>
      <c r="BC170">
        <v>18.899999999999999</v>
      </c>
      <c r="BD170">
        <v>20.2</v>
      </c>
      <c r="BE170">
        <v>21.2</v>
      </c>
      <c r="BF170">
        <v>22.4</v>
      </c>
      <c r="BG170">
        <v>24.8</v>
      </c>
      <c r="BH170">
        <v>24</v>
      </c>
      <c r="BI170">
        <v>26.2</v>
      </c>
      <c r="BJ170">
        <v>24.3</v>
      </c>
      <c r="BK170">
        <v>31.1</v>
      </c>
      <c r="BL170">
        <v>29.7</v>
      </c>
      <c r="BM170">
        <v>30.6</v>
      </c>
      <c r="BN170">
        <v>31.5</v>
      </c>
      <c r="BO170">
        <v>33.200000000000003</v>
      </c>
      <c r="BP170">
        <v>36</v>
      </c>
    </row>
    <row r="171" spans="1:68" x14ac:dyDescent="0.3">
      <c r="A171" t="s">
        <v>563</v>
      </c>
      <c r="B171" t="s">
        <v>564</v>
      </c>
      <c r="C171" t="s">
        <v>715</v>
      </c>
      <c r="D171" t="s">
        <v>716</v>
      </c>
      <c r="AS171">
        <v>19.100000000000001</v>
      </c>
      <c r="AT171">
        <v>22.2</v>
      </c>
      <c r="AU171">
        <v>21.7</v>
      </c>
      <c r="AV171">
        <v>23</v>
      </c>
      <c r="AW171">
        <v>24.3</v>
      </c>
      <c r="AX171">
        <v>18.2</v>
      </c>
      <c r="AY171">
        <v>27</v>
      </c>
      <c r="AZ171">
        <v>33</v>
      </c>
      <c r="BA171">
        <v>30</v>
      </c>
      <c r="BB171">
        <v>31.1</v>
      </c>
      <c r="BC171">
        <v>34.200000000000003</v>
      </c>
      <c r="BD171">
        <v>35.299999999999997</v>
      </c>
      <c r="BE171">
        <v>36.4</v>
      </c>
      <c r="BF171">
        <v>37.6</v>
      </c>
      <c r="BG171">
        <v>38.799999999999997</v>
      </c>
      <c r="BH171">
        <v>39.5</v>
      </c>
      <c r="BI171">
        <v>41.2</v>
      </c>
      <c r="BJ171">
        <v>42.9</v>
      </c>
      <c r="BK171">
        <v>43.6</v>
      </c>
      <c r="BL171">
        <v>44.9</v>
      </c>
      <c r="BM171">
        <v>45.4</v>
      </c>
      <c r="BN171">
        <v>47.7</v>
      </c>
      <c r="BO171">
        <v>49</v>
      </c>
      <c r="BP171">
        <v>50.3</v>
      </c>
    </row>
    <row r="172" spans="1:68" x14ac:dyDescent="0.3">
      <c r="A172" t="s">
        <v>159</v>
      </c>
      <c r="B172" t="s">
        <v>565</v>
      </c>
      <c r="C172" t="s">
        <v>715</v>
      </c>
      <c r="D172" t="s">
        <v>716</v>
      </c>
      <c r="AI172">
        <v>99.041564941406307</v>
      </c>
      <c r="AJ172">
        <v>99.0706787109375</v>
      </c>
      <c r="AK172">
        <v>99.099678039550795</v>
      </c>
      <c r="AL172">
        <v>99.128005981445298</v>
      </c>
      <c r="AM172">
        <v>99.154968261718807</v>
      </c>
      <c r="AN172">
        <v>99.179885864257798</v>
      </c>
      <c r="AO172">
        <v>99.202095031738295</v>
      </c>
      <c r="AP172">
        <v>99.220893859863295</v>
      </c>
      <c r="AQ172">
        <v>99.235618591308594</v>
      </c>
      <c r="AR172">
        <v>99.245506286621094</v>
      </c>
      <c r="AS172">
        <v>99</v>
      </c>
      <c r="AT172">
        <v>99.2</v>
      </c>
      <c r="AU172">
        <v>99.4</v>
      </c>
      <c r="AV172">
        <v>99.1</v>
      </c>
      <c r="AW172">
        <v>99</v>
      </c>
      <c r="AX172">
        <v>99</v>
      </c>
      <c r="AY172">
        <v>99</v>
      </c>
      <c r="AZ172">
        <v>99</v>
      </c>
      <c r="BA172">
        <v>99</v>
      </c>
      <c r="BB172">
        <v>99</v>
      </c>
      <c r="BC172">
        <v>99.4</v>
      </c>
      <c r="BD172">
        <v>99.6</v>
      </c>
      <c r="BE172">
        <v>99.4</v>
      </c>
      <c r="BF172">
        <v>99.4</v>
      </c>
      <c r="BG172">
        <v>99.5</v>
      </c>
      <c r="BH172">
        <v>99.6</v>
      </c>
      <c r="BI172">
        <v>99.7</v>
      </c>
      <c r="BJ172">
        <v>99.6</v>
      </c>
      <c r="BK172">
        <v>99.8</v>
      </c>
      <c r="BL172">
        <v>100</v>
      </c>
      <c r="BM172">
        <v>99.5</v>
      </c>
      <c r="BN172">
        <v>99.6</v>
      </c>
      <c r="BO172">
        <v>100</v>
      </c>
      <c r="BP172">
        <v>100</v>
      </c>
    </row>
    <row r="173" spans="1:68" x14ac:dyDescent="0.3">
      <c r="A173" t="s">
        <v>566</v>
      </c>
      <c r="B173" t="s">
        <v>567</v>
      </c>
      <c r="C173" t="s">
        <v>715</v>
      </c>
      <c r="D173" t="s">
        <v>716</v>
      </c>
      <c r="AK173">
        <v>3.2</v>
      </c>
      <c r="AL173">
        <v>1.55355584621429</v>
      </c>
      <c r="AM173">
        <v>2.01366138458252</v>
      </c>
      <c r="AN173">
        <v>2.4717271327972399</v>
      </c>
      <c r="AO173">
        <v>2.92707347869873</v>
      </c>
      <c r="AP173">
        <v>3.3790202140808101</v>
      </c>
      <c r="AQ173">
        <v>3.8268876075744598</v>
      </c>
      <c r="AR173">
        <v>4.2699127197265598</v>
      </c>
      <c r="AS173">
        <v>4.8</v>
      </c>
      <c r="AT173">
        <v>5.2</v>
      </c>
      <c r="AU173">
        <v>5.6</v>
      </c>
      <c r="AV173">
        <v>6.2</v>
      </c>
      <c r="AW173">
        <v>6.9</v>
      </c>
      <c r="AX173">
        <v>6.6</v>
      </c>
      <c r="AY173">
        <v>3.7</v>
      </c>
      <c r="AZ173">
        <v>7.4</v>
      </c>
      <c r="BA173">
        <v>7.8</v>
      </c>
      <c r="BB173">
        <v>8.3000000000000007</v>
      </c>
      <c r="BC173">
        <v>8.6999999999999993</v>
      </c>
      <c r="BD173">
        <v>7.6</v>
      </c>
      <c r="BE173">
        <v>7.4</v>
      </c>
      <c r="BF173">
        <v>9</v>
      </c>
      <c r="BG173">
        <v>11.9</v>
      </c>
      <c r="BH173">
        <v>10.8</v>
      </c>
      <c r="BI173">
        <v>11</v>
      </c>
      <c r="BJ173">
        <v>12.7</v>
      </c>
      <c r="BK173">
        <v>18</v>
      </c>
      <c r="BL173">
        <v>11.2</v>
      </c>
      <c r="BM173">
        <v>11.5</v>
      </c>
      <c r="BN173">
        <v>14.2</v>
      </c>
      <c r="BO173">
        <v>14</v>
      </c>
      <c r="BP173">
        <v>15.6</v>
      </c>
    </row>
    <row r="174" spans="1:68" x14ac:dyDescent="0.3">
      <c r="A174" t="s">
        <v>160</v>
      </c>
      <c r="B174" t="s">
        <v>568</v>
      </c>
      <c r="C174" t="s">
        <v>715</v>
      </c>
      <c r="D174" t="s">
        <v>716</v>
      </c>
      <c r="AS174">
        <v>98.6</v>
      </c>
      <c r="AT174">
        <v>98.6</v>
      </c>
      <c r="AU174">
        <v>98.6</v>
      </c>
      <c r="AV174">
        <v>98.7</v>
      </c>
      <c r="AW174">
        <v>98.7</v>
      </c>
      <c r="AX174">
        <v>98.7</v>
      </c>
      <c r="AY174">
        <v>98.8</v>
      </c>
      <c r="AZ174">
        <v>98.9</v>
      </c>
      <c r="BA174">
        <v>99</v>
      </c>
      <c r="BB174">
        <v>99.3</v>
      </c>
      <c r="BC174">
        <v>99.5</v>
      </c>
      <c r="BD174">
        <v>99.5</v>
      </c>
      <c r="BE174">
        <v>99.8</v>
      </c>
      <c r="BF174">
        <v>99.6</v>
      </c>
      <c r="BG174">
        <v>99.7</v>
      </c>
      <c r="BH174">
        <v>99.9</v>
      </c>
      <c r="BI174">
        <v>99.9</v>
      </c>
      <c r="BJ174">
        <v>100</v>
      </c>
      <c r="BK174">
        <v>100</v>
      </c>
      <c r="BL174">
        <v>100</v>
      </c>
      <c r="BM174">
        <v>100</v>
      </c>
      <c r="BN174">
        <v>100</v>
      </c>
      <c r="BO174">
        <v>100</v>
      </c>
      <c r="BP174">
        <v>100</v>
      </c>
    </row>
    <row r="175" spans="1:68" x14ac:dyDescent="0.3">
      <c r="A175" t="s">
        <v>569</v>
      </c>
      <c r="B175" t="s">
        <v>570</v>
      </c>
      <c r="C175" t="s">
        <v>715</v>
      </c>
      <c r="D175" t="s">
        <v>716</v>
      </c>
      <c r="AI175">
        <v>100</v>
      </c>
      <c r="AJ175">
        <v>100</v>
      </c>
      <c r="AK175">
        <v>100</v>
      </c>
      <c r="AL175">
        <v>100</v>
      </c>
      <c r="AM175">
        <v>100</v>
      </c>
      <c r="AN175">
        <v>100</v>
      </c>
      <c r="AO175">
        <v>100</v>
      </c>
      <c r="AP175">
        <v>100</v>
      </c>
      <c r="AQ175">
        <v>100</v>
      </c>
      <c r="AR175">
        <v>100</v>
      </c>
      <c r="AS175">
        <v>100</v>
      </c>
      <c r="AT175">
        <v>100</v>
      </c>
      <c r="AU175">
        <v>100</v>
      </c>
      <c r="AV175">
        <v>100</v>
      </c>
      <c r="AW175">
        <v>100</v>
      </c>
      <c r="AX175">
        <v>100</v>
      </c>
      <c r="AY175">
        <v>100</v>
      </c>
      <c r="AZ175">
        <v>100</v>
      </c>
      <c r="BA175">
        <v>100</v>
      </c>
      <c r="BB175">
        <v>100</v>
      </c>
      <c r="BC175">
        <v>100</v>
      </c>
      <c r="BD175">
        <v>100</v>
      </c>
      <c r="BE175">
        <v>100</v>
      </c>
      <c r="BF175">
        <v>100</v>
      </c>
      <c r="BG175">
        <v>100</v>
      </c>
      <c r="BH175">
        <v>100</v>
      </c>
      <c r="BI175">
        <v>100</v>
      </c>
      <c r="BJ175">
        <v>100</v>
      </c>
      <c r="BK175">
        <v>100</v>
      </c>
      <c r="BL175">
        <v>100</v>
      </c>
      <c r="BM175">
        <v>100</v>
      </c>
      <c r="BN175">
        <v>100</v>
      </c>
      <c r="BO175">
        <v>100</v>
      </c>
      <c r="BP175">
        <v>100</v>
      </c>
    </row>
    <row r="176" spans="1:68" x14ac:dyDescent="0.3">
      <c r="A176" t="s">
        <v>162</v>
      </c>
      <c r="B176" t="s">
        <v>571</v>
      </c>
      <c r="C176" t="s">
        <v>715</v>
      </c>
      <c r="D176" t="s">
        <v>716</v>
      </c>
      <c r="AK176">
        <v>26.4</v>
      </c>
      <c r="AL176">
        <v>27</v>
      </c>
      <c r="AM176">
        <v>28.932588577270501</v>
      </c>
      <c r="AN176">
        <v>29.9521484375</v>
      </c>
      <c r="AO176">
        <v>30.968988418579102</v>
      </c>
      <c r="AP176">
        <v>31.982429504394499</v>
      </c>
      <c r="AQ176">
        <v>32.991790771484403</v>
      </c>
      <c r="AR176">
        <v>33.996311187744098</v>
      </c>
      <c r="AS176">
        <v>36.5</v>
      </c>
      <c r="AT176">
        <v>36</v>
      </c>
      <c r="AU176">
        <v>36.9</v>
      </c>
      <c r="AV176">
        <v>37.799999999999997</v>
      </c>
      <c r="AW176">
        <v>38.700000000000003</v>
      </c>
      <c r="AX176">
        <v>39.6</v>
      </c>
      <c r="AY176">
        <v>40.5</v>
      </c>
      <c r="AZ176">
        <v>43.7</v>
      </c>
      <c r="BA176">
        <v>42.4</v>
      </c>
      <c r="BB176">
        <v>44.1</v>
      </c>
      <c r="BC176">
        <v>44.4</v>
      </c>
      <c r="BD176">
        <v>42.3</v>
      </c>
      <c r="BE176">
        <v>46.4</v>
      </c>
      <c r="BF176">
        <v>47.4</v>
      </c>
      <c r="BG176">
        <v>48.4</v>
      </c>
      <c r="BH176">
        <v>51.6</v>
      </c>
      <c r="BI176">
        <v>49.7</v>
      </c>
      <c r="BJ176">
        <v>52.5</v>
      </c>
      <c r="BK176">
        <v>52.3</v>
      </c>
      <c r="BL176">
        <v>53.3</v>
      </c>
      <c r="BM176">
        <v>52.3</v>
      </c>
      <c r="BN176">
        <v>55.2</v>
      </c>
      <c r="BO176">
        <v>56.2</v>
      </c>
      <c r="BP176">
        <v>56.7</v>
      </c>
    </row>
    <row r="177" spans="1:68" x14ac:dyDescent="0.3">
      <c r="A177" t="s">
        <v>572</v>
      </c>
      <c r="B177" t="s">
        <v>573</v>
      </c>
      <c r="C177" t="s">
        <v>715</v>
      </c>
      <c r="D177" t="s">
        <v>716</v>
      </c>
      <c r="AI177">
        <v>99.844306945800795</v>
      </c>
      <c r="AJ177">
        <v>99.875816345214801</v>
      </c>
      <c r="AK177">
        <v>99.906867980957003</v>
      </c>
      <c r="AL177">
        <v>99.937255859375</v>
      </c>
      <c r="AM177">
        <v>99.965080261230497</v>
      </c>
      <c r="AN177">
        <v>100</v>
      </c>
      <c r="AO177">
        <v>100</v>
      </c>
      <c r="AP177">
        <v>100</v>
      </c>
      <c r="AQ177">
        <v>100</v>
      </c>
      <c r="AR177">
        <v>100</v>
      </c>
      <c r="AS177">
        <v>100</v>
      </c>
      <c r="AT177">
        <v>100</v>
      </c>
      <c r="AU177">
        <v>100</v>
      </c>
      <c r="AV177">
        <v>100</v>
      </c>
      <c r="AW177">
        <v>100</v>
      </c>
      <c r="AX177">
        <v>100</v>
      </c>
      <c r="AY177">
        <v>100</v>
      </c>
      <c r="AZ177">
        <v>100</v>
      </c>
      <c r="BA177">
        <v>100</v>
      </c>
      <c r="BB177">
        <v>100</v>
      </c>
      <c r="BC177">
        <v>100</v>
      </c>
      <c r="BD177">
        <v>100</v>
      </c>
      <c r="BE177">
        <v>100</v>
      </c>
      <c r="BF177">
        <v>100</v>
      </c>
      <c r="BG177">
        <v>100</v>
      </c>
      <c r="BH177">
        <v>100</v>
      </c>
      <c r="BI177">
        <v>100</v>
      </c>
      <c r="BJ177">
        <v>100</v>
      </c>
      <c r="BK177">
        <v>100</v>
      </c>
      <c r="BL177">
        <v>100</v>
      </c>
      <c r="BM177">
        <v>100</v>
      </c>
      <c r="BN177">
        <v>100</v>
      </c>
      <c r="BO177">
        <v>100</v>
      </c>
      <c r="BP177">
        <v>100</v>
      </c>
    </row>
    <row r="178" spans="1:68" x14ac:dyDescent="0.3">
      <c r="A178" t="s">
        <v>164</v>
      </c>
      <c r="B178" t="s">
        <v>574</v>
      </c>
      <c r="C178" t="s">
        <v>715</v>
      </c>
      <c r="D178" t="s">
        <v>716</v>
      </c>
      <c r="AK178">
        <v>4.4000000000000004</v>
      </c>
      <c r="AL178">
        <v>4.0121397972106898</v>
      </c>
      <c r="AM178">
        <v>4.57177639007568</v>
      </c>
      <c r="AN178">
        <v>6.2</v>
      </c>
      <c r="AO178">
        <v>7</v>
      </c>
      <c r="AP178">
        <v>6.2357277870178196</v>
      </c>
      <c r="AQ178">
        <v>6.7</v>
      </c>
      <c r="AR178">
        <v>7.3256821632385298</v>
      </c>
      <c r="AS178">
        <v>6.5</v>
      </c>
      <c r="AT178">
        <v>8.4</v>
      </c>
      <c r="AU178">
        <v>8.8000000000000007</v>
      </c>
      <c r="AV178">
        <v>9.3000000000000007</v>
      </c>
      <c r="AW178">
        <v>9.6999999999999993</v>
      </c>
      <c r="AX178">
        <v>7.1</v>
      </c>
      <c r="AY178">
        <v>9.3000000000000007</v>
      </c>
      <c r="AZ178">
        <v>11.2</v>
      </c>
      <c r="BA178">
        <v>11.8</v>
      </c>
      <c r="BB178">
        <v>12.3</v>
      </c>
      <c r="BC178">
        <v>13.6</v>
      </c>
      <c r="BD178">
        <v>14.3</v>
      </c>
      <c r="BE178">
        <v>14.4</v>
      </c>
      <c r="BF178">
        <v>15.2</v>
      </c>
      <c r="BG178">
        <v>15.7</v>
      </c>
      <c r="BH178">
        <v>16.600000000000001</v>
      </c>
      <c r="BI178">
        <v>17</v>
      </c>
      <c r="BJ178">
        <v>17.600000000000001</v>
      </c>
      <c r="BK178">
        <v>17.600000000000001</v>
      </c>
      <c r="BL178">
        <v>18.5</v>
      </c>
      <c r="BM178">
        <v>18.7</v>
      </c>
      <c r="BN178">
        <v>18.600000000000001</v>
      </c>
      <c r="BO178">
        <v>19.5</v>
      </c>
      <c r="BP178">
        <v>20.100000000000001</v>
      </c>
    </row>
    <row r="179" spans="1:68" x14ac:dyDescent="0.3">
      <c r="A179" t="s">
        <v>166</v>
      </c>
      <c r="B179" t="s">
        <v>575</v>
      </c>
      <c r="C179" t="s">
        <v>715</v>
      </c>
      <c r="D179" t="s">
        <v>716</v>
      </c>
      <c r="AI179">
        <v>27.3</v>
      </c>
      <c r="AJ179">
        <v>35.2346000671387</v>
      </c>
      <c r="AK179">
        <v>36.099460601806598</v>
      </c>
      <c r="AL179">
        <v>36.963645935058601</v>
      </c>
      <c r="AM179">
        <v>37.826469421386697</v>
      </c>
      <c r="AN179">
        <v>38.687252044677699</v>
      </c>
      <c r="AO179">
        <v>39.545318603515597</v>
      </c>
      <c r="AP179">
        <v>40.399982452392599</v>
      </c>
      <c r="AQ179">
        <v>41.250568389892599</v>
      </c>
      <c r="AR179">
        <v>44.9</v>
      </c>
      <c r="AS179">
        <v>43.2</v>
      </c>
      <c r="AT179">
        <v>43.9</v>
      </c>
      <c r="AU179">
        <v>44.6</v>
      </c>
      <c r="AV179">
        <v>52.2</v>
      </c>
      <c r="AW179">
        <v>46.1</v>
      </c>
      <c r="AX179">
        <v>46.8</v>
      </c>
      <c r="AY179">
        <v>47.6</v>
      </c>
      <c r="AZ179">
        <v>50.1</v>
      </c>
      <c r="BA179">
        <v>50.3</v>
      </c>
      <c r="BB179">
        <v>50</v>
      </c>
      <c r="BC179">
        <v>48</v>
      </c>
      <c r="BD179">
        <v>55.9</v>
      </c>
      <c r="BE179">
        <v>53</v>
      </c>
      <c r="BF179">
        <v>55.6</v>
      </c>
      <c r="BG179">
        <v>54.2</v>
      </c>
      <c r="BH179">
        <v>52.5</v>
      </c>
      <c r="BI179">
        <v>59.3</v>
      </c>
      <c r="BJ179">
        <v>54.4</v>
      </c>
      <c r="BK179">
        <v>56.5</v>
      </c>
      <c r="BL179">
        <v>55.4</v>
      </c>
      <c r="BM179">
        <v>55.4</v>
      </c>
      <c r="BN179">
        <v>59.5</v>
      </c>
      <c r="BO179">
        <v>60.5</v>
      </c>
      <c r="BP179">
        <v>61.2</v>
      </c>
    </row>
    <row r="180" spans="1:68" x14ac:dyDescent="0.3">
      <c r="A180" t="s">
        <v>167</v>
      </c>
      <c r="B180" t="s">
        <v>576</v>
      </c>
      <c r="C180" t="s">
        <v>715</v>
      </c>
      <c r="D180" t="s">
        <v>716</v>
      </c>
      <c r="AL180">
        <v>72.064173999999994</v>
      </c>
      <c r="AM180">
        <v>69.253829956054702</v>
      </c>
      <c r="AN180">
        <v>69.849906921386705</v>
      </c>
      <c r="AO180">
        <v>70.443260192871094</v>
      </c>
      <c r="AP180">
        <v>71.033210754394503</v>
      </c>
      <c r="AQ180">
        <v>69.047103000000007</v>
      </c>
      <c r="AR180">
        <v>72.200126647949205</v>
      </c>
      <c r="AS180">
        <v>73</v>
      </c>
      <c r="AT180">
        <v>72.2</v>
      </c>
      <c r="AU180">
        <v>74.099999999999994</v>
      </c>
      <c r="AV180">
        <v>74.599999999999994</v>
      </c>
      <c r="AW180">
        <v>75.2</v>
      </c>
      <c r="AX180">
        <v>73.8</v>
      </c>
      <c r="AY180">
        <v>76.3</v>
      </c>
      <c r="AZ180">
        <v>76.900000000000006</v>
      </c>
      <c r="BA180">
        <v>77.5</v>
      </c>
      <c r="BB180">
        <v>77.900000000000006</v>
      </c>
      <c r="BC180">
        <v>80.099999999999994</v>
      </c>
      <c r="BD180">
        <v>81.2</v>
      </c>
      <c r="BE180">
        <v>81.3</v>
      </c>
      <c r="BF180">
        <v>81.900000000000006</v>
      </c>
      <c r="BG180">
        <v>81.900000000000006</v>
      </c>
      <c r="BH180">
        <v>83.2</v>
      </c>
      <c r="BI180">
        <v>83.9</v>
      </c>
      <c r="BJ180">
        <v>84.6</v>
      </c>
      <c r="BK180">
        <v>85.2</v>
      </c>
      <c r="BL180">
        <v>85.7</v>
      </c>
      <c r="BM180">
        <v>86</v>
      </c>
      <c r="BN180">
        <v>86.3</v>
      </c>
      <c r="BO180">
        <v>86.5</v>
      </c>
      <c r="BP180">
        <v>88.3</v>
      </c>
    </row>
    <row r="181" spans="1:68" x14ac:dyDescent="0.3">
      <c r="A181" t="s">
        <v>169</v>
      </c>
      <c r="B181" t="s">
        <v>577</v>
      </c>
      <c r="C181" t="s">
        <v>715</v>
      </c>
      <c r="D181" t="s">
        <v>716</v>
      </c>
      <c r="AI181">
        <v>100</v>
      </c>
      <c r="AJ181">
        <v>100</v>
      </c>
      <c r="AK181">
        <v>100</v>
      </c>
      <c r="AL181">
        <v>100</v>
      </c>
      <c r="AM181">
        <v>100</v>
      </c>
      <c r="AN181">
        <v>100</v>
      </c>
      <c r="AO181">
        <v>100</v>
      </c>
      <c r="AP181">
        <v>100</v>
      </c>
      <c r="AQ181">
        <v>100</v>
      </c>
      <c r="AR181">
        <v>100</v>
      </c>
      <c r="AS181">
        <v>100</v>
      </c>
      <c r="AT181">
        <v>100</v>
      </c>
      <c r="AU181">
        <v>100</v>
      </c>
      <c r="AV181">
        <v>100</v>
      </c>
      <c r="AW181">
        <v>100</v>
      </c>
      <c r="AX181">
        <v>100</v>
      </c>
      <c r="AY181">
        <v>100</v>
      </c>
      <c r="AZ181">
        <v>100</v>
      </c>
      <c r="BA181">
        <v>100</v>
      </c>
      <c r="BB181">
        <v>100</v>
      </c>
      <c r="BC181">
        <v>100</v>
      </c>
      <c r="BD181">
        <v>100</v>
      </c>
      <c r="BE181">
        <v>100</v>
      </c>
      <c r="BF181">
        <v>100</v>
      </c>
      <c r="BG181">
        <v>100</v>
      </c>
      <c r="BH181">
        <v>100</v>
      </c>
      <c r="BI181">
        <v>100</v>
      </c>
      <c r="BJ181">
        <v>100</v>
      </c>
      <c r="BK181">
        <v>100</v>
      </c>
      <c r="BL181">
        <v>100</v>
      </c>
      <c r="BM181">
        <v>100</v>
      </c>
      <c r="BN181">
        <v>100</v>
      </c>
      <c r="BO181">
        <v>100</v>
      </c>
      <c r="BP181">
        <v>100</v>
      </c>
    </row>
    <row r="182" spans="1:68" x14ac:dyDescent="0.3">
      <c r="A182" t="s">
        <v>171</v>
      </c>
      <c r="B182" t="s">
        <v>578</v>
      </c>
      <c r="C182" t="s">
        <v>715</v>
      </c>
      <c r="D182" t="s">
        <v>716</v>
      </c>
      <c r="AI182">
        <v>100</v>
      </c>
      <c r="AJ182">
        <v>100</v>
      </c>
      <c r="AK182">
        <v>100</v>
      </c>
      <c r="AL182">
        <v>100</v>
      </c>
      <c r="AM182">
        <v>100</v>
      </c>
      <c r="AN182">
        <v>100</v>
      </c>
      <c r="AO182">
        <v>100</v>
      </c>
      <c r="AP182">
        <v>100</v>
      </c>
      <c r="AQ182">
        <v>100</v>
      </c>
      <c r="AR182">
        <v>100</v>
      </c>
      <c r="AS182">
        <v>100</v>
      </c>
      <c r="AT182">
        <v>100</v>
      </c>
      <c r="AU182">
        <v>100</v>
      </c>
      <c r="AV182">
        <v>100</v>
      </c>
      <c r="AW182">
        <v>100</v>
      </c>
      <c r="AX182">
        <v>100</v>
      </c>
      <c r="AY182">
        <v>100</v>
      </c>
      <c r="AZ182">
        <v>100</v>
      </c>
      <c r="BA182">
        <v>100</v>
      </c>
      <c r="BB182">
        <v>100</v>
      </c>
      <c r="BC182">
        <v>100</v>
      </c>
      <c r="BD182">
        <v>100</v>
      </c>
      <c r="BE182">
        <v>100</v>
      </c>
      <c r="BF182">
        <v>100</v>
      </c>
      <c r="BG182">
        <v>100</v>
      </c>
      <c r="BH182">
        <v>100</v>
      </c>
      <c r="BI182">
        <v>100</v>
      </c>
      <c r="BJ182">
        <v>100</v>
      </c>
      <c r="BK182">
        <v>100</v>
      </c>
      <c r="BL182">
        <v>100</v>
      </c>
      <c r="BM182">
        <v>100</v>
      </c>
      <c r="BN182">
        <v>100</v>
      </c>
      <c r="BO182">
        <v>100</v>
      </c>
      <c r="BP182">
        <v>100</v>
      </c>
    </row>
    <row r="183" spans="1:68" x14ac:dyDescent="0.3">
      <c r="A183" t="s">
        <v>173</v>
      </c>
      <c r="B183" t="s">
        <v>579</v>
      </c>
      <c r="C183" t="s">
        <v>715</v>
      </c>
      <c r="D183" t="s">
        <v>716</v>
      </c>
      <c r="AO183">
        <v>17.899999999999999</v>
      </c>
      <c r="AP183">
        <v>18.132867813110401</v>
      </c>
      <c r="AQ183">
        <v>21.7325325012207</v>
      </c>
      <c r="AR183">
        <v>25.327354431152301</v>
      </c>
      <c r="AS183">
        <v>29.9</v>
      </c>
      <c r="AT183">
        <v>24.6</v>
      </c>
      <c r="AU183">
        <v>36.4</v>
      </c>
      <c r="AV183">
        <v>39.6</v>
      </c>
      <c r="AW183">
        <v>37.200000000000003</v>
      </c>
      <c r="AX183">
        <v>46.1</v>
      </c>
      <c r="AY183">
        <v>51.2</v>
      </c>
      <c r="AZ183">
        <v>52.6</v>
      </c>
      <c r="BA183">
        <v>56</v>
      </c>
      <c r="BB183">
        <v>59.3</v>
      </c>
      <c r="BC183">
        <v>68.599999999999994</v>
      </c>
      <c r="BD183">
        <v>67.3</v>
      </c>
      <c r="BE183">
        <v>75.2</v>
      </c>
      <c r="BF183">
        <v>77.400000000000006</v>
      </c>
      <c r="BG183">
        <v>84.9</v>
      </c>
      <c r="BH183">
        <v>82</v>
      </c>
      <c r="BI183">
        <v>90.7</v>
      </c>
      <c r="BJ183">
        <v>86.6</v>
      </c>
      <c r="BK183">
        <v>93.9</v>
      </c>
      <c r="BL183">
        <v>89.9</v>
      </c>
      <c r="BM183">
        <v>89.9</v>
      </c>
      <c r="BN183">
        <v>89.9</v>
      </c>
      <c r="BO183">
        <v>91.3</v>
      </c>
      <c r="BP183">
        <v>94</v>
      </c>
    </row>
    <row r="184" spans="1:68" x14ac:dyDescent="0.3">
      <c r="A184" t="s">
        <v>580</v>
      </c>
      <c r="B184" t="s">
        <v>581</v>
      </c>
      <c r="C184" t="s">
        <v>715</v>
      </c>
      <c r="D184" t="s">
        <v>716</v>
      </c>
      <c r="AI184">
        <v>98.999084472656307</v>
      </c>
      <c r="AJ184">
        <v>99.041305541992202</v>
      </c>
      <c r="AK184">
        <v>99.083419799804702</v>
      </c>
      <c r="AL184">
        <v>99.124855041503906</v>
      </c>
      <c r="AM184">
        <v>99.164924621582003</v>
      </c>
      <c r="AN184">
        <v>99.202957153320298</v>
      </c>
      <c r="AO184">
        <v>99.238265991210895</v>
      </c>
      <c r="AP184">
        <v>99.270179748535199</v>
      </c>
      <c r="AQ184">
        <v>99.298011779785199</v>
      </c>
      <c r="AR184">
        <v>99.321006774902301</v>
      </c>
      <c r="AS184">
        <v>99.1</v>
      </c>
      <c r="AT184">
        <v>99</v>
      </c>
      <c r="AU184">
        <v>99</v>
      </c>
      <c r="AV184">
        <v>99</v>
      </c>
      <c r="AW184">
        <v>99</v>
      </c>
      <c r="AX184">
        <v>99</v>
      </c>
      <c r="AY184">
        <v>99</v>
      </c>
      <c r="AZ184">
        <v>99.8</v>
      </c>
      <c r="BA184">
        <v>99.1</v>
      </c>
      <c r="BB184">
        <v>99.1</v>
      </c>
      <c r="BC184">
        <v>99.2</v>
      </c>
      <c r="BD184">
        <v>99</v>
      </c>
      <c r="BE184">
        <v>99.4</v>
      </c>
      <c r="BF184">
        <v>99.4</v>
      </c>
      <c r="BG184">
        <v>99.5</v>
      </c>
      <c r="BH184">
        <v>99</v>
      </c>
      <c r="BI184">
        <v>99.7</v>
      </c>
      <c r="BJ184">
        <v>99.8</v>
      </c>
      <c r="BK184">
        <v>99.9</v>
      </c>
      <c r="BL184">
        <v>100</v>
      </c>
      <c r="BM184">
        <v>100</v>
      </c>
      <c r="BN184">
        <v>100</v>
      </c>
      <c r="BO184">
        <v>100</v>
      </c>
      <c r="BP184">
        <v>100</v>
      </c>
    </row>
    <row r="185" spans="1:68" x14ac:dyDescent="0.3">
      <c r="A185" t="s">
        <v>175</v>
      </c>
      <c r="B185" t="s">
        <v>582</v>
      </c>
      <c r="C185" t="s">
        <v>715</v>
      </c>
      <c r="D185" t="s">
        <v>716</v>
      </c>
      <c r="AI185">
        <v>100</v>
      </c>
      <c r="AJ185">
        <v>100</v>
      </c>
      <c r="AK185">
        <v>100</v>
      </c>
      <c r="AL185">
        <v>100</v>
      </c>
      <c r="AM185">
        <v>100</v>
      </c>
      <c r="AN185">
        <v>100</v>
      </c>
      <c r="AO185">
        <v>100</v>
      </c>
      <c r="AP185">
        <v>100</v>
      </c>
      <c r="AQ185">
        <v>100</v>
      </c>
      <c r="AR185">
        <v>100</v>
      </c>
      <c r="AS185">
        <v>100</v>
      </c>
      <c r="AT185">
        <v>100</v>
      </c>
      <c r="AU185">
        <v>100</v>
      </c>
      <c r="AV185">
        <v>100</v>
      </c>
      <c r="AW185">
        <v>100</v>
      </c>
      <c r="AX185">
        <v>100</v>
      </c>
      <c r="AY185">
        <v>100</v>
      </c>
      <c r="AZ185">
        <v>100</v>
      </c>
      <c r="BA185">
        <v>100</v>
      </c>
      <c r="BB185">
        <v>100</v>
      </c>
      <c r="BC185">
        <v>100</v>
      </c>
      <c r="BD185">
        <v>100</v>
      </c>
      <c r="BE185">
        <v>100</v>
      </c>
      <c r="BF185">
        <v>100</v>
      </c>
      <c r="BG185">
        <v>100</v>
      </c>
      <c r="BH185">
        <v>100</v>
      </c>
      <c r="BI185">
        <v>100</v>
      </c>
      <c r="BJ185">
        <v>100</v>
      </c>
      <c r="BK185">
        <v>100</v>
      </c>
      <c r="BL185">
        <v>100</v>
      </c>
      <c r="BM185">
        <v>100</v>
      </c>
      <c r="BN185">
        <v>100</v>
      </c>
      <c r="BO185">
        <v>100</v>
      </c>
      <c r="BP185">
        <v>100</v>
      </c>
    </row>
    <row r="186" spans="1:68" x14ac:dyDescent="0.3">
      <c r="A186" t="s">
        <v>583</v>
      </c>
      <c r="B186" t="s">
        <v>584</v>
      </c>
      <c r="C186" t="s">
        <v>715</v>
      </c>
      <c r="D186" t="s">
        <v>716</v>
      </c>
      <c r="AI186">
        <v>99.54780132702065</v>
      </c>
      <c r="AJ186">
        <v>99.645428388724511</v>
      </c>
      <c r="AK186">
        <v>99.125821232237556</v>
      </c>
      <c r="AL186">
        <v>99.324175746865961</v>
      </c>
      <c r="AM186">
        <v>99.313242069654223</v>
      </c>
      <c r="AN186">
        <v>99.314399110461338</v>
      </c>
      <c r="AO186">
        <v>99.391857598382586</v>
      </c>
      <c r="AP186">
        <v>99.423877241625433</v>
      </c>
      <c r="AQ186">
        <v>99.421150146142793</v>
      </c>
      <c r="AR186">
        <v>99.474356572682993</v>
      </c>
      <c r="AS186">
        <v>99.635529128515927</v>
      </c>
      <c r="AT186">
        <v>99.660522586906424</v>
      </c>
      <c r="AU186">
        <v>99.603495589927434</v>
      </c>
      <c r="AV186">
        <v>99.582720840845795</v>
      </c>
      <c r="AW186">
        <v>99.666228773057043</v>
      </c>
      <c r="AX186">
        <v>99.739073442757274</v>
      </c>
      <c r="AY186">
        <v>99.739652681262271</v>
      </c>
      <c r="AZ186">
        <v>99.628785527607278</v>
      </c>
      <c r="BA186">
        <v>99.743964792372566</v>
      </c>
      <c r="BB186">
        <v>99.691772758599342</v>
      </c>
      <c r="BC186">
        <v>99.807626214708179</v>
      </c>
      <c r="BD186">
        <v>99.787211688209354</v>
      </c>
      <c r="BE186">
        <v>99.812946774954852</v>
      </c>
      <c r="BF186">
        <v>99.835031666374491</v>
      </c>
      <c r="BG186">
        <v>99.848025881050731</v>
      </c>
      <c r="BH186">
        <v>99.839357743703616</v>
      </c>
      <c r="BI186">
        <v>99.895937006692918</v>
      </c>
      <c r="BJ186">
        <v>99.940859034095723</v>
      </c>
      <c r="BK186">
        <v>99.898773434204884</v>
      </c>
      <c r="BL186">
        <v>99.940072907720406</v>
      </c>
      <c r="BM186">
        <v>99.932980364211431</v>
      </c>
      <c r="BN186">
        <v>100</v>
      </c>
      <c r="BO186">
        <v>100</v>
      </c>
      <c r="BP186">
        <v>99.922980524121499</v>
      </c>
    </row>
    <row r="187" spans="1:68" x14ac:dyDescent="0.3">
      <c r="A187" t="s">
        <v>177</v>
      </c>
      <c r="B187" t="s">
        <v>585</v>
      </c>
      <c r="C187" t="s">
        <v>715</v>
      </c>
      <c r="D187" t="s">
        <v>716</v>
      </c>
      <c r="AI187">
        <v>100</v>
      </c>
      <c r="AJ187">
        <v>100</v>
      </c>
      <c r="AK187">
        <v>100</v>
      </c>
      <c r="AL187">
        <v>100</v>
      </c>
      <c r="AM187">
        <v>100</v>
      </c>
      <c r="AN187">
        <v>100</v>
      </c>
      <c r="AO187">
        <v>100</v>
      </c>
      <c r="AP187">
        <v>100</v>
      </c>
      <c r="AQ187">
        <v>100</v>
      </c>
      <c r="AR187">
        <v>100</v>
      </c>
      <c r="AS187">
        <v>100</v>
      </c>
      <c r="AT187">
        <v>100</v>
      </c>
      <c r="AU187">
        <v>100</v>
      </c>
      <c r="AV187">
        <v>100</v>
      </c>
      <c r="AW187">
        <v>100</v>
      </c>
      <c r="AX187">
        <v>99.9</v>
      </c>
      <c r="AY187">
        <v>99.9</v>
      </c>
      <c r="AZ187">
        <v>100</v>
      </c>
      <c r="BA187">
        <v>100</v>
      </c>
      <c r="BB187">
        <v>100</v>
      </c>
      <c r="BC187">
        <v>100</v>
      </c>
      <c r="BD187">
        <v>100</v>
      </c>
      <c r="BE187">
        <v>100</v>
      </c>
      <c r="BF187">
        <v>100</v>
      </c>
      <c r="BG187">
        <v>100</v>
      </c>
      <c r="BH187">
        <v>100</v>
      </c>
      <c r="BI187">
        <v>100</v>
      </c>
      <c r="BJ187">
        <v>100</v>
      </c>
      <c r="BK187">
        <v>100</v>
      </c>
      <c r="BL187">
        <v>100</v>
      </c>
      <c r="BM187">
        <v>100</v>
      </c>
      <c r="BN187">
        <v>100</v>
      </c>
      <c r="BO187">
        <v>100</v>
      </c>
      <c r="BP187">
        <v>100</v>
      </c>
    </row>
    <row r="188" spans="1:68" x14ac:dyDescent="0.3">
      <c r="A188" t="s">
        <v>586</v>
      </c>
      <c r="B188" t="s">
        <v>587</v>
      </c>
      <c r="C188" t="s">
        <v>715</v>
      </c>
      <c r="D188" t="s">
        <v>716</v>
      </c>
      <c r="AS188">
        <v>71.119393429134021</v>
      </c>
      <c r="AT188">
        <v>72.865537636777901</v>
      </c>
      <c r="AU188">
        <v>72.125944862212762</v>
      </c>
      <c r="AV188">
        <v>73.169537011187543</v>
      </c>
      <c r="AW188">
        <v>74.526041602887418</v>
      </c>
      <c r="AX188">
        <v>75.798475683416655</v>
      </c>
      <c r="AY188">
        <v>76.182709837386781</v>
      </c>
      <c r="AZ188">
        <v>77.657385093610515</v>
      </c>
      <c r="BA188">
        <v>78.466264103385555</v>
      </c>
      <c r="BB188">
        <v>78.921219862438619</v>
      </c>
      <c r="BC188">
        <v>79.843277855698275</v>
      </c>
      <c r="BD188">
        <v>82.376316904345487</v>
      </c>
      <c r="BE188">
        <v>83.215966304491729</v>
      </c>
      <c r="BF188">
        <v>84.068745779586237</v>
      </c>
      <c r="BG188">
        <v>85.543691964593833</v>
      </c>
      <c r="BH188">
        <v>86.452033048186891</v>
      </c>
      <c r="BI188">
        <v>87.854404131044433</v>
      </c>
      <c r="BJ188">
        <v>89.328002687714871</v>
      </c>
      <c r="BK188">
        <v>90.472453074168044</v>
      </c>
      <c r="BL188">
        <v>91.803551313326182</v>
      </c>
      <c r="BM188">
        <v>92.838498500442881</v>
      </c>
      <c r="BN188">
        <v>93.856072821247253</v>
      </c>
      <c r="BO188">
        <v>93.960531781820706</v>
      </c>
      <c r="BP188">
        <v>94.504076065077243</v>
      </c>
    </row>
    <row r="189" spans="1:68" x14ac:dyDescent="0.3">
      <c r="A189" t="s">
        <v>179</v>
      </c>
      <c r="B189" t="s">
        <v>588</v>
      </c>
      <c r="C189" t="s">
        <v>715</v>
      </c>
      <c r="D189" t="s">
        <v>716</v>
      </c>
      <c r="AQ189">
        <v>70.459999999999994</v>
      </c>
      <c r="AR189">
        <v>70.265350341796903</v>
      </c>
      <c r="AS189">
        <v>72.8</v>
      </c>
      <c r="AT189">
        <v>73.900000000000006</v>
      </c>
      <c r="AU189">
        <v>74.900000000000006</v>
      </c>
      <c r="AV189">
        <v>76</v>
      </c>
      <c r="AW189">
        <v>77</v>
      </c>
      <c r="AX189">
        <v>78.099999999999994</v>
      </c>
      <c r="AY189">
        <v>79.099999999999994</v>
      </c>
      <c r="AZ189">
        <v>80.2</v>
      </c>
      <c r="BA189">
        <v>81.400000000000006</v>
      </c>
      <c r="BB189">
        <v>82.5</v>
      </c>
      <c r="BC189">
        <v>87.1</v>
      </c>
      <c r="BD189">
        <v>87.8</v>
      </c>
      <c r="BE189">
        <v>88.6</v>
      </c>
      <c r="BF189">
        <v>89.3</v>
      </c>
      <c r="BG189">
        <v>90.1</v>
      </c>
      <c r="BH189">
        <v>91</v>
      </c>
      <c r="BI189">
        <v>91.8</v>
      </c>
      <c r="BJ189">
        <v>92.7</v>
      </c>
      <c r="BK189">
        <v>93.4</v>
      </c>
      <c r="BL189">
        <v>93.9</v>
      </c>
      <c r="BM189">
        <v>94.5</v>
      </c>
      <c r="BN189">
        <v>94.9</v>
      </c>
      <c r="BO189">
        <v>95</v>
      </c>
      <c r="BP189">
        <v>95.6</v>
      </c>
    </row>
    <row r="190" spans="1:68" x14ac:dyDescent="0.3">
      <c r="A190" t="s">
        <v>181</v>
      </c>
      <c r="B190" t="s">
        <v>589</v>
      </c>
      <c r="C190" t="s">
        <v>715</v>
      </c>
      <c r="D190" t="s">
        <v>716</v>
      </c>
      <c r="AI190">
        <v>70.19</v>
      </c>
      <c r="AJ190">
        <v>73.443130493164105</v>
      </c>
      <c r="AK190">
        <v>74.255638122558594</v>
      </c>
      <c r="AL190">
        <v>75.067459106445298</v>
      </c>
      <c r="AM190">
        <v>75.877922058105497</v>
      </c>
      <c r="AN190">
        <v>76.686340332031307</v>
      </c>
      <c r="AO190">
        <v>77.492042541503906</v>
      </c>
      <c r="AP190">
        <v>78.294349670410199</v>
      </c>
      <c r="AQ190">
        <v>79.092575073242202</v>
      </c>
      <c r="AR190">
        <v>79.885955810546903</v>
      </c>
      <c r="AS190">
        <v>81.400000000000006</v>
      </c>
      <c r="AT190">
        <v>81.5</v>
      </c>
      <c r="AU190">
        <v>82.1</v>
      </c>
      <c r="AV190">
        <v>87.8</v>
      </c>
      <c r="AW190">
        <v>83.4</v>
      </c>
      <c r="AX190">
        <v>84.1</v>
      </c>
      <c r="AY190">
        <v>84.8</v>
      </c>
      <c r="AZ190">
        <v>85.5</v>
      </c>
      <c r="BA190">
        <v>86.3</v>
      </c>
      <c r="BB190">
        <v>87</v>
      </c>
      <c r="BC190">
        <v>86.9</v>
      </c>
      <c r="BD190">
        <v>88.6</v>
      </c>
      <c r="BE190">
        <v>89.3</v>
      </c>
      <c r="BF190">
        <v>89.1</v>
      </c>
      <c r="BG190">
        <v>90.8</v>
      </c>
      <c r="BH190">
        <v>91.6</v>
      </c>
      <c r="BI190">
        <v>92.4</v>
      </c>
      <c r="BJ190">
        <v>93.7</v>
      </c>
      <c r="BK190">
        <v>93.8</v>
      </c>
      <c r="BL190">
        <v>93.9</v>
      </c>
      <c r="BM190">
        <v>95.3</v>
      </c>
      <c r="BN190">
        <v>95.3</v>
      </c>
      <c r="BO190">
        <v>95</v>
      </c>
      <c r="BP190">
        <v>97</v>
      </c>
    </row>
    <row r="191" spans="1:68" x14ac:dyDescent="0.3">
      <c r="A191" t="s">
        <v>183</v>
      </c>
      <c r="B191" t="s">
        <v>590</v>
      </c>
      <c r="C191" t="s">
        <v>715</v>
      </c>
      <c r="D191" t="s">
        <v>716</v>
      </c>
      <c r="AK191">
        <v>70.099999999999994</v>
      </c>
      <c r="AL191">
        <v>64.748992919921903</v>
      </c>
      <c r="AM191">
        <v>66.052932739257798</v>
      </c>
      <c r="AN191">
        <v>67.354835510253906</v>
      </c>
      <c r="AO191">
        <v>67</v>
      </c>
      <c r="AP191">
        <v>69.160240000000002</v>
      </c>
      <c r="AQ191">
        <v>72.072063</v>
      </c>
      <c r="AR191">
        <v>74.078523000000004</v>
      </c>
      <c r="AS191">
        <v>72.5</v>
      </c>
      <c r="AT191">
        <v>72.099999999999994</v>
      </c>
      <c r="AU191">
        <v>74.400000000000006</v>
      </c>
      <c r="AV191">
        <v>74.400000000000006</v>
      </c>
      <c r="AW191">
        <v>75.7</v>
      </c>
      <c r="AX191">
        <v>77.2</v>
      </c>
      <c r="AY191">
        <v>80.2</v>
      </c>
      <c r="AZ191">
        <v>82</v>
      </c>
      <c r="BA191">
        <v>84.7</v>
      </c>
      <c r="BB191">
        <v>86.4</v>
      </c>
      <c r="BC191">
        <v>88.1</v>
      </c>
      <c r="BD191">
        <v>89.7</v>
      </c>
      <c r="BE191">
        <v>91.1</v>
      </c>
      <c r="BF191">
        <v>92.1</v>
      </c>
      <c r="BG191">
        <v>92.9</v>
      </c>
      <c r="BH191">
        <v>93.9</v>
      </c>
      <c r="BI191">
        <v>94.2</v>
      </c>
      <c r="BJ191">
        <v>94.8</v>
      </c>
      <c r="BK191">
        <v>95.2</v>
      </c>
      <c r="BL191">
        <v>95.6</v>
      </c>
      <c r="BM191">
        <v>96.2</v>
      </c>
      <c r="BN191">
        <v>95.6</v>
      </c>
      <c r="BO191">
        <v>96.2</v>
      </c>
      <c r="BP191">
        <v>96.2</v>
      </c>
    </row>
    <row r="192" spans="1:68" x14ac:dyDescent="0.3">
      <c r="A192" t="s">
        <v>185</v>
      </c>
      <c r="B192" t="s">
        <v>591</v>
      </c>
      <c r="C192" t="s">
        <v>715</v>
      </c>
      <c r="D192" t="s">
        <v>716</v>
      </c>
      <c r="AL192">
        <v>65.400000000000006</v>
      </c>
      <c r="AM192">
        <v>68.0185546875</v>
      </c>
      <c r="AN192">
        <v>69.133117675781307</v>
      </c>
      <c r="AO192">
        <v>70.244956970214801</v>
      </c>
      <c r="AP192">
        <v>71.3533935546875</v>
      </c>
      <c r="AQ192">
        <v>71.3</v>
      </c>
      <c r="AR192">
        <v>71.874170927516701</v>
      </c>
      <c r="AS192">
        <v>74.7</v>
      </c>
      <c r="AT192">
        <v>75.7</v>
      </c>
      <c r="AU192">
        <v>76.7</v>
      </c>
      <c r="AV192">
        <v>76.599999999999994</v>
      </c>
      <c r="AW192">
        <v>87.6</v>
      </c>
      <c r="AX192">
        <v>79.8</v>
      </c>
      <c r="AY192">
        <v>80.2</v>
      </c>
      <c r="AZ192">
        <v>82</v>
      </c>
      <c r="BA192">
        <v>83.3</v>
      </c>
      <c r="BB192">
        <v>84.3</v>
      </c>
      <c r="BC192">
        <v>85.5</v>
      </c>
      <c r="BD192">
        <v>87.2</v>
      </c>
      <c r="BE192">
        <v>87.1</v>
      </c>
      <c r="BF192">
        <v>87.5</v>
      </c>
      <c r="BG192">
        <v>89.8</v>
      </c>
      <c r="BH192">
        <v>89.1</v>
      </c>
      <c r="BI192">
        <v>92</v>
      </c>
      <c r="BJ192">
        <v>93</v>
      </c>
      <c r="BK192">
        <v>94.2</v>
      </c>
      <c r="BL192">
        <v>95.3</v>
      </c>
      <c r="BM192">
        <v>96.4</v>
      </c>
      <c r="BN192">
        <v>97.5</v>
      </c>
      <c r="BO192">
        <v>94.8</v>
      </c>
      <c r="BP192">
        <v>98</v>
      </c>
    </row>
    <row r="193" spans="1:68" x14ac:dyDescent="0.3">
      <c r="A193" t="s">
        <v>592</v>
      </c>
      <c r="B193" t="s">
        <v>593</v>
      </c>
      <c r="C193" t="s">
        <v>715</v>
      </c>
      <c r="D193" t="s">
        <v>716</v>
      </c>
      <c r="AI193">
        <v>96.625350952148395</v>
      </c>
      <c r="AJ193">
        <v>96.762702941894503</v>
      </c>
      <c r="AK193">
        <v>96.899932861328097</v>
      </c>
      <c r="AL193">
        <v>97.036491394042997</v>
      </c>
      <c r="AM193">
        <v>97.171684265136705</v>
      </c>
      <c r="AN193">
        <v>97.304840087890597</v>
      </c>
      <c r="AO193">
        <v>97.435272216796903</v>
      </c>
      <c r="AP193">
        <v>97.562309265136705</v>
      </c>
      <c r="AQ193">
        <v>97.685264587402301</v>
      </c>
      <c r="AR193">
        <v>97.803375244140597</v>
      </c>
      <c r="AS193">
        <v>97.9</v>
      </c>
      <c r="AT193">
        <v>98</v>
      </c>
      <c r="AU193">
        <v>98</v>
      </c>
      <c r="AV193">
        <v>98.1</v>
      </c>
      <c r="AW193">
        <v>98.1</v>
      </c>
      <c r="AX193">
        <v>98.9</v>
      </c>
      <c r="AY193">
        <v>98.3</v>
      </c>
      <c r="AZ193">
        <v>98.4</v>
      </c>
      <c r="BA193">
        <v>98.5</v>
      </c>
      <c r="BB193">
        <v>98.6</v>
      </c>
      <c r="BC193">
        <v>98.8</v>
      </c>
      <c r="BD193">
        <v>98.9</v>
      </c>
      <c r="BE193">
        <v>97.6</v>
      </c>
      <c r="BF193">
        <v>99.2</v>
      </c>
      <c r="BG193">
        <v>99.8</v>
      </c>
      <c r="BH193">
        <v>99.5</v>
      </c>
      <c r="BI193">
        <v>100</v>
      </c>
      <c r="BJ193">
        <v>100</v>
      </c>
      <c r="BK193">
        <v>100</v>
      </c>
      <c r="BL193">
        <v>100</v>
      </c>
      <c r="BM193">
        <v>100</v>
      </c>
      <c r="BN193">
        <v>100</v>
      </c>
      <c r="BO193">
        <v>100</v>
      </c>
      <c r="BP193">
        <v>100</v>
      </c>
    </row>
    <row r="194" spans="1:68" x14ac:dyDescent="0.3">
      <c r="A194" t="s">
        <v>594</v>
      </c>
      <c r="B194" t="s">
        <v>595</v>
      </c>
      <c r="C194" t="s">
        <v>715</v>
      </c>
      <c r="D194" t="s">
        <v>716</v>
      </c>
      <c r="AO194">
        <v>11</v>
      </c>
      <c r="AP194">
        <v>2.1584825515747101</v>
      </c>
      <c r="AQ194">
        <v>4.2950897216796902</v>
      </c>
      <c r="AR194">
        <v>6.4268550872802699</v>
      </c>
      <c r="AS194">
        <v>12.4</v>
      </c>
      <c r="AT194">
        <v>12.7</v>
      </c>
      <c r="AU194">
        <v>13.1</v>
      </c>
      <c r="AV194">
        <v>13.4</v>
      </c>
      <c r="AW194">
        <v>13.8</v>
      </c>
      <c r="AX194">
        <v>14.1</v>
      </c>
      <c r="AY194">
        <v>12.4</v>
      </c>
      <c r="AZ194">
        <v>14.9</v>
      </c>
      <c r="BA194">
        <v>15.3</v>
      </c>
      <c r="BB194">
        <v>17.2</v>
      </c>
      <c r="BC194">
        <v>19.5</v>
      </c>
      <c r="BD194">
        <v>17.3</v>
      </c>
      <c r="BE194">
        <v>17.5</v>
      </c>
      <c r="BF194">
        <v>17.8</v>
      </c>
      <c r="BG194">
        <v>18.100000000000001</v>
      </c>
      <c r="BH194">
        <v>18.399999999999999</v>
      </c>
      <c r="BI194">
        <v>13.5</v>
      </c>
      <c r="BJ194">
        <v>19.2</v>
      </c>
      <c r="BK194">
        <v>16.600000000000001</v>
      </c>
      <c r="BL194">
        <v>23.6</v>
      </c>
      <c r="BM194">
        <v>20.5</v>
      </c>
      <c r="BN194">
        <v>20.9</v>
      </c>
      <c r="BO194">
        <v>19</v>
      </c>
      <c r="BP194">
        <v>20.5</v>
      </c>
    </row>
    <row r="195" spans="1:68" x14ac:dyDescent="0.3">
      <c r="A195" t="s">
        <v>187</v>
      </c>
      <c r="B195" t="s">
        <v>596</v>
      </c>
      <c r="C195" t="s">
        <v>715</v>
      </c>
      <c r="D195" t="s">
        <v>716</v>
      </c>
      <c r="AI195">
        <v>100</v>
      </c>
      <c r="AJ195">
        <v>100</v>
      </c>
      <c r="AK195">
        <v>100</v>
      </c>
      <c r="AL195">
        <v>100</v>
      </c>
      <c r="AM195">
        <v>100</v>
      </c>
      <c r="AN195">
        <v>100</v>
      </c>
      <c r="AO195">
        <v>100</v>
      </c>
      <c r="AP195">
        <v>100</v>
      </c>
      <c r="AQ195">
        <v>100</v>
      </c>
      <c r="AR195">
        <v>100</v>
      </c>
      <c r="AS195">
        <v>100</v>
      </c>
      <c r="AT195">
        <v>100</v>
      </c>
      <c r="AU195">
        <v>100</v>
      </c>
      <c r="AV195">
        <v>99.9</v>
      </c>
      <c r="AW195">
        <v>99.9</v>
      </c>
      <c r="AX195">
        <v>99.8</v>
      </c>
      <c r="AY195">
        <v>99.8</v>
      </c>
      <c r="AZ195">
        <v>99.8</v>
      </c>
      <c r="BA195">
        <v>99.8</v>
      </c>
      <c r="BB195">
        <v>100</v>
      </c>
      <c r="BC195">
        <v>100</v>
      </c>
      <c r="BD195">
        <v>100</v>
      </c>
      <c r="BE195">
        <v>100</v>
      </c>
      <c r="BF195">
        <v>100</v>
      </c>
      <c r="BG195">
        <v>100</v>
      </c>
      <c r="BH195">
        <v>100</v>
      </c>
      <c r="BI195">
        <v>100</v>
      </c>
      <c r="BJ195">
        <v>100</v>
      </c>
      <c r="BK195">
        <v>100</v>
      </c>
      <c r="BL195">
        <v>100</v>
      </c>
      <c r="BM195">
        <v>100</v>
      </c>
      <c r="BN195">
        <v>100</v>
      </c>
      <c r="BO195">
        <v>100</v>
      </c>
      <c r="BP195">
        <v>100</v>
      </c>
    </row>
    <row r="196" spans="1:68" x14ac:dyDescent="0.3">
      <c r="A196" t="s">
        <v>597</v>
      </c>
      <c r="B196" t="s">
        <v>598</v>
      </c>
      <c r="C196" t="s">
        <v>715</v>
      </c>
      <c r="D196" t="s">
        <v>716</v>
      </c>
      <c r="AP196">
        <v>23.085814386224026</v>
      </c>
      <c r="AQ196">
        <v>23.77131528844663</v>
      </c>
      <c r="AR196">
        <v>25.026909639868055</v>
      </c>
      <c r="AS196">
        <v>24.87228220393968</v>
      </c>
      <c r="AT196">
        <v>26.184990973136539</v>
      </c>
      <c r="AU196">
        <v>27.011879460610533</v>
      </c>
      <c r="AV196">
        <v>29.503118152178846</v>
      </c>
      <c r="AW196">
        <v>29.014376737242571</v>
      </c>
      <c r="AX196">
        <v>29.752950592394825</v>
      </c>
      <c r="AY196">
        <v>31.019991187438116</v>
      </c>
      <c r="AZ196">
        <v>32.353197215559334</v>
      </c>
      <c r="BA196">
        <v>32.158342929061966</v>
      </c>
      <c r="BB196">
        <v>32.239561108216364</v>
      </c>
      <c r="BC196">
        <v>32.719603722413659</v>
      </c>
      <c r="BD196">
        <v>36.123140741537284</v>
      </c>
      <c r="BE196">
        <v>37.501601093404787</v>
      </c>
      <c r="BF196">
        <v>38.411124415534701</v>
      </c>
      <c r="BG196">
        <v>39.894040256239663</v>
      </c>
      <c r="BH196">
        <v>40.119668671557321</v>
      </c>
      <c r="BI196">
        <v>44.671870005472677</v>
      </c>
      <c r="BJ196">
        <v>44.358780199936426</v>
      </c>
      <c r="BK196">
        <v>47.105537483337898</v>
      </c>
      <c r="BL196">
        <v>47.589164992409778</v>
      </c>
      <c r="BM196">
        <v>48.386576620533354</v>
      </c>
      <c r="BN196">
        <v>50.517117899471295</v>
      </c>
      <c r="BO196">
        <v>51.14331916934168</v>
      </c>
      <c r="BP196">
        <v>52.530988320178842</v>
      </c>
    </row>
    <row r="197" spans="1:68" x14ac:dyDescent="0.3">
      <c r="A197" t="s">
        <v>599</v>
      </c>
      <c r="B197" t="s">
        <v>600</v>
      </c>
      <c r="C197" t="s">
        <v>715</v>
      </c>
      <c r="D197" t="s">
        <v>716</v>
      </c>
      <c r="AI197">
        <v>99.983428955078097</v>
      </c>
      <c r="AJ197">
        <v>99.993095397949205</v>
      </c>
      <c r="AK197">
        <v>99.998619079589801</v>
      </c>
      <c r="AL197">
        <v>100</v>
      </c>
      <c r="AM197">
        <v>100</v>
      </c>
      <c r="AN197">
        <v>100</v>
      </c>
      <c r="AO197">
        <v>100</v>
      </c>
      <c r="AP197">
        <v>100</v>
      </c>
      <c r="AQ197">
        <v>100</v>
      </c>
      <c r="AR197">
        <v>100</v>
      </c>
      <c r="AS197">
        <v>100</v>
      </c>
      <c r="AT197">
        <v>100</v>
      </c>
      <c r="AU197">
        <v>100</v>
      </c>
      <c r="AV197">
        <v>100</v>
      </c>
      <c r="AW197">
        <v>100</v>
      </c>
      <c r="AX197">
        <v>100</v>
      </c>
      <c r="AY197">
        <v>100</v>
      </c>
      <c r="AZ197">
        <v>100</v>
      </c>
      <c r="BA197">
        <v>100</v>
      </c>
      <c r="BB197">
        <v>100</v>
      </c>
      <c r="BC197">
        <v>100</v>
      </c>
      <c r="BD197">
        <v>100</v>
      </c>
      <c r="BE197">
        <v>100</v>
      </c>
      <c r="BF197">
        <v>100</v>
      </c>
      <c r="BG197">
        <v>100</v>
      </c>
      <c r="BH197">
        <v>100</v>
      </c>
      <c r="BI197">
        <v>100</v>
      </c>
      <c r="BJ197">
        <v>100</v>
      </c>
      <c r="BK197">
        <v>100</v>
      </c>
      <c r="BL197">
        <v>100</v>
      </c>
      <c r="BM197">
        <v>100</v>
      </c>
      <c r="BN197">
        <v>100</v>
      </c>
      <c r="BO197">
        <v>100</v>
      </c>
      <c r="BP197">
        <v>100</v>
      </c>
    </row>
    <row r="198" spans="1:68" x14ac:dyDescent="0.3">
      <c r="A198" t="s">
        <v>601</v>
      </c>
      <c r="B198" t="s">
        <v>602</v>
      </c>
      <c r="C198" t="s">
        <v>715</v>
      </c>
      <c r="D198" t="s">
        <v>716</v>
      </c>
      <c r="BB198">
        <v>26</v>
      </c>
      <c r="BC198">
        <v>29.3</v>
      </c>
      <c r="BD198">
        <v>31.4</v>
      </c>
      <c r="BE198">
        <v>33.6</v>
      </c>
      <c r="BF198">
        <v>35.700000000000003</v>
      </c>
      <c r="BG198">
        <v>37.799999999999997</v>
      </c>
      <c r="BH198">
        <v>40</v>
      </c>
      <c r="BI198">
        <v>42.1</v>
      </c>
      <c r="BJ198">
        <v>44.2</v>
      </c>
      <c r="BK198">
        <v>46.3</v>
      </c>
      <c r="BL198">
        <v>48.4</v>
      </c>
      <c r="BM198">
        <v>50.5</v>
      </c>
      <c r="BN198">
        <v>52.6</v>
      </c>
      <c r="BO198">
        <v>54.7</v>
      </c>
      <c r="BP198">
        <v>57.5</v>
      </c>
    </row>
    <row r="199" spans="1:68" x14ac:dyDescent="0.3">
      <c r="A199" t="s">
        <v>189</v>
      </c>
      <c r="B199" t="s">
        <v>603</v>
      </c>
      <c r="C199" t="s">
        <v>715</v>
      </c>
      <c r="D199" t="s">
        <v>716</v>
      </c>
      <c r="AI199">
        <v>100</v>
      </c>
      <c r="AJ199">
        <v>100</v>
      </c>
      <c r="AK199">
        <v>100</v>
      </c>
      <c r="AL199">
        <v>100</v>
      </c>
      <c r="AM199">
        <v>100</v>
      </c>
      <c r="AN199">
        <v>100</v>
      </c>
      <c r="AO199">
        <v>100</v>
      </c>
      <c r="AP199">
        <v>100</v>
      </c>
      <c r="AQ199">
        <v>100</v>
      </c>
      <c r="AR199">
        <v>100</v>
      </c>
      <c r="AS199">
        <v>100</v>
      </c>
      <c r="AT199">
        <v>100</v>
      </c>
      <c r="AU199">
        <v>100</v>
      </c>
      <c r="AV199">
        <v>100</v>
      </c>
      <c r="AW199">
        <v>100</v>
      </c>
      <c r="AX199">
        <v>100</v>
      </c>
      <c r="AY199">
        <v>100</v>
      </c>
      <c r="AZ199">
        <v>100</v>
      </c>
      <c r="BA199">
        <v>100</v>
      </c>
      <c r="BB199">
        <v>100</v>
      </c>
      <c r="BC199">
        <v>100</v>
      </c>
      <c r="BD199">
        <v>100</v>
      </c>
      <c r="BE199">
        <v>100</v>
      </c>
      <c r="BF199">
        <v>100</v>
      </c>
      <c r="BG199">
        <v>100</v>
      </c>
      <c r="BH199">
        <v>100</v>
      </c>
      <c r="BI199">
        <v>100</v>
      </c>
      <c r="BJ199">
        <v>100</v>
      </c>
      <c r="BK199">
        <v>100</v>
      </c>
      <c r="BL199">
        <v>100</v>
      </c>
      <c r="BM199">
        <v>100</v>
      </c>
      <c r="BN199">
        <v>100</v>
      </c>
      <c r="BO199">
        <v>100</v>
      </c>
      <c r="BP199">
        <v>100</v>
      </c>
    </row>
    <row r="200" spans="1:68" x14ac:dyDescent="0.3">
      <c r="A200" t="s">
        <v>191</v>
      </c>
      <c r="B200" t="s">
        <v>604</v>
      </c>
      <c r="C200" t="s">
        <v>715</v>
      </c>
      <c r="D200" t="s">
        <v>716</v>
      </c>
      <c r="AN200">
        <v>77.469114000000005</v>
      </c>
      <c r="AO200">
        <v>86.260055541992202</v>
      </c>
      <c r="AP200">
        <v>86.412853999999996</v>
      </c>
      <c r="AQ200">
        <v>87.762367248535199</v>
      </c>
      <c r="AR200">
        <v>88.518176999999994</v>
      </c>
      <c r="AS200">
        <v>89.6</v>
      </c>
      <c r="AT200">
        <v>91</v>
      </c>
      <c r="AU200">
        <v>91.7</v>
      </c>
      <c r="AV200">
        <v>92.6</v>
      </c>
      <c r="AW200">
        <v>93.2</v>
      </c>
      <c r="AX200">
        <v>94.7</v>
      </c>
      <c r="AY200">
        <v>96.7</v>
      </c>
      <c r="AZ200">
        <v>96.5</v>
      </c>
      <c r="BA200">
        <v>96.7</v>
      </c>
      <c r="BB200">
        <v>96.9</v>
      </c>
      <c r="BC200">
        <v>97.4</v>
      </c>
      <c r="BD200">
        <v>98.2</v>
      </c>
      <c r="BE200">
        <v>97.8</v>
      </c>
      <c r="BF200">
        <v>99</v>
      </c>
      <c r="BG200">
        <v>99</v>
      </c>
      <c r="BH200">
        <v>99.3</v>
      </c>
      <c r="BI200">
        <v>98.4</v>
      </c>
      <c r="BJ200">
        <v>99.3</v>
      </c>
      <c r="BK200">
        <v>99.6</v>
      </c>
      <c r="BL200">
        <v>99.7</v>
      </c>
      <c r="BM200">
        <v>99.7</v>
      </c>
      <c r="BN200">
        <v>100</v>
      </c>
      <c r="BO200">
        <v>100</v>
      </c>
      <c r="BP200">
        <v>99.8</v>
      </c>
    </row>
    <row r="201" spans="1:68" x14ac:dyDescent="0.3">
      <c r="A201" t="s">
        <v>605</v>
      </c>
      <c r="B201" t="s">
        <v>606</v>
      </c>
      <c r="C201" t="s">
        <v>715</v>
      </c>
      <c r="D201" t="s">
        <v>716</v>
      </c>
      <c r="AP201">
        <v>97.9</v>
      </c>
      <c r="AQ201">
        <v>98.539299011230497</v>
      </c>
      <c r="AR201">
        <v>98.623153686523395</v>
      </c>
      <c r="AS201">
        <v>99.7</v>
      </c>
      <c r="AT201">
        <v>99.1</v>
      </c>
      <c r="AU201">
        <v>99.2</v>
      </c>
      <c r="AV201">
        <v>99.1</v>
      </c>
      <c r="AW201">
        <v>99.5</v>
      </c>
      <c r="AX201">
        <v>99.6</v>
      </c>
      <c r="AY201">
        <v>99.7</v>
      </c>
      <c r="AZ201">
        <v>98.8</v>
      </c>
      <c r="BA201">
        <v>99.8</v>
      </c>
      <c r="BB201">
        <v>99.9</v>
      </c>
      <c r="BC201">
        <v>99.9</v>
      </c>
      <c r="BD201">
        <v>99.7</v>
      </c>
      <c r="BE201">
        <v>99.8</v>
      </c>
      <c r="BF201">
        <v>99.9</v>
      </c>
      <c r="BG201">
        <v>99.9</v>
      </c>
      <c r="BH201">
        <v>99.9</v>
      </c>
      <c r="BI201">
        <v>100</v>
      </c>
      <c r="BJ201">
        <v>99.9</v>
      </c>
      <c r="BK201">
        <v>100</v>
      </c>
      <c r="BL201">
        <v>100</v>
      </c>
      <c r="BM201">
        <v>100</v>
      </c>
      <c r="BN201">
        <v>100</v>
      </c>
      <c r="BO201">
        <v>100</v>
      </c>
      <c r="BP201">
        <v>100</v>
      </c>
    </row>
    <row r="202" spans="1:68" x14ac:dyDescent="0.3">
      <c r="A202" t="s">
        <v>607</v>
      </c>
      <c r="B202" t="s">
        <v>608</v>
      </c>
      <c r="C202" t="s">
        <v>715</v>
      </c>
      <c r="D202" t="s">
        <v>716</v>
      </c>
      <c r="AR202">
        <v>56.911424677257614</v>
      </c>
      <c r="AS202">
        <v>55.287518080335936</v>
      </c>
      <c r="AT202">
        <v>56.63281344470559</v>
      </c>
      <c r="AU202">
        <v>58.333247934755981</v>
      </c>
      <c r="AV202">
        <v>59.433740200849577</v>
      </c>
      <c r="AW202">
        <v>60.618657845122705</v>
      </c>
      <c r="AX202">
        <v>62.241437049919611</v>
      </c>
      <c r="AY202">
        <v>61.667114683048766</v>
      </c>
      <c r="AZ202">
        <v>63.937692935358371</v>
      </c>
      <c r="BA202">
        <v>67.261299464149999</v>
      </c>
      <c r="BB202">
        <v>64.820189740706553</v>
      </c>
      <c r="BC202">
        <v>71.796125271304831</v>
      </c>
      <c r="BD202">
        <v>72.804458229332695</v>
      </c>
      <c r="BE202">
        <v>73.831646048086597</v>
      </c>
      <c r="BF202">
        <v>72.661798432266821</v>
      </c>
      <c r="BG202">
        <v>76.575403112571649</v>
      </c>
      <c r="BH202">
        <v>78.547789503550518</v>
      </c>
      <c r="BI202">
        <v>79.908342259283856</v>
      </c>
      <c r="BJ202">
        <v>82.104173467798191</v>
      </c>
      <c r="BK202">
        <v>82.697827309029975</v>
      </c>
      <c r="BL202">
        <v>84.343435088232894</v>
      </c>
      <c r="BM202">
        <v>86.193981133660202</v>
      </c>
      <c r="BN202">
        <v>85.670817823547793</v>
      </c>
      <c r="BO202">
        <v>85.792388506386729</v>
      </c>
      <c r="BP202">
        <v>88.870571361850111</v>
      </c>
    </row>
    <row r="203" spans="1:68" x14ac:dyDescent="0.3">
      <c r="A203" t="s">
        <v>609</v>
      </c>
      <c r="B203" t="s">
        <v>610</v>
      </c>
      <c r="C203" t="s">
        <v>715</v>
      </c>
      <c r="D203" t="s">
        <v>716</v>
      </c>
      <c r="AI203">
        <v>99.99439658641397</v>
      </c>
      <c r="AJ203">
        <v>99.995750618066495</v>
      </c>
      <c r="AK203">
        <v>99.997093795937005</v>
      </c>
      <c r="AL203">
        <v>99.998339945761643</v>
      </c>
      <c r="AM203">
        <v>99.999263020559411</v>
      </c>
      <c r="AN203">
        <v>99.999767520363775</v>
      </c>
      <c r="AO203">
        <v>99.999775981583667</v>
      </c>
      <c r="AP203">
        <v>99.999784490833903</v>
      </c>
      <c r="AQ203">
        <v>99.999793273001643</v>
      </c>
      <c r="AR203">
        <v>99.999802320913517</v>
      </c>
      <c r="AS203">
        <v>99.715016644024502</v>
      </c>
      <c r="AT203">
        <v>99.725559314019804</v>
      </c>
      <c r="AU203">
        <v>99.73160072277453</v>
      </c>
      <c r="AV203">
        <v>99.755545109639399</v>
      </c>
      <c r="AW203">
        <v>99.77219940272586</v>
      </c>
      <c r="AX203">
        <v>99.806421071018718</v>
      </c>
      <c r="AY203">
        <v>99.802785963856863</v>
      </c>
      <c r="AZ203">
        <v>99.830497747894952</v>
      </c>
      <c r="BA203">
        <v>99.843265533165919</v>
      </c>
      <c r="BB203">
        <v>99.862210110366206</v>
      </c>
      <c r="BC203">
        <v>99.880152411207888</v>
      </c>
      <c r="BD203">
        <v>99.892758605592832</v>
      </c>
      <c r="BE203">
        <v>99.902946528047877</v>
      </c>
      <c r="BF203">
        <v>99.918883733036409</v>
      </c>
      <c r="BG203">
        <v>99.932055670036377</v>
      </c>
      <c r="BH203">
        <v>99.944734188108043</v>
      </c>
      <c r="BI203">
        <v>99.957781668838351</v>
      </c>
      <c r="BJ203">
        <v>99.97112257733292</v>
      </c>
      <c r="BK203">
        <v>99.982164444902779</v>
      </c>
      <c r="BL203">
        <v>99.993242534888651</v>
      </c>
      <c r="BM203">
        <v>99.997240130311965</v>
      </c>
      <c r="BN203">
        <v>99.998834453556526</v>
      </c>
      <c r="BO203">
        <v>100</v>
      </c>
      <c r="BP203">
        <v>100</v>
      </c>
    </row>
    <row r="204" spans="1:68" x14ac:dyDescent="0.3">
      <c r="A204" t="s">
        <v>611</v>
      </c>
      <c r="B204" t="s">
        <v>612</v>
      </c>
      <c r="C204" t="s">
        <v>715</v>
      </c>
      <c r="D204" t="s">
        <v>716</v>
      </c>
      <c r="AI204">
        <v>100</v>
      </c>
      <c r="AJ204">
        <v>100</v>
      </c>
      <c r="AK204">
        <v>100</v>
      </c>
      <c r="AL204">
        <v>100</v>
      </c>
      <c r="AM204">
        <v>100</v>
      </c>
      <c r="AN204">
        <v>100</v>
      </c>
      <c r="AO204">
        <v>100</v>
      </c>
      <c r="AP204">
        <v>100</v>
      </c>
      <c r="AQ204">
        <v>100</v>
      </c>
      <c r="AR204">
        <v>100</v>
      </c>
      <c r="AS204">
        <v>100</v>
      </c>
      <c r="AT204">
        <v>100</v>
      </c>
      <c r="AU204">
        <v>100</v>
      </c>
      <c r="AV204">
        <v>100</v>
      </c>
      <c r="AW204">
        <v>100</v>
      </c>
      <c r="AX204">
        <v>100</v>
      </c>
      <c r="AY204">
        <v>100</v>
      </c>
      <c r="AZ204">
        <v>100</v>
      </c>
      <c r="BA204">
        <v>100</v>
      </c>
      <c r="BB204">
        <v>100</v>
      </c>
      <c r="BC204">
        <v>100</v>
      </c>
      <c r="BD204">
        <v>100</v>
      </c>
      <c r="BE204">
        <v>100</v>
      </c>
      <c r="BF204">
        <v>100</v>
      </c>
      <c r="BG204">
        <v>100</v>
      </c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68" x14ac:dyDescent="0.3">
      <c r="A205" t="s">
        <v>193</v>
      </c>
      <c r="B205" t="s">
        <v>613</v>
      </c>
      <c r="C205" t="s">
        <v>715</v>
      </c>
      <c r="D205" t="s">
        <v>716</v>
      </c>
      <c r="AI205">
        <v>100</v>
      </c>
      <c r="AJ205">
        <v>100</v>
      </c>
      <c r="AK205">
        <v>100</v>
      </c>
      <c r="AL205">
        <v>100</v>
      </c>
      <c r="AM205">
        <v>100</v>
      </c>
      <c r="AN205">
        <v>100</v>
      </c>
      <c r="AO205">
        <v>100</v>
      </c>
      <c r="AP205">
        <v>100</v>
      </c>
      <c r="AQ205">
        <v>100</v>
      </c>
      <c r="AR205">
        <v>100</v>
      </c>
      <c r="AS205">
        <v>100</v>
      </c>
      <c r="AT205">
        <v>100</v>
      </c>
      <c r="AU205">
        <v>100</v>
      </c>
      <c r="AV205">
        <v>100</v>
      </c>
      <c r="AW205">
        <v>100</v>
      </c>
      <c r="AX205">
        <v>100</v>
      </c>
      <c r="AY205">
        <v>100</v>
      </c>
      <c r="AZ205">
        <v>100</v>
      </c>
      <c r="BA205">
        <v>100</v>
      </c>
      <c r="BB205">
        <v>100</v>
      </c>
      <c r="BC205">
        <v>100</v>
      </c>
      <c r="BD205">
        <v>100</v>
      </c>
      <c r="BE205">
        <v>100</v>
      </c>
      <c r="BF205">
        <v>100</v>
      </c>
      <c r="BG205">
        <v>100</v>
      </c>
      <c r="BH205">
        <v>100</v>
      </c>
      <c r="BI205">
        <v>100</v>
      </c>
      <c r="BJ205">
        <v>100</v>
      </c>
      <c r="BK205">
        <v>100</v>
      </c>
      <c r="BL205">
        <v>100</v>
      </c>
      <c r="BM205">
        <v>100</v>
      </c>
      <c r="BN205">
        <v>100</v>
      </c>
      <c r="BO205">
        <v>100</v>
      </c>
      <c r="BP205">
        <v>100</v>
      </c>
    </row>
    <row r="206" spans="1:68" x14ac:dyDescent="0.3">
      <c r="A206" t="s">
        <v>194</v>
      </c>
      <c r="B206" t="s">
        <v>614</v>
      </c>
      <c r="C206" t="s">
        <v>715</v>
      </c>
      <c r="D206" t="s">
        <v>716</v>
      </c>
      <c r="AI206">
        <v>100</v>
      </c>
      <c r="AJ206">
        <v>100</v>
      </c>
      <c r="AK206">
        <v>100</v>
      </c>
      <c r="AL206">
        <v>100</v>
      </c>
      <c r="AM206">
        <v>100</v>
      </c>
      <c r="AN206">
        <v>100</v>
      </c>
      <c r="AO206">
        <v>100</v>
      </c>
      <c r="AP206">
        <v>100</v>
      </c>
      <c r="AQ206">
        <v>100</v>
      </c>
      <c r="AR206">
        <v>100</v>
      </c>
      <c r="AS206">
        <v>94.4</v>
      </c>
      <c r="AT206">
        <v>94.6</v>
      </c>
      <c r="AU206">
        <v>94.9</v>
      </c>
      <c r="AV206">
        <v>95.1</v>
      </c>
      <c r="AW206">
        <v>95.3</v>
      </c>
      <c r="AX206">
        <v>95.6</v>
      </c>
      <c r="AY206">
        <v>95.9</v>
      </c>
      <c r="AZ206">
        <v>96.1</v>
      </c>
      <c r="BA206">
        <v>96.5</v>
      </c>
      <c r="BB206">
        <v>96.8</v>
      </c>
      <c r="BC206">
        <v>97.1</v>
      </c>
      <c r="BD206">
        <v>97.4</v>
      </c>
      <c r="BE206">
        <v>97.8</v>
      </c>
      <c r="BF206">
        <v>98.1</v>
      </c>
      <c r="BG206">
        <v>98.4</v>
      </c>
      <c r="BH206">
        <v>98.8</v>
      </c>
      <c r="BI206">
        <v>99.1</v>
      </c>
      <c r="BJ206">
        <v>100</v>
      </c>
      <c r="BK206">
        <v>99.8</v>
      </c>
      <c r="BL206">
        <v>100</v>
      </c>
      <c r="BM206">
        <v>100</v>
      </c>
      <c r="BN206">
        <v>100</v>
      </c>
      <c r="BO206">
        <v>100</v>
      </c>
      <c r="BP206">
        <v>100</v>
      </c>
    </row>
    <row r="207" spans="1:68" x14ac:dyDescent="0.3">
      <c r="A207" t="s">
        <v>196</v>
      </c>
      <c r="B207" t="s">
        <v>615</v>
      </c>
      <c r="C207" t="s">
        <v>715</v>
      </c>
      <c r="D207" t="s">
        <v>716</v>
      </c>
      <c r="AI207">
        <v>100</v>
      </c>
      <c r="AJ207">
        <v>100</v>
      </c>
      <c r="AK207">
        <v>100</v>
      </c>
      <c r="AL207">
        <v>100</v>
      </c>
      <c r="AM207">
        <v>100</v>
      </c>
      <c r="AN207">
        <v>100</v>
      </c>
      <c r="AO207">
        <v>100</v>
      </c>
      <c r="AP207">
        <v>100</v>
      </c>
      <c r="AQ207">
        <v>100</v>
      </c>
      <c r="AR207">
        <v>100</v>
      </c>
      <c r="AS207">
        <v>97.8</v>
      </c>
      <c r="AT207">
        <v>97.9</v>
      </c>
      <c r="AU207">
        <v>97.9</v>
      </c>
      <c r="AV207">
        <v>97.9</v>
      </c>
      <c r="AW207">
        <v>98</v>
      </c>
      <c r="AX207">
        <v>98</v>
      </c>
      <c r="AY207">
        <v>98.1</v>
      </c>
      <c r="AZ207">
        <v>98.2</v>
      </c>
      <c r="BA207">
        <v>98.3</v>
      </c>
      <c r="BB207">
        <v>98.4</v>
      </c>
      <c r="BC207">
        <v>99.3</v>
      </c>
      <c r="BD207">
        <v>99.2</v>
      </c>
      <c r="BE207">
        <v>100</v>
      </c>
      <c r="BF207">
        <v>100</v>
      </c>
      <c r="BG207">
        <v>100</v>
      </c>
      <c r="BH207">
        <v>95.5</v>
      </c>
      <c r="BI207">
        <v>99.4</v>
      </c>
      <c r="BJ207">
        <v>100</v>
      </c>
      <c r="BK207">
        <v>100</v>
      </c>
      <c r="BL207">
        <v>99.8</v>
      </c>
      <c r="BM207">
        <v>99.9</v>
      </c>
      <c r="BN207">
        <v>100</v>
      </c>
      <c r="BO207">
        <v>100</v>
      </c>
      <c r="BP207">
        <v>100</v>
      </c>
    </row>
    <row r="208" spans="1:68" x14ac:dyDescent="0.3">
      <c r="A208" t="s">
        <v>616</v>
      </c>
      <c r="B208" t="s">
        <v>617</v>
      </c>
      <c r="C208" t="s">
        <v>715</v>
      </c>
      <c r="D208" t="s">
        <v>716</v>
      </c>
      <c r="AK208">
        <v>2.2999999999999998</v>
      </c>
      <c r="AP208">
        <v>1.0278359651565601</v>
      </c>
      <c r="AQ208">
        <v>2.1741275787353498</v>
      </c>
      <c r="AR208">
        <v>3.3155770301818799</v>
      </c>
      <c r="AS208">
        <v>6.2</v>
      </c>
      <c r="AT208">
        <v>4.7</v>
      </c>
      <c r="AU208">
        <v>6</v>
      </c>
      <c r="AV208">
        <v>7.4</v>
      </c>
      <c r="AW208">
        <v>8.6999999999999993</v>
      </c>
      <c r="AX208">
        <v>4.8</v>
      </c>
      <c r="AY208">
        <v>11.4</v>
      </c>
      <c r="AZ208">
        <v>12.8</v>
      </c>
      <c r="BA208">
        <v>6</v>
      </c>
      <c r="BB208">
        <v>15.6</v>
      </c>
      <c r="BC208">
        <v>9.6999999999999993</v>
      </c>
      <c r="BD208">
        <v>10.8</v>
      </c>
      <c r="BE208">
        <v>17.5</v>
      </c>
      <c r="BF208">
        <v>15.2</v>
      </c>
      <c r="BG208">
        <v>19.8</v>
      </c>
      <c r="BH208">
        <v>22.8</v>
      </c>
      <c r="BI208">
        <v>29.4</v>
      </c>
      <c r="BJ208">
        <v>34.1</v>
      </c>
      <c r="BK208">
        <v>38</v>
      </c>
      <c r="BL208">
        <v>46.6</v>
      </c>
      <c r="BM208">
        <v>45.2</v>
      </c>
      <c r="BN208">
        <v>48.7</v>
      </c>
      <c r="BO208">
        <v>50.6</v>
      </c>
      <c r="BP208">
        <v>63.9</v>
      </c>
    </row>
    <row r="209" spans="1:68" x14ac:dyDescent="0.3">
      <c r="A209" t="s">
        <v>618</v>
      </c>
      <c r="B209" t="s">
        <v>619</v>
      </c>
      <c r="C209" t="s">
        <v>715</v>
      </c>
      <c r="D209" t="s">
        <v>716</v>
      </c>
      <c r="AL209">
        <v>46.563983968294629</v>
      </c>
      <c r="AM209">
        <v>46.182183503465026</v>
      </c>
      <c r="AN209">
        <v>47.664682185542482</v>
      </c>
      <c r="AO209">
        <v>48.766499269409202</v>
      </c>
      <c r="AP209">
        <v>50.296010492563781</v>
      </c>
      <c r="AQ209">
        <v>52.230373880599338</v>
      </c>
      <c r="AR209">
        <v>56.017741200767468</v>
      </c>
      <c r="AS209">
        <v>56.766472920024128</v>
      </c>
      <c r="AT209">
        <v>58.348521315957726</v>
      </c>
      <c r="AU209">
        <v>59.415783976672067</v>
      </c>
      <c r="AV209">
        <v>62.341103055880524</v>
      </c>
      <c r="AW209">
        <v>61.484283033919738</v>
      </c>
      <c r="AX209">
        <v>65.853646016292331</v>
      </c>
      <c r="AY209">
        <v>65.92504522041186</v>
      </c>
      <c r="AZ209">
        <v>69.28488185924202</v>
      </c>
      <c r="BA209">
        <v>71.77825886600202</v>
      </c>
      <c r="BB209">
        <v>72.986586097352102</v>
      </c>
      <c r="BC209">
        <v>74.07657363402366</v>
      </c>
      <c r="BD209">
        <v>77.309165158573165</v>
      </c>
      <c r="BE209">
        <v>78.419544450904866</v>
      </c>
      <c r="BF209">
        <v>80.847453203069037</v>
      </c>
      <c r="BG209">
        <v>82.848022429143143</v>
      </c>
      <c r="BH209">
        <v>86.532778462467249</v>
      </c>
      <c r="BI209">
        <v>88.318448040339817</v>
      </c>
      <c r="BJ209">
        <v>91.398372830739703</v>
      </c>
      <c r="BK209">
        <v>94.819202405597835</v>
      </c>
      <c r="BL209">
        <v>95.469895398865319</v>
      </c>
      <c r="BM209">
        <v>96.401361739744075</v>
      </c>
      <c r="BN209">
        <v>99.369312913395106</v>
      </c>
      <c r="BO209">
        <v>99.089511473193397</v>
      </c>
      <c r="BP209">
        <v>99.408788969740513</v>
      </c>
    </row>
    <row r="210" spans="1:68" x14ac:dyDescent="0.3">
      <c r="A210" t="s">
        <v>198</v>
      </c>
      <c r="B210" t="s">
        <v>620</v>
      </c>
      <c r="C210" t="s">
        <v>715</v>
      </c>
      <c r="D210" t="s">
        <v>716</v>
      </c>
      <c r="AI210">
        <v>100</v>
      </c>
      <c r="AJ210">
        <v>100</v>
      </c>
      <c r="AK210">
        <v>100</v>
      </c>
      <c r="AL210">
        <v>100</v>
      </c>
      <c r="AM210">
        <v>100</v>
      </c>
      <c r="AN210">
        <v>100</v>
      </c>
      <c r="AO210">
        <v>100</v>
      </c>
      <c r="AP210">
        <v>100</v>
      </c>
      <c r="AQ210">
        <v>100</v>
      </c>
      <c r="AR210">
        <v>100</v>
      </c>
      <c r="AS210">
        <v>100</v>
      </c>
      <c r="AT210">
        <v>100</v>
      </c>
      <c r="AU210">
        <v>100</v>
      </c>
      <c r="AV210">
        <v>100</v>
      </c>
      <c r="AW210">
        <v>100</v>
      </c>
      <c r="AX210">
        <v>100</v>
      </c>
      <c r="AY210">
        <v>100</v>
      </c>
      <c r="AZ210">
        <v>100</v>
      </c>
      <c r="BA210">
        <v>100</v>
      </c>
      <c r="BB210">
        <v>100</v>
      </c>
      <c r="BC210">
        <v>100</v>
      </c>
      <c r="BD210">
        <v>100</v>
      </c>
      <c r="BE210">
        <v>100</v>
      </c>
      <c r="BF210">
        <v>100</v>
      </c>
      <c r="BG210">
        <v>100</v>
      </c>
      <c r="BH210">
        <v>100</v>
      </c>
      <c r="BI210">
        <v>99.9</v>
      </c>
      <c r="BJ210">
        <v>100</v>
      </c>
      <c r="BK210">
        <v>99.9</v>
      </c>
      <c r="BL210">
        <v>100</v>
      </c>
      <c r="BM210">
        <v>100</v>
      </c>
      <c r="BN210">
        <v>100</v>
      </c>
      <c r="BO210">
        <v>100</v>
      </c>
      <c r="BP210">
        <v>100</v>
      </c>
    </row>
    <row r="211" spans="1:68" x14ac:dyDescent="0.3">
      <c r="A211" t="s">
        <v>200</v>
      </c>
      <c r="B211" t="s">
        <v>621</v>
      </c>
      <c r="C211" t="s">
        <v>715</v>
      </c>
      <c r="D211" t="s">
        <v>716</v>
      </c>
      <c r="AI211">
        <v>32.799999999999997</v>
      </c>
      <c r="AJ211">
        <v>26.919294357299801</v>
      </c>
      <c r="AK211">
        <v>27.408613204956101</v>
      </c>
      <c r="AL211">
        <v>27.897253036498999</v>
      </c>
      <c r="AM211">
        <v>28.384534835815401</v>
      </c>
      <c r="AN211">
        <v>28.8697834014893</v>
      </c>
      <c r="AO211">
        <v>29.35231590271</v>
      </c>
      <c r="AP211">
        <v>29.831457138061499</v>
      </c>
      <c r="AQ211">
        <v>30.3065280914307</v>
      </c>
      <c r="AR211">
        <v>30.776756286621101</v>
      </c>
      <c r="AS211">
        <v>23</v>
      </c>
      <c r="AT211">
        <v>29.4</v>
      </c>
      <c r="AU211">
        <v>29.7</v>
      </c>
      <c r="AV211">
        <v>29.9</v>
      </c>
      <c r="AW211">
        <v>30.2</v>
      </c>
      <c r="AX211">
        <v>30.5</v>
      </c>
      <c r="AY211">
        <v>30.8</v>
      </c>
      <c r="AZ211">
        <v>31.1</v>
      </c>
      <c r="BA211">
        <v>20</v>
      </c>
      <c r="BB211">
        <v>29</v>
      </c>
      <c r="BC211">
        <v>36</v>
      </c>
      <c r="BD211">
        <v>38.299999999999997</v>
      </c>
      <c r="BE211">
        <v>40.700000000000003</v>
      </c>
      <c r="BF211">
        <v>43.1</v>
      </c>
      <c r="BG211">
        <v>44.9</v>
      </c>
      <c r="BH211">
        <v>48</v>
      </c>
      <c r="BI211">
        <v>50.5</v>
      </c>
      <c r="BJ211">
        <v>53</v>
      </c>
      <c r="BK211">
        <v>55.3</v>
      </c>
      <c r="BL211">
        <v>57.6</v>
      </c>
      <c r="BM211">
        <v>59.7</v>
      </c>
      <c r="BN211">
        <v>61.8</v>
      </c>
      <c r="BO211">
        <v>63.2</v>
      </c>
      <c r="BP211">
        <v>66</v>
      </c>
    </row>
    <row r="212" spans="1:68" x14ac:dyDescent="0.3">
      <c r="A212" t="s">
        <v>201</v>
      </c>
      <c r="B212" t="s">
        <v>622</v>
      </c>
      <c r="C212" t="s">
        <v>715</v>
      </c>
      <c r="D212" t="s">
        <v>716</v>
      </c>
      <c r="AL212">
        <v>26</v>
      </c>
      <c r="AM212">
        <v>27.190486907958999</v>
      </c>
      <c r="AN212">
        <v>28.857191085815401</v>
      </c>
      <c r="AO212">
        <v>30.521177291870099</v>
      </c>
      <c r="AP212">
        <v>32.200000000000003</v>
      </c>
      <c r="AQ212">
        <v>33.838268280029297</v>
      </c>
      <c r="AR212">
        <v>36.200000000000003</v>
      </c>
      <c r="AS212">
        <v>37.700000000000003</v>
      </c>
      <c r="AT212">
        <v>38.9</v>
      </c>
      <c r="AU212">
        <v>36.799999999999997</v>
      </c>
      <c r="AV212">
        <v>41.9</v>
      </c>
      <c r="AW212">
        <v>36.799999999999997</v>
      </c>
      <c r="AX212">
        <v>47.1</v>
      </c>
      <c r="AY212">
        <v>49.9</v>
      </c>
      <c r="AZ212">
        <v>48.1</v>
      </c>
      <c r="BA212">
        <v>49.7</v>
      </c>
      <c r="BB212">
        <v>53.5</v>
      </c>
      <c r="BC212">
        <v>56.5</v>
      </c>
      <c r="BD212">
        <v>56.5</v>
      </c>
      <c r="BE212">
        <v>56.5</v>
      </c>
      <c r="BF212">
        <v>57</v>
      </c>
      <c r="BG212">
        <v>61</v>
      </c>
      <c r="BH212">
        <v>60.5</v>
      </c>
      <c r="BI212">
        <v>64.5</v>
      </c>
      <c r="BJ212">
        <v>61.7</v>
      </c>
      <c r="BK212">
        <v>66</v>
      </c>
      <c r="BL212">
        <v>70.400000000000006</v>
      </c>
      <c r="BM212">
        <v>64.3</v>
      </c>
      <c r="BN212">
        <v>68</v>
      </c>
      <c r="BO212">
        <v>67.900000000000006</v>
      </c>
      <c r="BP212">
        <v>74.2</v>
      </c>
    </row>
    <row r="213" spans="1:68" x14ac:dyDescent="0.3">
      <c r="A213" t="s">
        <v>203</v>
      </c>
      <c r="B213" t="s">
        <v>623</v>
      </c>
      <c r="C213" t="s">
        <v>715</v>
      </c>
      <c r="D213" t="s">
        <v>716</v>
      </c>
      <c r="AI213">
        <v>100</v>
      </c>
      <c r="AJ213">
        <v>100</v>
      </c>
      <c r="AK213">
        <v>100</v>
      </c>
      <c r="AL213">
        <v>100</v>
      </c>
      <c r="AM213">
        <v>100</v>
      </c>
      <c r="AN213">
        <v>100</v>
      </c>
      <c r="AO213">
        <v>100</v>
      </c>
      <c r="AP213">
        <v>100</v>
      </c>
      <c r="AQ213">
        <v>100</v>
      </c>
      <c r="AR213">
        <v>100</v>
      </c>
      <c r="AS213">
        <v>100</v>
      </c>
      <c r="AT213">
        <v>100</v>
      </c>
      <c r="AU213">
        <v>100</v>
      </c>
      <c r="AV213">
        <v>100</v>
      </c>
      <c r="AW213">
        <v>100</v>
      </c>
      <c r="AX213">
        <v>100</v>
      </c>
      <c r="AY213">
        <v>100</v>
      </c>
      <c r="AZ213">
        <v>100</v>
      </c>
      <c r="BA213">
        <v>100</v>
      </c>
      <c r="BB213">
        <v>100</v>
      </c>
      <c r="BC213">
        <v>100</v>
      </c>
      <c r="BD213">
        <v>100</v>
      </c>
      <c r="BE213">
        <v>100</v>
      </c>
      <c r="BF213">
        <v>100</v>
      </c>
      <c r="BG213">
        <v>100</v>
      </c>
      <c r="BH213">
        <v>100</v>
      </c>
      <c r="BI213">
        <v>100</v>
      </c>
      <c r="BJ213">
        <v>100</v>
      </c>
      <c r="BK213">
        <v>100</v>
      </c>
      <c r="BL213">
        <v>100</v>
      </c>
      <c r="BM213">
        <v>100</v>
      </c>
      <c r="BN213">
        <v>100</v>
      </c>
      <c r="BO213">
        <v>100</v>
      </c>
      <c r="BP213">
        <v>100</v>
      </c>
    </row>
    <row r="214" spans="1:68" x14ac:dyDescent="0.3">
      <c r="A214" t="s">
        <v>624</v>
      </c>
      <c r="B214" t="s">
        <v>625</v>
      </c>
      <c r="C214" t="s">
        <v>715</v>
      </c>
      <c r="D214" t="s">
        <v>716</v>
      </c>
      <c r="AR214">
        <v>15.7</v>
      </c>
      <c r="AS214">
        <v>4.7</v>
      </c>
      <c r="AT214">
        <v>7.6</v>
      </c>
      <c r="AU214">
        <v>10.5</v>
      </c>
      <c r="AV214">
        <v>13.4</v>
      </c>
      <c r="AW214">
        <v>16.3</v>
      </c>
      <c r="AX214">
        <v>19.2</v>
      </c>
      <c r="AY214">
        <v>14.4</v>
      </c>
      <c r="AZ214">
        <v>12.9</v>
      </c>
      <c r="BA214">
        <v>28.1</v>
      </c>
      <c r="BB214">
        <v>21.2</v>
      </c>
      <c r="BC214">
        <v>35.4</v>
      </c>
      <c r="BD214">
        <v>39.1</v>
      </c>
      <c r="BE214">
        <v>42.9</v>
      </c>
      <c r="BF214">
        <v>44.7</v>
      </c>
      <c r="BG214">
        <v>50.5</v>
      </c>
      <c r="BH214">
        <v>55.1</v>
      </c>
      <c r="BI214">
        <v>58.2</v>
      </c>
      <c r="BJ214">
        <v>62.9</v>
      </c>
      <c r="BK214">
        <v>65.8</v>
      </c>
      <c r="BL214">
        <v>69.400000000000006</v>
      </c>
      <c r="BM214">
        <v>72.900000000000006</v>
      </c>
      <c r="BN214">
        <v>76.3</v>
      </c>
      <c r="BO214">
        <v>76</v>
      </c>
      <c r="BP214">
        <v>81.3</v>
      </c>
    </row>
    <row r="215" spans="1:68" x14ac:dyDescent="0.3">
      <c r="A215" t="s">
        <v>626</v>
      </c>
      <c r="B215" t="s">
        <v>627</v>
      </c>
      <c r="C215" t="s">
        <v>715</v>
      </c>
      <c r="D215" t="s">
        <v>716</v>
      </c>
      <c r="AS215">
        <v>7.7</v>
      </c>
      <c r="AT215">
        <v>8.5</v>
      </c>
      <c r="AU215">
        <v>9.1999999999999993</v>
      </c>
      <c r="AV215">
        <v>9.9</v>
      </c>
      <c r="AW215">
        <v>16.8</v>
      </c>
      <c r="AX215">
        <v>11.3</v>
      </c>
      <c r="AY215">
        <v>12.2</v>
      </c>
      <c r="AZ215">
        <v>13</v>
      </c>
      <c r="BA215">
        <v>12.1</v>
      </c>
      <c r="BB215">
        <v>14.6</v>
      </c>
      <c r="BC215">
        <v>11.5</v>
      </c>
      <c r="BD215">
        <v>14.2</v>
      </c>
      <c r="BE215">
        <v>17.2</v>
      </c>
      <c r="BF215">
        <v>13.5</v>
      </c>
      <c r="BG215">
        <v>18.8</v>
      </c>
      <c r="BH215">
        <v>19.7</v>
      </c>
      <c r="BI215">
        <v>20.3</v>
      </c>
      <c r="BJ215">
        <v>23.4</v>
      </c>
      <c r="BK215">
        <v>26.1</v>
      </c>
      <c r="BL215">
        <v>22.7</v>
      </c>
      <c r="BM215">
        <v>26.3</v>
      </c>
      <c r="BN215">
        <v>27.5</v>
      </c>
      <c r="BO215">
        <v>29.4</v>
      </c>
      <c r="BP215">
        <v>35.5</v>
      </c>
    </row>
    <row r="216" spans="1:68" x14ac:dyDescent="0.3">
      <c r="A216" t="s">
        <v>205</v>
      </c>
      <c r="B216" t="s">
        <v>628</v>
      </c>
      <c r="C216" t="s">
        <v>715</v>
      </c>
      <c r="D216" t="s">
        <v>716</v>
      </c>
      <c r="AJ216">
        <v>69.607879999999994</v>
      </c>
      <c r="AK216">
        <v>75.332191467285199</v>
      </c>
      <c r="AL216">
        <v>76.276138305664105</v>
      </c>
      <c r="AM216">
        <v>77.218719482421903</v>
      </c>
      <c r="AN216">
        <v>76.995503999999997</v>
      </c>
      <c r="AO216">
        <v>77.882999999999996</v>
      </c>
      <c r="AP216">
        <v>80.031517028808594</v>
      </c>
      <c r="AQ216">
        <v>81.637983000000006</v>
      </c>
      <c r="AR216">
        <v>79.129592000000002</v>
      </c>
      <c r="AS216">
        <v>84.5</v>
      </c>
      <c r="AT216">
        <v>87.1</v>
      </c>
      <c r="AU216">
        <v>87.5</v>
      </c>
      <c r="AV216">
        <v>87</v>
      </c>
      <c r="AW216">
        <v>87.4</v>
      </c>
      <c r="AX216">
        <v>87.5</v>
      </c>
      <c r="AY216">
        <v>89.2</v>
      </c>
      <c r="AZ216">
        <v>91.1</v>
      </c>
      <c r="BA216">
        <v>91</v>
      </c>
      <c r="BB216">
        <v>91.1</v>
      </c>
      <c r="BC216">
        <v>91.6</v>
      </c>
      <c r="BD216">
        <v>92.6</v>
      </c>
      <c r="BE216">
        <v>93.7</v>
      </c>
      <c r="BF216">
        <v>95</v>
      </c>
      <c r="BG216">
        <v>95.1</v>
      </c>
      <c r="BH216">
        <v>95.4</v>
      </c>
      <c r="BI216">
        <v>96</v>
      </c>
      <c r="BJ216">
        <v>96.8</v>
      </c>
      <c r="BK216">
        <v>97</v>
      </c>
      <c r="BL216">
        <v>97.4</v>
      </c>
      <c r="BM216">
        <v>99.7</v>
      </c>
      <c r="BN216">
        <v>97.9</v>
      </c>
      <c r="BO216">
        <v>100</v>
      </c>
      <c r="BP216">
        <v>98.3</v>
      </c>
    </row>
    <row r="217" spans="1:68" x14ac:dyDescent="0.3">
      <c r="A217" t="s">
        <v>629</v>
      </c>
      <c r="B217" t="s">
        <v>630</v>
      </c>
      <c r="C217" t="s">
        <v>715</v>
      </c>
      <c r="D217" t="s">
        <v>716</v>
      </c>
      <c r="AI217">
        <v>100</v>
      </c>
      <c r="AJ217">
        <v>100</v>
      </c>
      <c r="AK217">
        <v>100</v>
      </c>
      <c r="AL217">
        <v>100</v>
      </c>
      <c r="AM217">
        <v>100</v>
      </c>
      <c r="AN217">
        <v>100</v>
      </c>
      <c r="AO217">
        <v>100</v>
      </c>
      <c r="AP217">
        <v>100</v>
      </c>
      <c r="AQ217">
        <v>100</v>
      </c>
      <c r="AR217">
        <v>100</v>
      </c>
      <c r="AS217">
        <v>100</v>
      </c>
      <c r="AT217">
        <v>100</v>
      </c>
      <c r="AU217">
        <v>100</v>
      </c>
      <c r="AV217">
        <v>100</v>
      </c>
      <c r="AW217">
        <v>100</v>
      </c>
      <c r="AX217">
        <v>100</v>
      </c>
      <c r="AY217">
        <v>100</v>
      </c>
      <c r="AZ217">
        <v>100</v>
      </c>
      <c r="BA217">
        <v>100</v>
      </c>
      <c r="BB217">
        <v>100</v>
      </c>
      <c r="BC217">
        <v>100</v>
      </c>
      <c r="BD217">
        <v>100</v>
      </c>
      <c r="BE217">
        <v>100</v>
      </c>
      <c r="BF217">
        <v>100</v>
      </c>
      <c r="BG217">
        <v>100</v>
      </c>
      <c r="BH217">
        <v>100</v>
      </c>
      <c r="BI217">
        <v>100</v>
      </c>
      <c r="BJ217">
        <v>100</v>
      </c>
      <c r="BK217">
        <v>100</v>
      </c>
      <c r="BL217">
        <v>100</v>
      </c>
      <c r="BM217">
        <v>100</v>
      </c>
      <c r="BN217">
        <v>100</v>
      </c>
      <c r="BO217">
        <v>100</v>
      </c>
      <c r="BP217">
        <v>100</v>
      </c>
    </row>
    <row r="218" spans="1:68" x14ac:dyDescent="0.3">
      <c r="A218" t="s">
        <v>631</v>
      </c>
      <c r="B218" t="s">
        <v>632</v>
      </c>
      <c r="C218" t="s">
        <v>715</v>
      </c>
      <c r="D218" t="s">
        <v>716</v>
      </c>
      <c r="AS218">
        <v>2.1</v>
      </c>
      <c r="AT218">
        <v>4.7</v>
      </c>
      <c r="AU218">
        <v>7.4</v>
      </c>
      <c r="AV218">
        <v>9.8000000000000007</v>
      </c>
      <c r="AW218">
        <v>12.4</v>
      </c>
      <c r="AX218">
        <v>15</v>
      </c>
      <c r="AY218">
        <v>15.2</v>
      </c>
      <c r="AZ218">
        <v>20.2</v>
      </c>
      <c r="BA218">
        <v>22.9</v>
      </c>
      <c r="BB218">
        <v>25.5</v>
      </c>
      <c r="BC218">
        <v>52.3</v>
      </c>
      <c r="BD218">
        <v>52</v>
      </c>
      <c r="BE218">
        <v>51.8</v>
      </c>
      <c r="BF218">
        <v>51.5</v>
      </c>
      <c r="BG218">
        <v>51.4</v>
      </c>
      <c r="BH218">
        <v>51.2</v>
      </c>
      <c r="BI218">
        <v>51.1</v>
      </c>
      <c r="BJ218">
        <v>52.1</v>
      </c>
      <c r="BK218">
        <v>50.7</v>
      </c>
      <c r="BL218">
        <v>49.2</v>
      </c>
      <c r="BM218">
        <v>49.9</v>
      </c>
      <c r="BN218">
        <v>49.3</v>
      </c>
      <c r="BO218">
        <v>48.9</v>
      </c>
      <c r="BP218">
        <v>50.3</v>
      </c>
    </row>
    <row r="219" spans="1:68" x14ac:dyDescent="0.3">
      <c r="A219" t="s">
        <v>207</v>
      </c>
      <c r="B219" t="s">
        <v>633</v>
      </c>
      <c r="C219" t="s">
        <v>715</v>
      </c>
      <c r="D219" t="s">
        <v>716</v>
      </c>
      <c r="AI219">
        <v>100</v>
      </c>
      <c r="AJ219">
        <v>100</v>
      </c>
      <c r="AK219">
        <v>100</v>
      </c>
      <c r="AL219">
        <v>100</v>
      </c>
      <c r="AM219">
        <v>100</v>
      </c>
      <c r="AN219">
        <v>100</v>
      </c>
      <c r="AO219">
        <v>100</v>
      </c>
      <c r="AP219">
        <v>100</v>
      </c>
      <c r="AQ219">
        <v>100</v>
      </c>
      <c r="AR219">
        <v>100</v>
      </c>
      <c r="AS219">
        <v>99.9</v>
      </c>
      <c r="AT219">
        <v>99.8</v>
      </c>
      <c r="AU219">
        <v>100</v>
      </c>
      <c r="AV219">
        <v>99.7</v>
      </c>
      <c r="AW219">
        <v>99.6</v>
      </c>
      <c r="AX219">
        <v>99.7</v>
      </c>
      <c r="AY219">
        <v>99.6</v>
      </c>
      <c r="AZ219">
        <v>99.6</v>
      </c>
      <c r="BA219">
        <v>99.6</v>
      </c>
      <c r="BB219">
        <v>99.6</v>
      </c>
      <c r="BC219">
        <v>99.7</v>
      </c>
      <c r="BD219">
        <v>99.7</v>
      </c>
      <c r="BE219">
        <v>99.8</v>
      </c>
      <c r="BF219">
        <v>99.9</v>
      </c>
      <c r="BG219">
        <v>99.7</v>
      </c>
      <c r="BH219">
        <v>99.9</v>
      </c>
      <c r="BI219">
        <v>99.9</v>
      </c>
      <c r="BJ219">
        <v>100</v>
      </c>
      <c r="BK219">
        <v>100</v>
      </c>
      <c r="BL219">
        <v>99.8</v>
      </c>
      <c r="BM219">
        <v>100</v>
      </c>
      <c r="BN219">
        <v>100</v>
      </c>
      <c r="BO219">
        <v>100</v>
      </c>
      <c r="BP219">
        <v>100</v>
      </c>
    </row>
    <row r="220" spans="1:68" x14ac:dyDescent="0.3">
      <c r="A220" t="s">
        <v>634</v>
      </c>
      <c r="B220" t="s">
        <v>635</v>
      </c>
      <c r="C220" t="s">
        <v>715</v>
      </c>
      <c r="D220" t="s">
        <v>716</v>
      </c>
      <c r="AO220">
        <v>28.500551472465151</v>
      </c>
      <c r="AP220">
        <v>28.352846515667462</v>
      </c>
      <c r="AQ220">
        <v>28.549224489137149</v>
      </c>
      <c r="AR220">
        <v>30.12928047050076</v>
      </c>
      <c r="AS220">
        <v>27.143926478685014</v>
      </c>
      <c r="AT220">
        <v>27.942173770400778</v>
      </c>
      <c r="AU220">
        <v>29.062715175680488</v>
      </c>
      <c r="AV220">
        <v>31.400376202270657</v>
      </c>
      <c r="AW220">
        <v>30.965894688278162</v>
      </c>
      <c r="AX220">
        <v>31.087934812203663</v>
      </c>
      <c r="AY220">
        <v>32.627935050334308</v>
      </c>
      <c r="AZ220">
        <v>33.882087411313535</v>
      </c>
      <c r="BA220">
        <v>33.565424127920487</v>
      </c>
      <c r="BB220">
        <v>33.623560911273088</v>
      </c>
      <c r="BC220">
        <v>34.210425330408953</v>
      </c>
      <c r="BD220">
        <v>37.348581603509849</v>
      </c>
      <c r="BE220">
        <v>37.647246780892765</v>
      </c>
      <c r="BF220">
        <v>38.841574495402398</v>
      </c>
      <c r="BG220">
        <v>39.605945873445428</v>
      </c>
      <c r="BH220">
        <v>40.343402663758987</v>
      </c>
      <c r="BI220">
        <v>43.929474231283102</v>
      </c>
      <c r="BJ220">
        <v>43.696610633564745</v>
      </c>
      <c r="BK220">
        <v>46.594122206283657</v>
      </c>
      <c r="BL220">
        <v>47.10162239722353</v>
      </c>
      <c r="BM220">
        <v>48.250851733219896</v>
      </c>
      <c r="BN220">
        <v>50.250173233321313</v>
      </c>
      <c r="BO220">
        <v>51.148993404853741</v>
      </c>
      <c r="BP220">
        <v>53.007481727321633</v>
      </c>
    </row>
    <row r="221" spans="1:68" x14ac:dyDescent="0.3">
      <c r="A221" t="s">
        <v>636</v>
      </c>
      <c r="B221" t="s">
        <v>637</v>
      </c>
      <c r="C221" t="s">
        <v>715</v>
      </c>
      <c r="D221" t="s">
        <v>716</v>
      </c>
      <c r="AZ221">
        <v>0.8</v>
      </c>
      <c r="BA221">
        <v>1.3</v>
      </c>
      <c r="BB221">
        <v>3</v>
      </c>
      <c r="BC221">
        <v>1.5</v>
      </c>
      <c r="BD221">
        <v>2.8</v>
      </c>
      <c r="BE221">
        <v>3.3</v>
      </c>
      <c r="BF221">
        <v>3.8</v>
      </c>
      <c r="BG221">
        <v>4.3</v>
      </c>
      <c r="BH221">
        <v>4.8</v>
      </c>
      <c r="BI221">
        <v>5.3</v>
      </c>
      <c r="BJ221">
        <v>4.2</v>
      </c>
      <c r="BK221">
        <v>6.3</v>
      </c>
      <c r="BL221">
        <v>6.8</v>
      </c>
      <c r="BM221">
        <v>7.3</v>
      </c>
      <c r="BN221">
        <v>7.7</v>
      </c>
      <c r="BO221">
        <v>8.4</v>
      </c>
      <c r="BP221">
        <v>5.4</v>
      </c>
    </row>
    <row r="222" spans="1:68" x14ac:dyDescent="0.3">
      <c r="A222" t="s">
        <v>638</v>
      </c>
      <c r="B222" t="s">
        <v>639</v>
      </c>
      <c r="C222" t="s">
        <v>715</v>
      </c>
      <c r="D222" t="s">
        <v>716</v>
      </c>
      <c r="AO222">
        <v>28.512384382876753</v>
      </c>
      <c r="AP222">
        <v>28.363633683406096</v>
      </c>
      <c r="AQ222">
        <v>28.559880608978997</v>
      </c>
      <c r="AR222">
        <v>30.13950698360895</v>
      </c>
      <c r="AS222">
        <v>25.700773726639031</v>
      </c>
      <c r="AT222">
        <v>26.160662802678047</v>
      </c>
      <c r="AU222">
        <v>27.336483548368467</v>
      </c>
      <c r="AV222">
        <v>29.592896206956532</v>
      </c>
      <c r="AW222">
        <v>29.370029099025153</v>
      </c>
      <c r="AX222">
        <v>29.352962971410758</v>
      </c>
      <c r="AY222">
        <v>31.201643193749348</v>
      </c>
      <c r="AZ222">
        <v>32.517987745477988</v>
      </c>
      <c r="BA222">
        <v>32.40335210625917</v>
      </c>
      <c r="BB222">
        <v>32.62644864620318</v>
      </c>
      <c r="BC222">
        <v>33.335247587415111</v>
      </c>
      <c r="BD222">
        <v>35.900819709673563</v>
      </c>
      <c r="BE222">
        <v>36.776277872370407</v>
      </c>
      <c r="BF222">
        <v>38.03200420250176</v>
      </c>
      <c r="BG222">
        <v>38.354476930345335</v>
      </c>
      <c r="BH222">
        <v>39.199650016083773</v>
      </c>
      <c r="BI222">
        <v>43.830165140380743</v>
      </c>
      <c r="BJ222">
        <v>43.76281945661772</v>
      </c>
      <c r="BK222">
        <v>46.416675242545701</v>
      </c>
      <c r="BL222">
        <v>47.197416815451739</v>
      </c>
      <c r="BM222">
        <v>48.54503894910453</v>
      </c>
      <c r="BN222">
        <v>50.656644864061718</v>
      </c>
      <c r="BO222">
        <v>51.587377584536242</v>
      </c>
      <c r="BP222">
        <v>53.256330901066264</v>
      </c>
    </row>
    <row r="223" spans="1:68" x14ac:dyDescent="0.3">
      <c r="A223" t="s">
        <v>640</v>
      </c>
      <c r="B223" t="s">
        <v>641</v>
      </c>
      <c r="C223" t="s">
        <v>715</v>
      </c>
      <c r="D223" t="s">
        <v>716</v>
      </c>
      <c r="AR223">
        <v>83.67551124964487</v>
      </c>
      <c r="AS223">
        <v>73.405870933082397</v>
      </c>
      <c r="AT223">
        <v>75.154568090637326</v>
      </c>
      <c r="AU223">
        <v>74.968024725598795</v>
      </c>
      <c r="AV223">
        <v>75.79165396022745</v>
      </c>
      <c r="AW223">
        <v>76.849692522196463</v>
      </c>
      <c r="AX223">
        <v>77.678367625405102</v>
      </c>
      <c r="AY223">
        <v>78.100677141942171</v>
      </c>
      <c r="AZ223">
        <v>79.580734925164776</v>
      </c>
      <c r="BA223">
        <v>80.595068922754905</v>
      </c>
      <c r="BB223">
        <v>80.422982642257963</v>
      </c>
      <c r="BC223">
        <v>82.199729744184992</v>
      </c>
      <c r="BD223">
        <v>83.906240710336007</v>
      </c>
      <c r="BE223">
        <v>84.824331062517615</v>
      </c>
      <c r="BF223">
        <v>85.270480845135566</v>
      </c>
      <c r="BG223">
        <v>86.77356378310968</v>
      </c>
      <c r="BH223">
        <v>87.681392887940191</v>
      </c>
      <c r="BI223">
        <v>88.848671335750097</v>
      </c>
      <c r="BJ223">
        <v>90.155027853480334</v>
      </c>
      <c r="BK223">
        <v>90.964733543223133</v>
      </c>
      <c r="BL223">
        <v>92.091922279073842</v>
      </c>
      <c r="BM223">
        <v>93.119594583178426</v>
      </c>
      <c r="BN223">
        <v>93.74681793733852</v>
      </c>
      <c r="BO223">
        <v>93.852223644498949</v>
      </c>
      <c r="BP223">
        <v>94.799961040014168</v>
      </c>
    </row>
    <row r="224" spans="1:68" x14ac:dyDescent="0.3">
      <c r="A224" t="s">
        <v>642</v>
      </c>
      <c r="B224" t="s">
        <v>643</v>
      </c>
      <c r="C224" t="s">
        <v>715</v>
      </c>
      <c r="D224" t="s">
        <v>716</v>
      </c>
      <c r="AS224">
        <v>52.9</v>
      </c>
      <c r="AT224">
        <v>51.5</v>
      </c>
      <c r="AU224">
        <v>52.5</v>
      </c>
      <c r="AV224">
        <v>53.6</v>
      </c>
      <c r="AW224">
        <v>54.7</v>
      </c>
      <c r="AX224">
        <v>55.8</v>
      </c>
      <c r="AY224">
        <v>56.9</v>
      </c>
      <c r="AZ224">
        <v>58</v>
      </c>
      <c r="BA224">
        <v>59.1</v>
      </c>
      <c r="BB224">
        <v>56.9</v>
      </c>
      <c r="BC224">
        <v>61.4</v>
      </c>
      <c r="BD224">
        <v>62.6</v>
      </c>
      <c r="BE224">
        <v>57.9</v>
      </c>
      <c r="BF224">
        <v>65</v>
      </c>
      <c r="BG224">
        <v>68.599999999999994</v>
      </c>
      <c r="BH224">
        <v>67.3</v>
      </c>
      <c r="BI224">
        <v>69.400000000000006</v>
      </c>
      <c r="BJ224">
        <v>74.3</v>
      </c>
      <c r="BK224">
        <v>71</v>
      </c>
      <c r="BL224">
        <v>75.099999999999994</v>
      </c>
      <c r="BM224">
        <v>76.8</v>
      </c>
      <c r="BN224">
        <v>78.5</v>
      </c>
      <c r="BO224">
        <v>78</v>
      </c>
      <c r="BP224">
        <v>81.3</v>
      </c>
    </row>
    <row r="225" spans="1:68" x14ac:dyDescent="0.3">
      <c r="A225" t="s">
        <v>209</v>
      </c>
      <c r="B225" t="s">
        <v>644</v>
      </c>
      <c r="C225" t="s">
        <v>715</v>
      </c>
      <c r="D225" t="s">
        <v>716</v>
      </c>
      <c r="AR225">
        <v>99.62406</v>
      </c>
      <c r="AS225">
        <v>95.4</v>
      </c>
      <c r="AT225">
        <v>95.3</v>
      </c>
      <c r="AU225">
        <v>95.2</v>
      </c>
      <c r="AV225">
        <v>95.1</v>
      </c>
      <c r="AW225">
        <v>95</v>
      </c>
      <c r="AX225">
        <v>94.9</v>
      </c>
      <c r="AY225">
        <v>91</v>
      </c>
      <c r="AZ225">
        <v>94.7</v>
      </c>
      <c r="BA225">
        <v>94.7</v>
      </c>
      <c r="BB225">
        <v>94.6</v>
      </c>
      <c r="BC225">
        <v>91.2</v>
      </c>
      <c r="BD225">
        <v>94.6</v>
      </c>
      <c r="BE225">
        <v>94.6</v>
      </c>
      <c r="BF225">
        <v>94.6</v>
      </c>
      <c r="BG225">
        <v>94.6</v>
      </c>
      <c r="BH225">
        <v>95</v>
      </c>
      <c r="BI225">
        <v>95.8</v>
      </c>
      <c r="BJ225">
        <v>96.6</v>
      </c>
      <c r="BK225">
        <v>97.4</v>
      </c>
      <c r="BL225">
        <v>97.9</v>
      </c>
      <c r="BM225">
        <v>98.4</v>
      </c>
      <c r="BN225">
        <v>98.8</v>
      </c>
      <c r="BO225">
        <v>99</v>
      </c>
      <c r="BP225">
        <v>99.6</v>
      </c>
    </row>
    <row r="226" spans="1:68" x14ac:dyDescent="0.3">
      <c r="A226" t="s">
        <v>752</v>
      </c>
      <c r="B226" t="s">
        <v>645</v>
      </c>
      <c r="C226" t="s">
        <v>715</v>
      </c>
      <c r="D226" t="s">
        <v>716</v>
      </c>
      <c r="AI226">
        <v>100</v>
      </c>
      <c r="AJ226">
        <v>100</v>
      </c>
      <c r="AK226">
        <v>100</v>
      </c>
      <c r="AL226">
        <v>100</v>
      </c>
      <c r="AM226">
        <v>100</v>
      </c>
      <c r="AN226">
        <v>100</v>
      </c>
      <c r="AO226">
        <v>100</v>
      </c>
      <c r="AP226">
        <v>100</v>
      </c>
      <c r="AQ226">
        <v>100</v>
      </c>
      <c r="AR226">
        <v>100</v>
      </c>
      <c r="AS226">
        <v>100</v>
      </c>
      <c r="AT226">
        <v>100</v>
      </c>
      <c r="AU226">
        <v>100</v>
      </c>
      <c r="AV226">
        <v>100</v>
      </c>
      <c r="AW226">
        <v>100</v>
      </c>
      <c r="AX226">
        <v>99.9</v>
      </c>
      <c r="AY226">
        <v>99.9</v>
      </c>
      <c r="AZ226">
        <v>100</v>
      </c>
      <c r="BA226">
        <v>100</v>
      </c>
      <c r="BB226">
        <v>100</v>
      </c>
      <c r="BC226">
        <v>100</v>
      </c>
      <c r="BD226">
        <v>100</v>
      </c>
      <c r="BE226">
        <v>100</v>
      </c>
      <c r="BF226">
        <v>100</v>
      </c>
      <c r="BG226">
        <v>100</v>
      </c>
      <c r="BH226">
        <v>100</v>
      </c>
      <c r="BI226">
        <v>100</v>
      </c>
      <c r="BJ226">
        <v>100</v>
      </c>
      <c r="BK226">
        <v>100</v>
      </c>
      <c r="BL226">
        <v>100</v>
      </c>
      <c r="BM226">
        <v>100</v>
      </c>
      <c r="BN226">
        <v>100</v>
      </c>
      <c r="BO226">
        <v>100</v>
      </c>
      <c r="BP226">
        <v>100</v>
      </c>
    </row>
    <row r="227" spans="1:68" x14ac:dyDescent="0.3">
      <c r="A227" t="s">
        <v>211</v>
      </c>
      <c r="B227" t="s">
        <v>646</v>
      </c>
      <c r="C227" t="s">
        <v>715</v>
      </c>
      <c r="D227" t="s">
        <v>716</v>
      </c>
      <c r="AI227">
        <v>100</v>
      </c>
      <c r="AJ227">
        <v>100</v>
      </c>
      <c r="AK227">
        <v>100</v>
      </c>
      <c r="AL227">
        <v>100</v>
      </c>
      <c r="AM227">
        <v>100</v>
      </c>
      <c r="AN227">
        <v>100</v>
      </c>
      <c r="AO227">
        <v>100</v>
      </c>
      <c r="AP227">
        <v>100</v>
      </c>
      <c r="AQ227">
        <v>100</v>
      </c>
      <c r="AR227">
        <v>100</v>
      </c>
      <c r="AS227">
        <v>100</v>
      </c>
      <c r="AT227">
        <v>100</v>
      </c>
      <c r="AU227">
        <v>100</v>
      </c>
      <c r="AV227">
        <v>100</v>
      </c>
      <c r="AW227">
        <v>100</v>
      </c>
      <c r="AX227">
        <v>100</v>
      </c>
      <c r="AY227">
        <v>100</v>
      </c>
      <c r="AZ227">
        <v>100</v>
      </c>
      <c r="BA227">
        <v>100</v>
      </c>
      <c r="BB227">
        <v>100</v>
      </c>
      <c r="BC227">
        <v>100</v>
      </c>
      <c r="BD227">
        <v>100</v>
      </c>
      <c r="BE227">
        <v>100</v>
      </c>
      <c r="BF227">
        <v>100</v>
      </c>
      <c r="BG227">
        <v>100</v>
      </c>
      <c r="BH227">
        <v>100</v>
      </c>
      <c r="BI227">
        <v>100</v>
      </c>
      <c r="BJ227">
        <v>100</v>
      </c>
      <c r="BK227">
        <v>100</v>
      </c>
      <c r="BL227">
        <v>100</v>
      </c>
      <c r="BM227">
        <v>100</v>
      </c>
      <c r="BN227">
        <v>100</v>
      </c>
      <c r="BO227">
        <v>100</v>
      </c>
      <c r="BP227">
        <v>100</v>
      </c>
    </row>
    <row r="228" spans="1:68" x14ac:dyDescent="0.3">
      <c r="A228" t="s">
        <v>213</v>
      </c>
      <c r="B228" t="s">
        <v>647</v>
      </c>
      <c r="C228" t="s">
        <v>715</v>
      </c>
      <c r="D228" t="s">
        <v>716</v>
      </c>
      <c r="AI228">
        <v>100</v>
      </c>
      <c r="AJ228">
        <v>100</v>
      </c>
      <c r="AK228">
        <v>100</v>
      </c>
      <c r="AL228">
        <v>100</v>
      </c>
      <c r="AM228">
        <v>100</v>
      </c>
      <c r="AN228">
        <v>100</v>
      </c>
      <c r="AO228">
        <v>100</v>
      </c>
      <c r="AP228">
        <v>100</v>
      </c>
      <c r="AQ228">
        <v>100</v>
      </c>
      <c r="AR228">
        <v>100</v>
      </c>
      <c r="AS228">
        <v>100</v>
      </c>
      <c r="AT228">
        <v>100</v>
      </c>
      <c r="AU228">
        <v>100</v>
      </c>
      <c r="AV228">
        <v>100</v>
      </c>
      <c r="AW228">
        <v>100</v>
      </c>
      <c r="AX228">
        <v>100</v>
      </c>
      <c r="AY228">
        <v>100</v>
      </c>
      <c r="AZ228">
        <v>100</v>
      </c>
      <c r="BA228">
        <v>100</v>
      </c>
      <c r="BB228">
        <v>100</v>
      </c>
      <c r="BC228">
        <v>100</v>
      </c>
      <c r="BD228">
        <v>100</v>
      </c>
      <c r="BE228">
        <v>100</v>
      </c>
      <c r="BF228">
        <v>100</v>
      </c>
      <c r="BG228">
        <v>100</v>
      </c>
      <c r="BH228">
        <v>100</v>
      </c>
      <c r="BI228">
        <v>100</v>
      </c>
      <c r="BJ228">
        <v>100</v>
      </c>
      <c r="BK228">
        <v>100</v>
      </c>
      <c r="BL228">
        <v>100</v>
      </c>
      <c r="BM228">
        <v>100</v>
      </c>
      <c r="BN228">
        <v>100</v>
      </c>
      <c r="BO228">
        <v>100</v>
      </c>
      <c r="BP228">
        <v>100</v>
      </c>
    </row>
    <row r="229" spans="1:68" x14ac:dyDescent="0.3">
      <c r="A229" t="s">
        <v>648</v>
      </c>
      <c r="B229" t="s">
        <v>649</v>
      </c>
      <c r="C229" t="s">
        <v>715</v>
      </c>
      <c r="D229" t="s">
        <v>716</v>
      </c>
      <c r="AS229">
        <v>20.399999999999999</v>
      </c>
      <c r="AT229">
        <v>26.9</v>
      </c>
      <c r="AU229">
        <v>25.9</v>
      </c>
      <c r="AV229">
        <v>28.7</v>
      </c>
      <c r="AW229">
        <v>31.4</v>
      </c>
      <c r="AX229">
        <v>34.200000000000003</v>
      </c>
      <c r="AY229">
        <v>35.200000000000003</v>
      </c>
      <c r="AZ229">
        <v>39.799999999999997</v>
      </c>
      <c r="BA229">
        <v>42.6</v>
      </c>
      <c r="BB229">
        <v>38.6</v>
      </c>
      <c r="BC229">
        <v>45.6</v>
      </c>
      <c r="BD229">
        <v>51.2</v>
      </c>
      <c r="BE229">
        <v>54.3</v>
      </c>
      <c r="BF229">
        <v>57.5</v>
      </c>
      <c r="BG229">
        <v>65</v>
      </c>
      <c r="BH229">
        <v>64.099999999999994</v>
      </c>
      <c r="BI229">
        <v>63.4</v>
      </c>
      <c r="BJ229">
        <v>73.5</v>
      </c>
      <c r="BK229">
        <v>74</v>
      </c>
      <c r="BL229">
        <v>77</v>
      </c>
      <c r="BM229">
        <v>80</v>
      </c>
      <c r="BN229">
        <v>82.9</v>
      </c>
      <c r="BO229">
        <v>82.3</v>
      </c>
      <c r="BP229">
        <v>86.4</v>
      </c>
    </row>
    <row r="230" spans="1:68" x14ac:dyDescent="0.3">
      <c r="A230" t="s">
        <v>650</v>
      </c>
      <c r="B230" t="s">
        <v>651</v>
      </c>
      <c r="C230" t="s">
        <v>715</v>
      </c>
      <c r="D230" t="s">
        <v>716</v>
      </c>
      <c r="AI230">
        <v>100</v>
      </c>
      <c r="AJ230">
        <v>100</v>
      </c>
      <c r="AK230">
        <v>100</v>
      </c>
      <c r="AL230">
        <v>100</v>
      </c>
      <c r="AM230">
        <v>100</v>
      </c>
      <c r="AN230">
        <v>100</v>
      </c>
      <c r="AO230">
        <v>100</v>
      </c>
      <c r="AP230">
        <v>100</v>
      </c>
      <c r="AQ230">
        <v>100</v>
      </c>
      <c r="AR230">
        <v>100</v>
      </c>
      <c r="AS230">
        <v>100</v>
      </c>
      <c r="AT230">
        <v>99.9</v>
      </c>
      <c r="AU230">
        <v>99.9</v>
      </c>
      <c r="AV230">
        <v>99.8</v>
      </c>
      <c r="AW230">
        <v>99.8</v>
      </c>
      <c r="AX230">
        <v>99.7</v>
      </c>
      <c r="AY230">
        <v>99.7</v>
      </c>
      <c r="AZ230">
        <v>99.7</v>
      </c>
      <c r="BA230">
        <v>99.7</v>
      </c>
      <c r="BB230">
        <v>99.7</v>
      </c>
      <c r="BC230">
        <v>100</v>
      </c>
      <c r="BD230">
        <v>100</v>
      </c>
      <c r="BE230">
        <v>100</v>
      </c>
      <c r="BF230">
        <v>100</v>
      </c>
      <c r="BG230">
        <v>100</v>
      </c>
      <c r="BH230">
        <v>100</v>
      </c>
      <c r="BI230">
        <v>100</v>
      </c>
      <c r="BJ230">
        <v>100</v>
      </c>
      <c r="BK230">
        <v>100</v>
      </c>
      <c r="BL230">
        <v>100</v>
      </c>
      <c r="BM230">
        <v>100</v>
      </c>
      <c r="BN230">
        <v>100</v>
      </c>
      <c r="BO230">
        <v>100</v>
      </c>
      <c r="BP230">
        <v>100</v>
      </c>
    </row>
    <row r="231" spans="1:68" x14ac:dyDescent="0.3">
      <c r="A231" t="s">
        <v>652</v>
      </c>
      <c r="B231" t="s">
        <v>653</v>
      </c>
      <c r="C231" t="s">
        <v>715</v>
      </c>
      <c r="D231" t="s">
        <v>716</v>
      </c>
      <c r="AM231">
        <v>90</v>
      </c>
      <c r="AN231">
        <v>92.173652648925795</v>
      </c>
      <c r="AO231">
        <v>92.552490234375</v>
      </c>
      <c r="AP231">
        <v>92</v>
      </c>
      <c r="AQ231">
        <v>93.299293518066406</v>
      </c>
      <c r="AR231">
        <v>93.665809631347699</v>
      </c>
      <c r="AS231">
        <v>94.1</v>
      </c>
      <c r="AT231">
        <v>94.4</v>
      </c>
      <c r="AU231">
        <v>96.1</v>
      </c>
      <c r="AV231">
        <v>94.9</v>
      </c>
      <c r="AW231">
        <v>95.2</v>
      </c>
      <c r="AX231">
        <v>95.5</v>
      </c>
      <c r="AY231">
        <v>99</v>
      </c>
      <c r="AZ231">
        <v>96.1</v>
      </c>
      <c r="BA231">
        <v>96.5</v>
      </c>
      <c r="BB231">
        <v>96.8</v>
      </c>
      <c r="BC231">
        <v>97</v>
      </c>
      <c r="BD231">
        <v>98.1</v>
      </c>
      <c r="BE231">
        <v>98.3</v>
      </c>
      <c r="BF231">
        <v>98</v>
      </c>
      <c r="BG231">
        <v>100</v>
      </c>
      <c r="BH231">
        <v>100</v>
      </c>
      <c r="BI231">
        <v>100</v>
      </c>
      <c r="BJ231">
        <v>100</v>
      </c>
      <c r="BK231">
        <v>100</v>
      </c>
      <c r="BL231">
        <v>100</v>
      </c>
      <c r="BM231">
        <v>100</v>
      </c>
      <c r="BN231">
        <v>100</v>
      </c>
      <c r="BO231">
        <v>100</v>
      </c>
      <c r="BP231">
        <v>100</v>
      </c>
    </row>
    <row r="232" spans="1:68" x14ac:dyDescent="0.3">
      <c r="A232" t="s">
        <v>215</v>
      </c>
      <c r="B232" t="s">
        <v>654</v>
      </c>
      <c r="C232" t="s">
        <v>715</v>
      </c>
      <c r="D232" t="s">
        <v>716</v>
      </c>
      <c r="AS232">
        <v>93.4</v>
      </c>
      <c r="AT232">
        <v>93.1</v>
      </c>
      <c r="AU232">
        <v>86.6</v>
      </c>
      <c r="AV232">
        <v>92.6</v>
      </c>
      <c r="AW232">
        <v>92.3</v>
      </c>
      <c r="AX232">
        <v>92</v>
      </c>
      <c r="AY232">
        <v>99.5</v>
      </c>
      <c r="AZ232">
        <v>91.5</v>
      </c>
      <c r="BA232">
        <v>91.3</v>
      </c>
      <c r="BB232">
        <v>91.1</v>
      </c>
      <c r="BC232">
        <v>92.7</v>
      </c>
      <c r="BD232">
        <v>91.5</v>
      </c>
      <c r="BE232">
        <v>90.7</v>
      </c>
      <c r="BF232">
        <v>90.4</v>
      </c>
      <c r="BG232">
        <v>90.2</v>
      </c>
      <c r="BH232">
        <v>90</v>
      </c>
      <c r="BI232">
        <v>89.8</v>
      </c>
      <c r="BJ232">
        <v>89.6</v>
      </c>
      <c r="BK232">
        <v>86</v>
      </c>
      <c r="BL232">
        <v>89.2</v>
      </c>
      <c r="BM232">
        <v>89</v>
      </c>
      <c r="BN232">
        <v>88.8</v>
      </c>
      <c r="BO232">
        <v>89</v>
      </c>
      <c r="BP232">
        <v>88.4</v>
      </c>
    </row>
    <row r="233" spans="1:68" x14ac:dyDescent="0.3">
      <c r="A233" t="s">
        <v>655</v>
      </c>
      <c r="B233" t="s">
        <v>656</v>
      </c>
      <c r="C233" t="s">
        <v>715</v>
      </c>
      <c r="D233" t="s">
        <v>716</v>
      </c>
      <c r="AI233">
        <v>88.7</v>
      </c>
      <c r="AJ233">
        <v>91.053909301757798</v>
      </c>
      <c r="AK233">
        <v>91.439117431640597</v>
      </c>
      <c r="AL233">
        <v>91.823646545410199</v>
      </c>
      <c r="AM233">
        <v>92.206817626953097</v>
      </c>
      <c r="AN233">
        <v>92.587944030761705</v>
      </c>
      <c r="AO233">
        <v>92.966346740722699</v>
      </c>
      <c r="AP233">
        <v>93.341361999511705</v>
      </c>
      <c r="AQ233">
        <v>93.712287902832003</v>
      </c>
      <c r="AR233">
        <v>94.078376770019503</v>
      </c>
      <c r="AS233">
        <v>95.6</v>
      </c>
      <c r="AT233">
        <v>94.9</v>
      </c>
      <c r="AU233">
        <v>95.2</v>
      </c>
      <c r="AV233">
        <v>95.4</v>
      </c>
      <c r="AW233">
        <v>95.7</v>
      </c>
      <c r="AX233">
        <v>96</v>
      </c>
      <c r="AY233">
        <v>96.2</v>
      </c>
      <c r="AZ233">
        <v>96.6</v>
      </c>
      <c r="BA233">
        <v>96.9</v>
      </c>
      <c r="BB233">
        <v>100</v>
      </c>
      <c r="BC233">
        <v>100</v>
      </c>
      <c r="BD233">
        <v>100</v>
      </c>
      <c r="BE233">
        <v>93.1</v>
      </c>
      <c r="BF233">
        <v>100</v>
      </c>
      <c r="BG233">
        <v>100</v>
      </c>
      <c r="BH233">
        <v>100</v>
      </c>
      <c r="BI233">
        <v>100</v>
      </c>
      <c r="BJ233">
        <v>100</v>
      </c>
      <c r="BK233">
        <v>100</v>
      </c>
      <c r="BL233">
        <v>100</v>
      </c>
      <c r="BM233">
        <v>99.4</v>
      </c>
      <c r="BN233">
        <v>100</v>
      </c>
      <c r="BO233">
        <v>99.9</v>
      </c>
      <c r="BP233">
        <v>100</v>
      </c>
    </row>
    <row r="234" spans="1:68" x14ac:dyDescent="0.3">
      <c r="A234" t="s">
        <v>657</v>
      </c>
      <c r="B234" t="s">
        <v>658</v>
      </c>
      <c r="C234" t="s">
        <v>715</v>
      </c>
      <c r="D234" t="s">
        <v>716</v>
      </c>
      <c r="AP234">
        <v>2.2999999999999998</v>
      </c>
      <c r="AQ234">
        <v>2.4203872680664098</v>
      </c>
      <c r="AR234">
        <v>2.80621337890625</v>
      </c>
      <c r="AS234">
        <v>3.1</v>
      </c>
      <c r="AT234">
        <v>3.4</v>
      </c>
      <c r="AU234">
        <v>3.8</v>
      </c>
      <c r="AV234">
        <v>4.0999999999999996</v>
      </c>
      <c r="AW234">
        <v>3.5</v>
      </c>
      <c r="AX234">
        <v>4.8</v>
      </c>
      <c r="AY234">
        <v>5.0999999999999996</v>
      </c>
      <c r="AZ234">
        <v>5.5</v>
      </c>
      <c r="BA234">
        <v>5.9</v>
      </c>
      <c r="BB234">
        <v>6.3</v>
      </c>
      <c r="BC234">
        <v>6.4</v>
      </c>
      <c r="BD234">
        <v>9</v>
      </c>
      <c r="BE234">
        <v>7.8</v>
      </c>
      <c r="BF234">
        <v>8.1</v>
      </c>
      <c r="BG234">
        <v>8.4</v>
      </c>
      <c r="BH234">
        <v>7.7</v>
      </c>
      <c r="BI234">
        <v>9.1999999999999993</v>
      </c>
      <c r="BJ234">
        <v>10.9</v>
      </c>
      <c r="BK234">
        <v>10.1</v>
      </c>
      <c r="BL234">
        <v>8.4</v>
      </c>
      <c r="BM234">
        <v>10.9</v>
      </c>
      <c r="BN234">
        <v>11.3</v>
      </c>
      <c r="BO234">
        <v>11.7</v>
      </c>
      <c r="BP234">
        <v>12</v>
      </c>
    </row>
    <row r="235" spans="1:68" x14ac:dyDescent="0.3">
      <c r="A235" t="s">
        <v>659</v>
      </c>
      <c r="B235" t="s">
        <v>660</v>
      </c>
      <c r="C235" t="s">
        <v>715</v>
      </c>
      <c r="D235" t="s">
        <v>716</v>
      </c>
      <c r="AS235">
        <v>91.13826178774957</v>
      </c>
      <c r="AT235">
        <v>91.679915787718784</v>
      </c>
      <c r="AU235">
        <v>92.153373216405754</v>
      </c>
      <c r="AV235">
        <v>92.378144878328129</v>
      </c>
      <c r="AW235">
        <v>93.266150585721775</v>
      </c>
      <c r="AX235">
        <v>92.845397374282797</v>
      </c>
      <c r="AY235">
        <v>94.04152600359123</v>
      </c>
      <c r="AZ235">
        <v>94.051463551072217</v>
      </c>
      <c r="BA235">
        <v>94.671992046207365</v>
      </c>
      <c r="BB235">
        <v>95.307852373853095</v>
      </c>
      <c r="BC235">
        <v>95.898601883302973</v>
      </c>
      <c r="BD235">
        <v>96.401889239182708</v>
      </c>
      <c r="BE235">
        <v>96.586590871601601</v>
      </c>
      <c r="BF235">
        <v>96.858312626442483</v>
      </c>
      <c r="BG235">
        <v>97.0127423122849</v>
      </c>
      <c r="BH235">
        <v>97.335047010317297</v>
      </c>
      <c r="BI235">
        <v>97.402639237346634</v>
      </c>
      <c r="BJ235">
        <v>98.112189372733582</v>
      </c>
      <c r="BK235">
        <v>98.051229750632061</v>
      </c>
      <c r="BL235">
        <v>98.264790119439866</v>
      </c>
      <c r="BM235">
        <v>98.152171249912115</v>
      </c>
      <c r="BN235">
        <v>98.525937799981747</v>
      </c>
      <c r="BO235">
        <v>98.568746844431772</v>
      </c>
      <c r="BP235">
        <v>98.747442406960758</v>
      </c>
    </row>
    <row r="236" spans="1:68" x14ac:dyDescent="0.3">
      <c r="A236" t="s">
        <v>661</v>
      </c>
      <c r="B236" t="s">
        <v>662</v>
      </c>
      <c r="C236" t="s">
        <v>715</v>
      </c>
      <c r="D236" t="s">
        <v>716</v>
      </c>
      <c r="AI236">
        <v>100</v>
      </c>
      <c r="AJ236">
        <v>100</v>
      </c>
      <c r="AK236">
        <v>100</v>
      </c>
      <c r="AL236">
        <v>100</v>
      </c>
      <c r="AM236">
        <v>100</v>
      </c>
      <c r="AN236">
        <v>99.994828331292609</v>
      </c>
      <c r="AO236">
        <v>99.934651037418305</v>
      </c>
      <c r="AP236">
        <v>99.92169765757636</v>
      </c>
      <c r="AQ236">
        <v>99.926364921331754</v>
      </c>
      <c r="AR236">
        <v>99.715835337118079</v>
      </c>
      <c r="AS236">
        <v>98.254727590228313</v>
      </c>
      <c r="AT236">
        <v>98.350520889939943</v>
      </c>
      <c r="AU236">
        <v>98.423827385271267</v>
      </c>
      <c r="AV236">
        <v>98.438063287488006</v>
      </c>
      <c r="AW236">
        <v>98.486641163599003</v>
      </c>
      <c r="AX236">
        <v>98.568287149558131</v>
      </c>
      <c r="AY236">
        <v>98.608716124861701</v>
      </c>
      <c r="AZ236">
        <v>98.724690618173867</v>
      </c>
      <c r="BA236">
        <v>98.813220007856543</v>
      </c>
      <c r="BB236">
        <v>98.927523192562703</v>
      </c>
      <c r="BC236">
        <v>99.328704961902858</v>
      </c>
      <c r="BD236">
        <v>99.326924487923577</v>
      </c>
      <c r="BE236">
        <v>99.654698826211799</v>
      </c>
      <c r="BF236">
        <v>99.697918624784137</v>
      </c>
      <c r="BG236">
        <v>99.751654029346255</v>
      </c>
      <c r="BH236">
        <v>98.332443916391895</v>
      </c>
      <c r="BI236">
        <v>99.65750373304563</v>
      </c>
      <c r="BJ236">
        <v>99.928217769347171</v>
      </c>
      <c r="BK236">
        <v>99.941561985420691</v>
      </c>
      <c r="BL236">
        <v>99.906977356994474</v>
      </c>
      <c r="BM236">
        <v>99.952098957297935</v>
      </c>
      <c r="BN236">
        <v>99.976403765379075</v>
      </c>
      <c r="BO236">
        <v>99.995445995710995</v>
      </c>
      <c r="BP236">
        <v>100</v>
      </c>
    </row>
    <row r="237" spans="1:68" x14ac:dyDescent="0.3">
      <c r="A237" t="s">
        <v>216</v>
      </c>
      <c r="B237" t="s">
        <v>663</v>
      </c>
      <c r="C237" t="s">
        <v>715</v>
      </c>
      <c r="D237" t="s">
        <v>716</v>
      </c>
      <c r="AQ237">
        <v>15.3</v>
      </c>
      <c r="AR237">
        <v>16.072999954223601</v>
      </c>
      <c r="AS237">
        <v>17</v>
      </c>
      <c r="AT237">
        <v>19.600000000000001</v>
      </c>
      <c r="AU237">
        <v>21.3</v>
      </c>
      <c r="AV237">
        <v>23</v>
      </c>
      <c r="AW237">
        <v>24.8</v>
      </c>
      <c r="AX237">
        <v>26.5</v>
      </c>
      <c r="AY237">
        <v>27.9</v>
      </c>
      <c r="AZ237">
        <v>30</v>
      </c>
      <c r="BA237">
        <v>31.8</v>
      </c>
      <c r="BB237">
        <v>33.700000000000003</v>
      </c>
      <c r="BC237">
        <v>30.8</v>
      </c>
      <c r="BD237">
        <v>39.700000000000003</v>
      </c>
      <c r="BE237">
        <v>39.1</v>
      </c>
      <c r="BF237">
        <v>41</v>
      </c>
      <c r="BG237">
        <v>45.7</v>
      </c>
      <c r="BH237">
        <v>44.7</v>
      </c>
      <c r="BI237">
        <v>46.8</v>
      </c>
      <c r="BJ237">
        <v>48</v>
      </c>
      <c r="BK237">
        <v>50</v>
      </c>
      <c r="BL237">
        <v>52.5</v>
      </c>
      <c r="BM237">
        <v>54.1</v>
      </c>
      <c r="BN237">
        <v>55.7</v>
      </c>
      <c r="BO237">
        <v>57.2</v>
      </c>
      <c r="BP237">
        <v>59.2</v>
      </c>
    </row>
    <row r="238" spans="1:68" x14ac:dyDescent="0.3">
      <c r="A238" t="s">
        <v>218</v>
      </c>
      <c r="B238" t="s">
        <v>664</v>
      </c>
      <c r="C238" t="s">
        <v>715</v>
      </c>
      <c r="D238" t="s">
        <v>716</v>
      </c>
      <c r="AS238">
        <v>82.1</v>
      </c>
      <c r="AT238">
        <v>90.4</v>
      </c>
      <c r="AU238">
        <v>91</v>
      </c>
      <c r="AV238">
        <v>91.6</v>
      </c>
      <c r="AW238">
        <v>92.2</v>
      </c>
      <c r="AX238">
        <v>92.8</v>
      </c>
      <c r="AY238">
        <v>99.1</v>
      </c>
      <c r="AZ238">
        <v>94.1</v>
      </c>
      <c r="BA238">
        <v>94.8</v>
      </c>
      <c r="BB238">
        <v>99</v>
      </c>
      <c r="BC238">
        <v>99.7</v>
      </c>
      <c r="BD238">
        <v>99.3</v>
      </c>
      <c r="BE238">
        <v>99.1</v>
      </c>
      <c r="BF238">
        <v>99.4</v>
      </c>
      <c r="BG238">
        <v>99.5</v>
      </c>
      <c r="BH238">
        <v>99.6</v>
      </c>
      <c r="BI238">
        <v>99.9</v>
      </c>
      <c r="BJ238">
        <v>99.9</v>
      </c>
      <c r="BK238">
        <v>99.8</v>
      </c>
      <c r="BL238">
        <v>99.9</v>
      </c>
      <c r="BM238">
        <v>100</v>
      </c>
      <c r="BN238">
        <v>100</v>
      </c>
      <c r="BO238">
        <v>99.9</v>
      </c>
      <c r="BP238">
        <v>100</v>
      </c>
    </row>
    <row r="239" spans="1:68" x14ac:dyDescent="0.3">
      <c r="A239" t="s">
        <v>219</v>
      </c>
      <c r="B239" t="s">
        <v>665</v>
      </c>
      <c r="C239" t="s">
        <v>715</v>
      </c>
      <c r="D239" t="s">
        <v>716</v>
      </c>
      <c r="AR239">
        <v>97</v>
      </c>
      <c r="AS239">
        <v>98.5</v>
      </c>
      <c r="AT239">
        <v>98.6</v>
      </c>
      <c r="AU239">
        <v>99</v>
      </c>
      <c r="AV239">
        <v>100</v>
      </c>
      <c r="AW239">
        <v>98.5</v>
      </c>
      <c r="AX239">
        <v>99.3</v>
      </c>
      <c r="AY239">
        <v>98.6</v>
      </c>
      <c r="AZ239">
        <v>98.6</v>
      </c>
      <c r="BA239">
        <v>98.6</v>
      </c>
      <c r="BB239">
        <v>99</v>
      </c>
      <c r="BC239">
        <v>98.8</v>
      </c>
      <c r="BD239">
        <v>98.9</v>
      </c>
      <c r="BE239">
        <v>99.1</v>
      </c>
      <c r="BF239">
        <v>99</v>
      </c>
      <c r="BG239">
        <v>99.1</v>
      </c>
      <c r="BH239">
        <v>98</v>
      </c>
      <c r="BI239">
        <v>99.3</v>
      </c>
      <c r="BJ239">
        <v>99.3</v>
      </c>
      <c r="BK239">
        <v>99.3</v>
      </c>
      <c r="BL239">
        <v>99.4</v>
      </c>
      <c r="BM239">
        <v>99.5</v>
      </c>
      <c r="BN239">
        <v>99.6</v>
      </c>
      <c r="BO239">
        <v>100</v>
      </c>
      <c r="BP239">
        <v>100</v>
      </c>
    </row>
    <row r="240" spans="1:68" x14ac:dyDescent="0.3">
      <c r="A240" t="s">
        <v>221</v>
      </c>
      <c r="B240" t="s">
        <v>666</v>
      </c>
      <c r="C240" t="s">
        <v>715</v>
      </c>
      <c r="D240" t="s">
        <v>716</v>
      </c>
      <c r="AS240">
        <v>99.6</v>
      </c>
      <c r="AT240">
        <v>99.6</v>
      </c>
      <c r="AU240">
        <v>99.6</v>
      </c>
      <c r="AV240">
        <v>99.6</v>
      </c>
      <c r="AW240">
        <v>99.5</v>
      </c>
      <c r="AX240">
        <v>99.5</v>
      </c>
      <c r="AY240">
        <v>99.8</v>
      </c>
      <c r="AZ240">
        <v>99.6</v>
      </c>
      <c r="BA240">
        <v>99.6</v>
      </c>
      <c r="BB240">
        <v>99.7</v>
      </c>
      <c r="BC240">
        <v>100</v>
      </c>
      <c r="BD240">
        <v>99.8</v>
      </c>
      <c r="BE240">
        <v>99.9</v>
      </c>
      <c r="BF240">
        <v>99.9</v>
      </c>
      <c r="BG240">
        <v>100</v>
      </c>
      <c r="BH240">
        <v>100</v>
      </c>
      <c r="BI240">
        <v>100</v>
      </c>
      <c r="BJ240">
        <v>100</v>
      </c>
      <c r="BK240">
        <v>100</v>
      </c>
      <c r="BL240">
        <v>99.9</v>
      </c>
      <c r="BM240">
        <v>100</v>
      </c>
      <c r="BN240">
        <v>100</v>
      </c>
      <c r="BO240">
        <v>100</v>
      </c>
      <c r="BP240">
        <v>100</v>
      </c>
    </row>
    <row r="241" spans="1:68" x14ac:dyDescent="0.3">
      <c r="A241" t="s">
        <v>667</v>
      </c>
      <c r="B241" t="s">
        <v>668</v>
      </c>
      <c r="C241" t="s">
        <v>715</v>
      </c>
      <c r="D241" t="s">
        <v>716</v>
      </c>
      <c r="AK241">
        <v>88.613750811535468</v>
      </c>
      <c r="AL241">
        <v>89.231501399026826</v>
      </c>
      <c r="AM241">
        <v>90.139056071381034</v>
      </c>
      <c r="AN241">
        <v>88.511824931362383</v>
      </c>
      <c r="AO241">
        <v>89.476511292900199</v>
      </c>
      <c r="AP241">
        <v>89.936083689464226</v>
      </c>
      <c r="AQ241">
        <v>90.560225253865795</v>
      </c>
      <c r="AR241">
        <v>91.176325891029279</v>
      </c>
      <c r="AS241">
        <v>91.546502371545174</v>
      </c>
      <c r="AT241">
        <v>92.179495111715497</v>
      </c>
      <c r="AU241">
        <v>92.528942655773363</v>
      </c>
      <c r="AV241">
        <v>92.594412616212267</v>
      </c>
      <c r="AW241">
        <v>93.088820707837087</v>
      </c>
      <c r="AX241">
        <v>93.398591975013545</v>
      </c>
      <c r="AY241">
        <v>94.156063866424233</v>
      </c>
      <c r="AZ241">
        <v>94.37673132432289</v>
      </c>
      <c r="BA241">
        <v>95.141758863430837</v>
      </c>
      <c r="BB241">
        <v>95.345932282185856</v>
      </c>
      <c r="BC241">
        <v>95.808920742782348</v>
      </c>
      <c r="BD241">
        <v>96.118224031849493</v>
      </c>
      <c r="BE241">
        <v>96.509245720298793</v>
      </c>
      <c r="BF241">
        <v>96.80917829990868</v>
      </c>
      <c r="BG241">
        <v>97.000551696281121</v>
      </c>
      <c r="BH241">
        <v>97.232392052929285</v>
      </c>
      <c r="BI241">
        <v>97.428089345667473</v>
      </c>
      <c r="BJ241">
        <v>97.663340284334538</v>
      </c>
      <c r="BK241">
        <v>97.707884793832321</v>
      </c>
      <c r="BL241">
        <v>97.952202146994068</v>
      </c>
      <c r="BM241">
        <v>98.106453253093008</v>
      </c>
      <c r="BN241">
        <v>98.233808362193813</v>
      </c>
      <c r="BO241">
        <v>98.544879924217099</v>
      </c>
      <c r="BP241">
        <v>98.385249120483252</v>
      </c>
    </row>
    <row r="242" spans="1:68" x14ac:dyDescent="0.3">
      <c r="A242" t="s">
        <v>669</v>
      </c>
      <c r="B242" t="s">
        <v>670</v>
      </c>
      <c r="C242" t="s">
        <v>715</v>
      </c>
      <c r="D242" t="s">
        <v>716</v>
      </c>
      <c r="AS242">
        <v>17.8</v>
      </c>
      <c r="AT242">
        <v>25.6</v>
      </c>
      <c r="AU242">
        <v>24.1</v>
      </c>
      <c r="AV242">
        <v>27.7</v>
      </c>
      <c r="AW242">
        <v>30.4</v>
      </c>
      <c r="AX242">
        <v>33.5</v>
      </c>
      <c r="AY242">
        <v>36.700000000000003</v>
      </c>
      <c r="AZ242">
        <v>36.6</v>
      </c>
      <c r="BA242">
        <v>43.1</v>
      </c>
      <c r="BB242">
        <v>46.3</v>
      </c>
      <c r="BC242">
        <v>38</v>
      </c>
      <c r="BD242">
        <v>52.7</v>
      </c>
      <c r="BE242">
        <v>56</v>
      </c>
      <c r="BF242">
        <v>59.2</v>
      </c>
      <c r="BG242">
        <v>62.4</v>
      </c>
      <c r="BH242">
        <v>67.3</v>
      </c>
      <c r="BI242">
        <v>76.5</v>
      </c>
      <c r="BJ242">
        <v>79.5</v>
      </c>
      <c r="BK242">
        <v>85.2</v>
      </c>
      <c r="BL242">
        <v>90.6</v>
      </c>
      <c r="BM242">
        <v>96</v>
      </c>
      <c r="BN242">
        <v>100</v>
      </c>
      <c r="BO242">
        <v>99.7</v>
      </c>
      <c r="BP242">
        <v>100</v>
      </c>
    </row>
    <row r="243" spans="1:68" x14ac:dyDescent="0.3">
      <c r="A243" t="s">
        <v>671</v>
      </c>
      <c r="B243" t="s">
        <v>672</v>
      </c>
      <c r="C243" t="s">
        <v>715</v>
      </c>
      <c r="D243" t="s">
        <v>716</v>
      </c>
      <c r="AS243">
        <v>81.253667871217445</v>
      </c>
      <c r="AT243">
        <v>81.995810773732046</v>
      </c>
      <c r="AU243">
        <v>82.326603377968667</v>
      </c>
      <c r="AV243">
        <v>83.359846048378074</v>
      </c>
      <c r="AW243">
        <v>83.766697321496352</v>
      </c>
      <c r="AX243">
        <v>84.805461089312203</v>
      </c>
      <c r="AY243">
        <v>86.62255188619018</v>
      </c>
      <c r="AZ243">
        <v>86.050268584100721</v>
      </c>
      <c r="BA243">
        <v>87.039861749371155</v>
      </c>
      <c r="BB243">
        <v>87.722457377650045</v>
      </c>
      <c r="BC243">
        <v>89.718636418982044</v>
      </c>
      <c r="BD243">
        <v>89.938989288899393</v>
      </c>
      <c r="BE243">
        <v>91.096375486019213</v>
      </c>
      <c r="BF243">
        <v>92.491762881635537</v>
      </c>
      <c r="BG243">
        <v>93.452457764419222</v>
      </c>
      <c r="BH243">
        <v>92.779910641458756</v>
      </c>
      <c r="BI243">
        <v>94.668858506483559</v>
      </c>
      <c r="BJ243">
        <v>95.593813647770943</v>
      </c>
      <c r="BK243">
        <v>94.47157482098622</v>
      </c>
      <c r="BL243">
        <v>95.613545646362425</v>
      </c>
      <c r="BM243">
        <v>95.888856174311684</v>
      </c>
      <c r="BN243">
        <v>96.068126004221838</v>
      </c>
      <c r="BO243">
        <v>95.451698193549333</v>
      </c>
      <c r="BP243">
        <v>96.057494683709137</v>
      </c>
    </row>
    <row r="244" spans="1:68" x14ac:dyDescent="0.3">
      <c r="A244" t="s">
        <v>673</v>
      </c>
      <c r="B244" t="s">
        <v>674</v>
      </c>
      <c r="C244" t="s">
        <v>715</v>
      </c>
      <c r="D244" t="s">
        <v>716</v>
      </c>
      <c r="AM244">
        <v>80</v>
      </c>
      <c r="AN244">
        <v>81.788475036621094</v>
      </c>
      <c r="AO244">
        <v>82.554367065429702</v>
      </c>
      <c r="AP244">
        <v>83.316856384277301</v>
      </c>
      <c r="AQ244">
        <v>84.075271606445298</v>
      </c>
      <c r="AR244">
        <v>84.828842163085895</v>
      </c>
      <c r="AS244">
        <v>85.6</v>
      </c>
      <c r="AT244">
        <v>86.3</v>
      </c>
      <c r="AU244">
        <v>87</v>
      </c>
      <c r="AV244">
        <v>87.6</v>
      </c>
      <c r="AW244">
        <v>88.3</v>
      </c>
      <c r="AX244">
        <v>89</v>
      </c>
      <c r="AY244">
        <v>92.3</v>
      </c>
      <c r="AZ244">
        <v>90.5</v>
      </c>
      <c r="BA244">
        <v>91.2</v>
      </c>
      <c r="BB244">
        <v>92</v>
      </c>
      <c r="BC244">
        <v>92.8</v>
      </c>
      <c r="BD244">
        <v>92.2</v>
      </c>
      <c r="BE244">
        <v>92.8</v>
      </c>
      <c r="BF244">
        <v>95.1</v>
      </c>
      <c r="BG244">
        <v>95.9</v>
      </c>
      <c r="BH244">
        <v>100</v>
      </c>
      <c r="BI244">
        <v>97</v>
      </c>
      <c r="BJ244">
        <v>98.2</v>
      </c>
      <c r="BK244">
        <v>99</v>
      </c>
      <c r="BL244">
        <v>98.4</v>
      </c>
      <c r="BM244">
        <v>99.9</v>
      </c>
      <c r="BN244">
        <v>100</v>
      </c>
      <c r="BO244">
        <v>100</v>
      </c>
      <c r="BP244">
        <v>100</v>
      </c>
    </row>
    <row r="245" spans="1:68" x14ac:dyDescent="0.3">
      <c r="A245" t="s">
        <v>675</v>
      </c>
      <c r="B245" t="s">
        <v>676</v>
      </c>
      <c r="C245" t="s">
        <v>715</v>
      </c>
      <c r="D245" t="s">
        <v>716</v>
      </c>
      <c r="AL245">
        <v>46.563983968294629</v>
      </c>
      <c r="AM245">
        <v>46.182183503465026</v>
      </c>
      <c r="AN245">
        <v>47.664682185542482</v>
      </c>
      <c r="AO245">
        <v>48.766499269409202</v>
      </c>
      <c r="AP245">
        <v>50.296010492563781</v>
      </c>
      <c r="AQ245">
        <v>52.230373880599338</v>
      </c>
      <c r="AR245">
        <v>56.017741200767468</v>
      </c>
      <c r="AS245">
        <v>56.766472920024114</v>
      </c>
      <c r="AT245">
        <v>58.348521315957726</v>
      </c>
      <c r="AU245">
        <v>59.415783976672053</v>
      </c>
      <c r="AV245">
        <v>62.341103055880531</v>
      </c>
      <c r="AW245">
        <v>61.484283033919738</v>
      </c>
      <c r="AX245">
        <v>65.853646016292331</v>
      </c>
      <c r="AY245">
        <v>65.92504522041186</v>
      </c>
      <c r="AZ245">
        <v>69.28488185924202</v>
      </c>
      <c r="BA245">
        <v>71.77825886600202</v>
      </c>
      <c r="BB245">
        <v>72.986586097352102</v>
      </c>
      <c r="BC245">
        <v>74.076573634023646</v>
      </c>
      <c r="BD245">
        <v>77.309165158573165</v>
      </c>
      <c r="BE245">
        <v>78.419544450904866</v>
      </c>
      <c r="BF245">
        <v>80.847453203069037</v>
      </c>
      <c r="BG245">
        <v>82.848022429143143</v>
      </c>
      <c r="BH245">
        <v>86.532778462467249</v>
      </c>
      <c r="BI245">
        <v>88.318448040339817</v>
      </c>
      <c r="BJ245">
        <v>91.398372830739703</v>
      </c>
      <c r="BK245">
        <v>94.819202405597835</v>
      </c>
      <c r="BL245">
        <v>95.469895398865319</v>
      </c>
      <c r="BM245">
        <v>96.401361739744075</v>
      </c>
      <c r="BN245">
        <v>99.369312913395106</v>
      </c>
      <c r="BO245">
        <v>99.089511473193426</v>
      </c>
      <c r="BP245">
        <v>99.408788969740513</v>
      </c>
    </row>
    <row r="246" spans="1:68" x14ac:dyDescent="0.3">
      <c r="A246" t="s">
        <v>677</v>
      </c>
      <c r="B246" t="s">
        <v>678</v>
      </c>
      <c r="C246" t="s">
        <v>715</v>
      </c>
      <c r="D246" t="s">
        <v>716</v>
      </c>
      <c r="AO246">
        <v>28.512384382876746</v>
      </c>
      <c r="AP246">
        <v>28.363633683406096</v>
      </c>
      <c r="AQ246">
        <v>28.559880608978997</v>
      </c>
      <c r="AR246">
        <v>30.13950698360895</v>
      </c>
      <c r="AS246">
        <v>25.700773726639039</v>
      </c>
      <c r="AT246">
        <v>26.160662802678047</v>
      </c>
      <c r="AU246">
        <v>27.336483548368467</v>
      </c>
      <c r="AV246">
        <v>29.592896206956524</v>
      </c>
      <c r="AW246">
        <v>29.370029099025153</v>
      </c>
      <c r="AX246">
        <v>29.352962971410758</v>
      </c>
      <c r="AY246">
        <v>31.201643193749348</v>
      </c>
      <c r="AZ246">
        <v>32.517987745477974</v>
      </c>
      <c r="BA246">
        <v>32.40335210625917</v>
      </c>
      <c r="BB246">
        <v>32.626448646203173</v>
      </c>
      <c r="BC246">
        <v>33.335247587415118</v>
      </c>
      <c r="BD246">
        <v>35.900819709673563</v>
      </c>
      <c r="BE246">
        <v>36.7762778723704</v>
      </c>
      <c r="BF246">
        <v>38.03200420250176</v>
      </c>
      <c r="BG246">
        <v>38.354476930345328</v>
      </c>
      <c r="BH246">
        <v>39.199650016083766</v>
      </c>
      <c r="BI246">
        <v>43.83016514038075</v>
      </c>
      <c r="BJ246">
        <v>43.762819456617713</v>
      </c>
      <c r="BK246">
        <v>46.416675242545701</v>
      </c>
      <c r="BL246">
        <v>47.197416815451746</v>
      </c>
      <c r="BM246">
        <v>48.54503894910453</v>
      </c>
      <c r="BN246">
        <v>50.656644864061718</v>
      </c>
      <c r="BO246">
        <v>51.587377584536256</v>
      </c>
      <c r="BP246">
        <v>53.256330901066278</v>
      </c>
    </row>
    <row r="247" spans="1:68" x14ac:dyDescent="0.3">
      <c r="A247" t="s">
        <v>222</v>
      </c>
      <c r="B247" t="s">
        <v>679</v>
      </c>
      <c r="C247" t="s">
        <v>715</v>
      </c>
      <c r="D247" t="s">
        <v>716</v>
      </c>
      <c r="AS247">
        <v>91.3</v>
      </c>
      <c r="AT247">
        <v>96.3</v>
      </c>
      <c r="AU247">
        <v>96.5</v>
      </c>
      <c r="AV247">
        <v>96.7</v>
      </c>
      <c r="AW247">
        <v>96.8</v>
      </c>
      <c r="AX247">
        <v>95</v>
      </c>
      <c r="AY247">
        <v>100</v>
      </c>
      <c r="AZ247">
        <v>100</v>
      </c>
      <c r="BA247">
        <v>100</v>
      </c>
      <c r="BB247">
        <v>99</v>
      </c>
      <c r="BC247">
        <v>100</v>
      </c>
      <c r="BD247">
        <v>97.5</v>
      </c>
      <c r="BE247">
        <v>100</v>
      </c>
      <c r="BF247">
        <v>100</v>
      </c>
      <c r="BG247">
        <v>100</v>
      </c>
      <c r="BH247">
        <v>100</v>
      </c>
      <c r="BI247">
        <v>100</v>
      </c>
      <c r="BJ247">
        <v>100</v>
      </c>
      <c r="BK247">
        <v>100</v>
      </c>
      <c r="BL247">
        <v>100</v>
      </c>
      <c r="BM247">
        <v>100</v>
      </c>
      <c r="BN247">
        <v>100</v>
      </c>
      <c r="BO247">
        <v>100</v>
      </c>
      <c r="BP247">
        <v>98.7</v>
      </c>
    </row>
    <row r="248" spans="1:68" x14ac:dyDescent="0.3">
      <c r="A248" t="s">
        <v>223</v>
      </c>
      <c r="B248" t="s">
        <v>680</v>
      </c>
      <c r="C248" t="s">
        <v>715</v>
      </c>
      <c r="D248" t="s">
        <v>716</v>
      </c>
      <c r="AM248">
        <v>86.8</v>
      </c>
      <c r="AN248">
        <v>88.7</v>
      </c>
      <c r="AO248">
        <v>90.4</v>
      </c>
      <c r="AP248">
        <v>92</v>
      </c>
      <c r="AQ248">
        <v>93.2</v>
      </c>
      <c r="AR248">
        <v>94.2</v>
      </c>
      <c r="AS248">
        <v>94.8</v>
      </c>
      <c r="AT248">
        <v>97.3</v>
      </c>
      <c r="AU248">
        <v>97.8</v>
      </c>
      <c r="AV248">
        <v>98.4</v>
      </c>
      <c r="AW248">
        <v>99</v>
      </c>
      <c r="AX248">
        <v>99.2</v>
      </c>
      <c r="AY248">
        <v>99.4</v>
      </c>
      <c r="AZ248">
        <v>99.4</v>
      </c>
      <c r="BA248">
        <v>99.4</v>
      </c>
      <c r="BB248">
        <v>99.5</v>
      </c>
      <c r="BC248">
        <v>99.5</v>
      </c>
      <c r="BD248">
        <v>99.5</v>
      </c>
      <c r="BE248">
        <v>99.5</v>
      </c>
      <c r="BF248">
        <v>99.7</v>
      </c>
      <c r="BG248">
        <v>99.8</v>
      </c>
      <c r="BH248">
        <v>99.9</v>
      </c>
      <c r="BI248">
        <v>100</v>
      </c>
      <c r="BJ248">
        <v>100</v>
      </c>
      <c r="BK248">
        <v>99.8</v>
      </c>
      <c r="BL248">
        <v>100</v>
      </c>
      <c r="BM248">
        <v>99.9</v>
      </c>
      <c r="BN248">
        <v>99.9</v>
      </c>
      <c r="BO248">
        <v>100</v>
      </c>
      <c r="BP248">
        <v>100</v>
      </c>
    </row>
    <row r="249" spans="1:68" x14ac:dyDescent="0.3">
      <c r="A249" t="s">
        <v>225</v>
      </c>
      <c r="B249" t="s">
        <v>681</v>
      </c>
      <c r="C249" t="s">
        <v>715</v>
      </c>
      <c r="D249" t="s">
        <v>716</v>
      </c>
      <c r="AS249">
        <v>99.9</v>
      </c>
      <c r="AT249">
        <v>99.9</v>
      </c>
      <c r="AU249">
        <v>99.8</v>
      </c>
      <c r="AV249">
        <v>99.8</v>
      </c>
      <c r="AW249">
        <v>99.7</v>
      </c>
      <c r="AX249">
        <v>99.7</v>
      </c>
      <c r="AY249">
        <v>99.7</v>
      </c>
      <c r="AZ249">
        <v>99.7</v>
      </c>
      <c r="BA249">
        <v>99.7</v>
      </c>
      <c r="BB249">
        <v>99.7</v>
      </c>
      <c r="BC249">
        <v>100</v>
      </c>
      <c r="BD249">
        <v>100</v>
      </c>
      <c r="BE249">
        <v>100</v>
      </c>
      <c r="BF249">
        <v>100</v>
      </c>
      <c r="BG249">
        <v>100</v>
      </c>
      <c r="BH249">
        <v>100</v>
      </c>
      <c r="BI249">
        <v>100</v>
      </c>
      <c r="BJ249">
        <v>100</v>
      </c>
      <c r="BK249">
        <v>100</v>
      </c>
      <c r="BL249">
        <v>100</v>
      </c>
      <c r="BM249">
        <v>100</v>
      </c>
      <c r="BN249">
        <v>100</v>
      </c>
      <c r="BO249">
        <v>100</v>
      </c>
      <c r="BP249">
        <v>100</v>
      </c>
    </row>
    <row r="250" spans="1:68" x14ac:dyDescent="0.3">
      <c r="A250" t="s">
        <v>682</v>
      </c>
      <c r="B250" t="s">
        <v>683</v>
      </c>
      <c r="C250" t="s">
        <v>715</v>
      </c>
      <c r="D250" t="s">
        <v>716</v>
      </c>
      <c r="AS250">
        <v>94.6</v>
      </c>
      <c r="AT250">
        <v>94.8</v>
      </c>
      <c r="AU250">
        <v>94.6</v>
      </c>
      <c r="AV250">
        <v>95.1</v>
      </c>
      <c r="AW250">
        <v>95.3</v>
      </c>
      <c r="AX250">
        <v>95.5</v>
      </c>
      <c r="AY250">
        <v>95.7</v>
      </c>
      <c r="AZ250">
        <v>96.7</v>
      </c>
      <c r="BA250">
        <v>96.2</v>
      </c>
      <c r="BB250">
        <v>96.5</v>
      </c>
      <c r="BC250">
        <v>96.7</v>
      </c>
      <c r="BD250">
        <v>97</v>
      </c>
      <c r="BE250">
        <v>97.7</v>
      </c>
      <c r="BF250">
        <v>97.6</v>
      </c>
      <c r="BG250">
        <v>97.9</v>
      </c>
      <c r="BH250">
        <v>98.1</v>
      </c>
      <c r="BI250">
        <v>97.3</v>
      </c>
      <c r="BJ250">
        <v>98.7</v>
      </c>
      <c r="BK250">
        <v>99</v>
      </c>
      <c r="BL250">
        <v>99.7</v>
      </c>
      <c r="BM250">
        <v>99.4</v>
      </c>
      <c r="BN250">
        <v>99.7</v>
      </c>
      <c r="BO250">
        <v>100</v>
      </c>
      <c r="BP250">
        <v>100</v>
      </c>
    </row>
    <row r="251" spans="1:68" x14ac:dyDescent="0.3">
      <c r="A251" t="s">
        <v>226</v>
      </c>
      <c r="B251" t="s">
        <v>684</v>
      </c>
      <c r="C251" t="s">
        <v>715</v>
      </c>
      <c r="D251" t="s">
        <v>716</v>
      </c>
      <c r="AK251">
        <v>6.8</v>
      </c>
      <c r="AL251">
        <v>2.3301877975463898</v>
      </c>
      <c r="AM251">
        <v>3.30064725875854</v>
      </c>
      <c r="AN251">
        <v>4.2690672874450701</v>
      </c>
      <c r="AO251">
        <v>9.4</v>
      </c>
      <c r="AP251">
        <v>6.1970682144165004</v>
      </c>
      <c r="AQ251">
        <v>7.1552896499633798</v>
      </c>
      <c r="AR251">
        <v>8</v>
      </c>
      <c r="AS251">
        <v>8.6999999999999993</v>
      </c>
      <c r="AT251">
        <v>9.6999999999999993</v>
      </c>
      <c r="AU251">
        <v>10.7</v>
      </c>
      <c r="AV251">
        <v>11.1</v>
      </c>
      <c r="AW251">
        <v>11.4</v>
      </c>
      <c r="AX251">
        <v>13.8</v>
      </c>
      <c r="AY251">
        <v>14.9</v>
      </c>
      <c r="AZ251">
        <v>15.9</v>
      </c>
      <c r="BA251">
        <v>11.5</v>
      </c>
      <c r="BB251">
        <v>11.2</v>
      </c>
      <c r="BC251">
        <v>14.8</v>
      </c>
      <c r="BD251">
        <v>14.2</v>
      </c>
      <c r="BE251">
        <v>15.3</v>
      </c>
      <c r="BF251">
        <v>16.399999999999999</v>
      </c>
      <c r="BG251">
        <v>23.5</v>
      </c>
      <c r="BH251">
        <v>26.2</v>
      </c>
      <c r="BI251">
        <v>32.799999999999997</v>
      </c>
      <c r="BJ251">
        <v>32.1</v>
      </c>
      <c r="BK251">
        <v>34.9</v>
      </c>
      <c r="BL251">
        <v>37.700000000000003</v>
      </c>
      <c r="BM251">
        <v>39.9</v>
      </c>
      <c r="BN251">
        <v>42.7</v>
      </c>
      <c r="BO251">
        <v>45.8</v>
      </c>
      <c r="BP251">
        <v>48.3</v>
      </c>
    </row>
    <row r="252" spans="1:68" x14ac:dyDescent="0.3">
      <c r="A252" t="s">
        <v>685</v>
      </c>
      <c r="B252" t="s">
        <v>686</v>
      </c>
      <c r="C252" t="s">
        <v>715</v>
      </c>
      <c r="D252" t="s">
        <v>716</v>
      </c>
      <c r="AJ252">
        <v>5.6</v>
      </c>
      <c r="AM252">
        <v>0.53389853239059404</v>
      </c>
      <c r="AN252">
        <v>6.8</v>
      </c>
      <c r="AO252">
        <v>2.8111042976379399</v>
      </c>
      <c r="AP252">
        <v>3.9449477195739702</v>
      </c>
      <c r="AQ252">
        <v>5.0747117996215803</v>
      </c>
      <c r="AR252">
        <v>6.1996340751647896</v>
      </c>
      <c r="AS252">
        <v>7.4</v>
      </c>
      <c r="AT252">
        <v>8.6</v>
      </c>
      <c r="AU252">
        <v>7.8</v>
      </c>
      <c r="AV252">
        <v>10.5</v>
      </c>
      <c r="AW252">
        <v>11.6</v>
      </c>
      <c r="AX252">
        <v>8.9</v>
      </c>
      <c r="AY252">
        <v>9</v>
      </c>
      <c r="AZ252">
        <v>14.8</v>
      </c>
      <c r="BA252">
        <v>15.9</v>
      </c>
      <c r="BB252">
        <v>10</v>
      </c>
      <c r="BC252">
        <v>12.1</v>
      </c>
      <c r="BD252">
        <v>14.6</v>
      </c>
      <c r="BE252">
        <v>20.5</v>
      </c>
      <c r="BF252">
        <v>13.9</v>
      </c>
      <c r="BG252">
        <v>20.399999999999999</v>
      </c>
      <c r="BH252">
        <v>18.5</v>
      </c>
      <c r="BI252">
        <v>26.7</v>
      </c>
      <c r="BJ252">
        <v>32.4</v>
      </c>
      <c r="BK252">
        <v>41.9</v>
      </c>
      <c r="BL252">
        <v>41.3</v>
      </c>
      <c r="BM252">
        <v>42.1</v>
      </c>
      <c r="BN252">
        <v>45.2</v>
      </c>
      <c r="BO252">
        <v>47.1</v>
      </c>
      <c r="BP252">
        <v>51.5</v>
      </c>
    </row>
    <row r="253" spans="1:68" x14ac:dyDescent="0.3">
      <c r="A253" t="s">
        <v>228</v>
      </c>
      <c r="B253" t="s">
        <v>687</v>
      </c>
      <c r="C253" t="s">
        <v>715</v>
      </c>
      <c r="D253" t="s">
        <v>716</v>
      </c>
      <c r="AI253">
        <v>100</v>
      </c>
      <c r="AJ253">
        <v>100</v>
      </c>
      <c r="AK253">
        <v>100</v>
      </c>
      <c r="AL253">
        <v>100</v>
      </c>
      <c r="AM253">
        <v>100</v>
      </c>
      <c r="AN253">
        <v>100</v>
      </c>
      <c r="AO253">
        <v>100</v>
      </c>
      <c r="AP253">
        <v>100</v>
      </c>
      <c r="AQ253">
        <v>100</v>
      </c>
      <c r="AR253">
        <v>100</v>
      </c>
      <c r="AS253">
        <v>99.1</v>
      </c>
      <c r="AT253">
        <v>99.2</v>
      </c>
      <c r="AU253">
        <v>99.3</v>
      </c>
      <c r="AV253">
        <v>99.3</v>
      </c>
      <c r="AW253">
        <v>99.4</v>
      </c>
      <c r="AX253">
        <v>99.9</v>
      </c>
      <c r="AY253">
        <v>99.5</v>
      </c>
      <c r="AZ253">
        <v>99.8</v>
      </c>
      <c r="BA253">
        <v>99.8</v>
      </c>
      <c r="BB253">
        <v>99.9</v>
      </c>
      <c r="BC253">
        <v>100</v>
      </c>
      <c r="BD253">
        <v>100</v>
      </c>
      <c r="BE253">
        <v>99.9</v>
      </c>
      <c r="BF253">
        <v>100</v>
      </c>
      <c r="BG253">
        <v>100</v>
      </c>
      <c r="BH253">
        <v>100</v>
      </c>
      <c r="BI253">
        <v>100</v>
      </c>
      <c r="BJ253">
        <v>100</v>
      </c>
      <c r="BK253">
        <v>100</v>
      </c>
      <c r="BL253">
        <v>100</v>
      </c>
      <c r="BM253">
        <v>100</v>
      </c>
      <c r="BN253">
        <v>100</v>
      </c>
      <c r="BO253">
        <v>100</v>
      </c>
      <c r="BP253">
        <v>100</v>
      </c>
    </row>
    <row r="254" spans="1:68" x14ac:dyDescent="0.3">
      <c r="A254" t="s">
        <v>688</v>
      </c>
      <c r="B254" t="s">
        <v>689</v>
      </c>
      <c r="C254" t="s">
        <v>715</v>
      </c>
      <c r="D254" t="s">
        <v>716</v>
      </c>
      <c r="AS254">
        <v>94.360235472977337</v>
      </c>
      <c r="AT254">
        <v>94.846474879951046</v>
      </c>
      <c r="AU254">
        <v>95.299966652464462</v>
      </c>
      <c r="AV254">
        <v>95.508542333564463</v>
      </c>
      <c r="AW254">
        <v>95.87572212915245</v>
      </c>
      <c r="AX254">
        <v>95.724268497058446</v>
      </c>
      <c r="AY254">
        <v>96.683083399333114</v>
      </c>
      <c r="AZ254">
        <v>96.831235225999521</v>
      </c>
      <c r="BA254">
        <v>97.300693907563442</v>
      </c>
      <c r="BB254">
        <v>97.711559519202723</v>
      </c>
      <c r="BC254">
        <v>98.201268319521972</v>
      </c>
      <c r="BD254">
        <v>98.415699738948803</v>
      </c>
      <c r="BE254">
        <v>98.650804704385692</v>
      </c>
      <c r="BF254">
        <v>98.816429641387472</v>
      </c>
      <c r="BG254">
        <v>98.918535766444734</v>
      </c>
      <c r="BH254">
        <v>98.998406830244036</v>
      </c>
      <c r="BI254">
        <v>99.034553888180326</v>
      </c>
      <c r="BJ254">
        <v>99.160887892972781</v>
      </c>
      <c r="BK254">
        <v>99.179685882551539</v>
      </c>
      <c r="BL254">
        <v>99.277201818676332</v>
      </c>
      <c r="BM254">
        <v>99.217663880967578</v>
      </c>
      <c r="BN254">
        <v>99.435702312957204</v>
      </c>
      <c r="BO254">
        <v>99.508928938231605</v>
      </c>
      <c r="BP254">
        <v>99.428682474107845</v>
      </c>
    </row>
    <row r="255" spans="1:68" x14ac:dyDescent="0.3">
      <c r="A255" t="s">
        <v>230</v>
      </c>
      <c r="B255" t="s">
        <v>690</v>
      </c>
      <c r="C255" t="s">
        <v>715</v>
      </c>
      <c r="D255" t="s">
        <v>716</v>
      </c>
      <c r="AK255">
        <v>96.182312011718807</v>
      </c>
      <c r="AL255">
        <v>96.363059997558594</v>
      </c>
      <c r="AM255">
        <v>96.542449951171903</v>
      </c>
      <c r="AN255">
        <v>96.719795227050795</v>
      </c>
      <c r="AO255">
        <v>95.9</v>
      </c>
      <c r="AP255">
        <v>97.065650939941406</v>
      </c>
      <c r="AQ255">
        <v>97.232803344726605</v>
      </c>
      <c r="AR255">
        <v>97.395111083984403</v>
      </c>
      <c r="AS255">
        <v>97.6</v>
      </c>
      <c r="AT255">
        <v>97.7</v>
      </c>
      <c r="AU255">
        <v>97.8</v>
      </c>
      <c r="AV255">
        <v>97.9</v>
      </c>
      <c r="AW255">
        <v>98</v>
      </c>
      <c r="AX255">
        <v>98</v>
      </c>
      <c r="AY255">
        <v>98.5</v>
      </c>
      <c r="AZ255">
        <v>98.7</v>
      </c>
      <c r="BA255">
        <v>98.8</v>
      </c>
      <c r="BB255">
        <v>99.1</v>
      </c>
      <c r="BC255">
        <v>99.3</v>
      </c>
      <c r="BD255">
        <v>99.2</v>
      </c>
      <c r="BE255">
        <v>99.6</v>
      </c>
      <c r="BF255">
        <v>99.6</v>
      </c>
      <c r="BG255">
        <v>99.7</v>
      </c>
      <c r="BH255">
        <v>99.7</v>
      </c>
      <c r="BI255">
        <v>99.7</v>
      </c>
      <c r="BJ255">
        <v>99.8</v>
      </c>
      <c r="BK255">
        <v>99.8</v>
      </c>
      <c r="BL255">
        <v>99.9</v>
      </c>
      <c r="BM255">
        <v>100</v>
      </c>
      <c r="BN255">
        <v>100</v>
      </c>
      <c r="BO255">
        <v>100</v>
      </c>
      <c r="BP255">
        <v>100</v>
      </c>
    </row>
    <row r="256" spans="1:68" x14ac:dyDescent="0.3">
      <c r="A256" t="s">
        <v>231</v>
      </c>
      <c r="B256" t="s">
        <v>691</v>
      </c>
      <c r="C256" t="s">
        <v>715</v>
      </c>
      <c r="D256" t="s">
        <v>716</v>
      </c>
      <c r="AI256">
        <v>100</v>
      </c>
      <c r="AJ256">
        <v>100</v>
      </c>
      <c r="AK256">
        <v>100</v>
      </c>
      <c r="AL256">
        <v>100</v>
      </c>
      <c r="AM256">
        <v>100</v>
      </c>
      <c r="AN256">
        <v>100</v>
      </c>
      <c r="AO256">
        <v>100</v>
      </c>
      <c r="AP256">
        <v>100</v>
      </c>
      <c r="AQ256">
        <v>100</v>
      </c>
      <c r="AR256">
        <v>100</v>
      </c>
      <c r="AS256">
        <v>100</v>
      </c>
      <c r="AT256">
        <v>100</v>
      </c>
      <c r="AU256">
        <v>100</v>
      </c>
      <c r="AV256">
        <v>100</v>
      </c>
      <c r="AW256">
        <v>100</v>
      </c>
      <c r="AX256">
        <v>100</v>
      </c>
      <c r="AY256">
        <v>100</v>
      </c>
      <c r="AZ256">
        <v>100</v>
      </c>
      <c r="BA256">
        <v>100</v>
      </c>
      <c r="BB256">
        <v>100</v>
      </c>
      <c r="BC256">
        <v>100</v>
      </c>
      <c r="BD256">
        <v>100</v>
      </c>
      <c r="BE256">
        <v>100</v>
      </c>
      <c r="BF256">
        <v>100</v>
      </c>
      <c r="BG256">
        <v>100</v>
      </c>
      <c r="BH256">
        <v>100</v>
      </c>
      <c r="BI256">
        <v>100</v>
      </c>
      <c r="BJ256">
        <v>100</v>
      </c>
      <c r="BK256">
        <v>100</v>
      </c>
      <c r="BL256">
        <v>100</v>
      </c>
      <c r="BM256">
        <v>100</v>
      </c>
      <c r="BN256">
        <v>100</v>
      </c>
      <c r="BO256">
        <v>100</v>
      </c>
      <c r="BP256">
        <v>100</v>
      </c>
    </row>
    <row r="257" spans="1:68" x14ac:dyDescent="0.3">
      <c r="A257" t="s">
        <v>233</v>
      </c>
      <c r="B257" t="s">
        <v>692</v>
      </c>
      <c r="C257" t="s">
        <v>715</v>
      </c>
      <c r="D257" t="s">
        <v>716</v>
      </c>
      <c r="AO257">
        <v>99.6</v>
      </c>
      <c r="AP257">
        <v>99.379745483398395</v>
      </c>
      <c r="AQ257">
        <v>99.449348449707003</v>
      </c>
      <c r="AR257">
        <v>99.514114379882798</v>
      </c>
      <c r="AS257">
        <v>99.6</v>
      </c>
      <c r="AT257">
        <v>99.6</v>
      </c>
      <c r="AU257">
        <v>99.7</v>
      </c>
      <c r="AV257">
        <v>99.5</v>
      </c>
      <c r="AW257">
        <v>99.5</v>
      </c>
      <c r="AX257">
        <v>99.4</v>
      </c>
      <c r="AY257">
        <v>99.5</v>
      </c>
      <c r="AZ257">
        <v>99.5</v>
      </c>
      <c r="BA257">
        <v>99.5</v>
      </c>
      <c r="BB257">
        <v>99.5</v>
      </c>
      <c r="BC257">
        <v>99.6</v>
      </c>
      <c r="BD257">
        <v>99.7</v>
      </c>
      <c r="BE257">
        <v>99.7</v>
      </c>
      <c r="BF257">
        <v>99.8</v>
      </c>
      <c r="BG257">
        <v>99.8</v>
      </c>
      <c r="BH257">
        <v>99.9</v>
      </c>
      <c r="BI257">
        <v>99.9</v>
      </c>
      <c r="BJ257">
        <v>100</v>
      </c>
      <c r="BK257">
        <v>100</v>
      </c>
      <c r="BL257">
        <v>100</v>
      </c>
      <c r="BM257">
        <v>100</v>
      </c>
      <c r="BN257">
        <v>99.9</v>
      </c>
      <c r="BO257">
        <v>100</v>
      </c>
      <c r="BP257">
        <v>100</v>
      </c>
    </row>
    <row r="258" spans="1:68" x14ac:dyDescent="0.3">
      <c r="A258" t="s">
        <v>693</v>
      </c>
      <c r="B258" t="s">
        <v>694</v>
      </c>
      <c r="C258" t="s">
        <v>715</v>
      </c>
      <c r="D258" t="s">
        <v>716</v>
      </c>
      <c r="AJ258">
        <v>66.8</v>
      </c>
      <c r="AK258">
        <v>69.114433288574205</v>
      </c>
      <c r="AL258">
        <v>70.46484375</v>
      </c>
      <c r="AM258">
        <v>71.813896179199205</v>
      </c>
      <c r="AN258">
        <v>73.160903930664105</v>
      </c>
      <c r="AO258">
        <v>74.505203247070298</v>
      </c>
      <c r="AP258">
        <v>75.846092224121094</v>
      </c>
      <c r="AQ258">
        <v>77.182907104492202</v>
      </c>
      <c r="AR258">
        <v>78.514877319335895</v>
      </c>
      <c r="AS258">
        <v>80</v>
      </c>
      <c r="AT258">
        <v>82.4</v>
      </c>
      <c r="AU258">
        <v>82.4</v>
      </c>
      <c r="AV258">
        <v>83.7</v>
      </c>
      <c r="AW258">
        <v>84.9</v>
      </c>
      <c r="AX258">
        <v>86.2</v>
      </c>
      <c r="AY258">
        <v>87.5</v>
      </c>
      <c r="AZ258">
        <v>88.8</v>
      </c>
      <c r="BA258">
        <v>90.1</v>
      </c>
      <c r="BB258">
        <v>91.4</v>
      </c>
      <c r="BC258">
        <v>92.7</v>
      </c>
      <c r="BD258">
        <v>94.1</v>
      </c>
      <c r="BE258">
        <v>95.4</v>
      </c>
      <c r="BF258">
        <v>96.8</v>
      </c>
      <c r="BG258">
        <v>98.1</v>
      </c>
      <c r="BH258">
        <v>99.4</v>
      </c>
      <c r="BI258">
        <v>99.7</v>
      </c>
      <c r="BJ258">
        <v>100</v>
      </c>
      <c r="BK258">
        <v>100</v>
      </c>
      <c r="BL258">
        <v>100</v>
      </c>
      <c r="BM258">
        <v>100</v>
      </c>
      <c r="BN258">
        <v>100</v>
      </c>
      <c r="BO258">
        <v>100</v>
      </c>
      <c r="BP258">
        <v>100</v>
      </c>
    </row>
    <row r="259" spans="1:68" x14ac:dyDescent="0.3">
      <c r="A259" t="s">
        <v>695</v>
      </c>
      <c r="B259" t="s">
        <v>696</v>
      </c>
      <c r="C259" t="s">
        <v>715</v>
      </c>
      <c r="D259" t="s">
        <v>716</v>
      </c>
      <c r="AK259">
        <v>97.820203000000006</v>
      </c>
      <c r="AL259">
        <v>98.239532470703097</v>
      </c>
      <c r="AM259">
        <v>98.323333740234403</v>
      </c>
      <c r="AN259">
        <v>99</v>
      </c>
      <c r="AO259">
        <v>98.484130859375</v>
      </c>
      <c r="AP259">
        <v>98.7</v>
      </c>
      <c r="AQ259">
        <v>98.4</v>
      </c>
      <c r="AR259">
        <v>98.9</v>
      </c>
      <c r="AS259">
        <v>98.9</v>
      </c>
      <c r="AT259">
        <v>99.9</v>
      </c>
      <c r="AU259">
        <v>99.8</v>
      </c>
      <c r="AV259">
        <v>95.7</v>
      </c>
      <c r="AW259">
        <v>99.1</v>
      </c>
      <c r="AX259">
        <v>98.8</v>
      </c>
      <c r="AY259">
        <v>99.3</v>
      </c>
      <c r="AZ259">
        <v>98.9</v>
      </c>
      <c r="BA259">
        <v>98.9</v>
      </c>
      <c r="BB259">
        <v>99</v>
      </c>
      <c r="BC259">
        <v>99.1</v>
      </c>
      <c r="BD259">
        <v>98.8</v>
      </c>
      <c r="BE259">
        <v>99.3</v>
      </c>
      <c r="BF259">
        <v>99.4</v>
      </c>
      <c r="BG259">
        <v>100</v>
      </c>
      <c r="BH259">
        <v>100</v>
      </c>
      <c r="BI259">
        <v>99.4</v>
      </c>
      <c r="BJ259">
        <v>99.2</v>
      </c>
      <c r="BK259">
        <v>99.9</v>
      </c>
      <c r="BL259">
        <v>99.8</v>
      </c>
      <c r="BM259">
        <v>99.9</v>
      </c>
      <c r="BN259">
        <v>100</v>
      </c>
      <c r="BO259">
        <v>100</v>
      </c>
      <c r="BP259">
        <v>100</v>
      </c>
    </row>
    <row r="260" spans="1:68" x14ac:dyDescent="0.3">
      <c r="A260" t="s">
        <v>697</v>
      </c>
      <c r="B260" t="s">
        <v>698</v>
      </c>
      <c r="C260" t="s">
        <v>715</v>
      </c>
      <c r="D260" t="s">
        <v>716</v>
      </c>
      <c r="AI260">
        <v>94.606559753417997</v>
      </c>
      <c r="AJ260">
        <v>94.824737548828097</v>
      </c>
      <c r="AK260">
        <v>95.042800903320298</v>
      </c>
      <c r="AL260">
        <v>95.260192871093807</v>
      </c>
      <c r="AM260">
        <v>95.476219177246094</v>
      </c>
      <c r="AN260">
        <v>95.690200805664105</v>
      </c>
      <c r="AO260">
        <v>95.901473999023395</v>
      </c>
      <c r="AP260">
        <v>96.109336853027301</v>
      </c>
      <c r="AQ260">
        <v>96.313125610351605</v>
      </c>
      <c r="AR260">
        <v>96.512077331542997</v>
      </c>
      <c r="AS260">
        <v>97.1</v>
      </c>
      <c r="AT260">
        <v>97.2</v>
      </c>
      <c r="AU260">
        <v>97.3</v>
      </c>
      <c r="AV260">
        <v>97.4</v>
      </c>
      <c r="AW260">
        <v>97.5</v>
      </c>
      <c r="AX260">
        <v>97.6</v>
      </c>
      <c r="AY260">
        <v>97.8</v>
      </c>
      <c r="AZ260">
        <v>97.9</v>
      </c>
      <c r="BA260">
        <v>98.1</v>
      </c>
      <c r="BB260">
        <v>98.3</v>
      </c>
      <c r="BC260">
        <v>98.3</v>
      </c>
      <c r="BD260">
        <v>98.7</v>
      </c>
      <c r="BE260">
        <v>98.9</v>
      </c>
      <c r="BF260">
        <v>99.1</v>
      </c>
      <c r="BG260">
        <v>99.2</v>
      </c>
      <c r="BH260">
        <v>100</v>
      </c>
      <c r="BI260">
        <v>100</v>
      </c>
      <c r="BJ260">
        <v>100</v>
      </c>
      <c r="BK260">
        <v>100</v>
      </c>
      <c r="BL260">
        <v>100</v>
      </c>
      <c r="BM260">
        <v>100</v>
      </c>
      <c r="BN260">
        <v>100</v>
      </c>
      <c r="BO260">
        <v>100</v>
      </c>
      <c r="BP260">
        <v>100</v>
      </c>
    </row>
    <row r="261" spans="1:68" x14ac:dyDescent="0.3">
      <c r="A261" t="s">
        <v>699</v>
      </c>
      <c r="B261" t="s">
        <v>700</v>
      </c>
      <c r="C261" t="s">
        <v>715</v>
      </c>
      <c r="D261" t="s">
        <v>716</v>
      </c>
      <c r="AI261">
        <v>100</v>
      </c>
      <c r="AJ261">
        <v>100</v>
      </c>
      <c r="AK261">
        <v>100</v>
      </c>
      <c r="AL261">
        <v>100</v>
      </c>
      <c r="AM261">
        <v>100</v>
      </c>
      <c r="AN261">
        <v>100</v>
      </c>
      <c r="AO261">
        <v>100</v>
      </c>
      <c r="AP261">
        <v>100</v>
      </c>
      <c r="AQ261">
        <v>100</v>
      </c>
      <c r="AR261">
        <v>100</v>
      </c>
      <c r="AS261">
        <v>100</v>
      </c>
      <c r="AT261">
        <v>100</v>
      </c>
      <c r="AU261">
        <v>100</v>
      </c>
      <c r="AV261">
        <v>100</v>
      </c>
      <c r="AW261">
        <v>100</v>
      </c>
      <c r="AX261">
        <v>100</v>
      </c>
      <c r="AY261">
        <v>100</v>
      </c>
      <c r="AZ261">
        <v>100</v>
      </c>
      <c r="BA261">
        <v>100</v>
      </c>
      <c r="BB261">
        <v>100</v>
      </c>
      <c r="BC261">
        <v>100</v>
      </c>
      <c r="BD261">
        <v>100</v>
      </c>
      <c r="BE261">
        <v>100</v>
      </c>
      <c r="BF261">
        <v>100</v>
      </c>
      <c r="BG261">
        <v>100</v>
      </c>
      <c r="BH261">
        <v>100</v>
      </c>
      <c r="BI261">
        <v>100</v>
      </c>
      <c r="BJ261">
        <v>100</v>
      </c>
      <c r="BK261">
        <v>100</v>
      </c>
      <c r="BL261">
        <v>100</v>
      </c>
      <c r="BM261">
        <v>100</v>
      </c>
      <c r="BN261">
        <v>100</v>
      </c>
      <c r="BO261">
        <v>100</v>
      </c>
      <c r="BP261">
        <v>100</v>
      </c>
    </row>
    <row r="262" spans="1:68" x14ac:dyDescent="0.3">
      <c r="A262" t="s">
        <v>234</v>
      </c>
      <c r="B262" t="s">
        <v>701</v>
      </c>
      <c r="C262" t="s">
        <v>715</v>
      </c>
      <c r="D262" t="s">
        <v>716</v>
      </c>
      <c r="AP262">
        <v>78.400000000000006</v>
      </c>
      <c r="AQ262">
        <v>86.175987243652301</v>
      </c>
      <c r="AR262">
        <v>86.994438171386705</v>
      </c>
      <c r="AS262">
        <v>88.2</v>
      </c>
      <c r="AT262">
        <v>88.9</v>
      </c>
      <c r="AU262">
        <v>89.1</v>
      </c>
      <c r="AV262">
        <v>90.3</v>
      </c>
      <c r="AW262">
        <v>91</v>
      </c>
      <c r="AX262">
        <v>96.1</v>
      </c>
      <c r="AY262">
        <v>96</v>
      </c>
      <c r="AZ262">
        <v>93.1</v>
      </c>
      <c r="BA262">
        <v>93.8</v>
      </c>
      <c r="BB262">
        <v>96.1</v>
      </c>
      <c r="BC262">
        <v>97.4</v>
      </c>
      <c r="BD262">
        <v>99</v>
      </c>
      <c r="BE262">
        <v>97.9</v>
      </c>
      <c r="BF262">
        <v>98.5</v>
      </c>
      <c r="BG262">
        <v>99.2</v>
      </c>
      <c r="BH262">
        <v>99.3</v>
      </c>
      <c r="BI262">
        <v>99.2</v>
      </c>
      <c r="BJ262">
        <v>100</v>
      </c>
      <c r="BK262">
        <v>100</v>
      </c>
      <c r="BL262">
        <v>99.4</v>
      </c>
      <c r="BM262">
        <v>99.8</v>
      </c>
      <c r="BN262">
        <v>100</v>
      </c>
      <c r="BO262">
        <v>100</v>
      </c>
      <c r="BP262">
        <v>99.8</v>
      </c>
    </row>
    <row r="263" spans="1:68" x14ac:dyDescent="0.3">
      <c r="A263" t="s">
        <v>702</v>
      </c>
      <c r="B263" t="s">
        <v>703</v>
      </c>
      <c r="C263" t="s">
        <v>715</v>
      </c>
      <c r="D263" t="s">
        <v>716</v>
      </c>
      <c r="AM263">
        <v>18</v>
      </c>
      <c r="AN263">
        <v>12.941643714904799</v>
      </c>
      <c r="AO263">
        <v>14.792361259460399</v>
      </c>
      <c r="AP263">
        <v>16.6396789550781</v>
      </c>
      <c r="AQ263">
        <v>18.482917785644499</v>
      </c>
      <c r="AR263">
        <v>19.100000000000001</v>
      </c>
      <c r="AS263">
        <v>22.2</v>
      </c>
      <c r="AT263">
        <v>24</v>
      </c>
      <c r="AU263">
        <v>25.7</v>
      </c>
      <c r="AV263">
        <v>27.5</v>
      </c>
      <c r="AW263">
        <v>29.2</v>
      </c>
      <c r="AX263">
        <v>31</v>
      </c>
      <c r="AY263">
        <v>26.4</v>
      </c>
      <c r="AZ263">
        <v>33.6</v>
      </c>
      <c r="BA263">
        <v>36.5</v>
      </c>
      <c r="BB263">
        <v>33.299999999999997</v>
      </c>
      <c r="BC263">
        <v>44.1</v>
      </c>
      <c r="BD263">
        <v>42</v>
      </c>
      <c r="BE263">
        <v>43.9</v>
      </c>
      <c r="BF263">
        <v>31.7</v>
      </c>
      <c r="BG263">
        <v>49.1</v>
      </c>
      <c r="BH263">
        <v>52.3</v>
      </c>
      <c r="BI263">
        <v>57.8</v>
      </c>
      <c r="BJ263">
        <v>62.8</v>
      </c>
      <c r="BK263">
        <v>61.6</v>
      </c>
      <c r="BL263">
        <v>64.5</v>
      </c>
      <c r="BM263">
        <v>67.3</v>
      </c>
      <c r="BN263">
        <v>70</v>
      </c>
      <c r="BO263">
        <v>71.599999999999994</v>
      </c>
      <c r="BP263">
        <v>61.6</v>
      </c>
    </row>
    <row r="264" spans="1:68" x14ac:dyDescent="0.3">
      <c r="A264" t="s">
        <v>704</v>
      </c>
      <c r="B264" t="s">
        <v>705</v>
      </c>
      <c r="C264" t="s">
        <v>715</v>
      </c>
      <c r="D264" t="s">
        <v>716</v>
      </c>
      <c r="AQ264">
        <v>73.196235388655992</v>
      </c>
      <c r="AR264">
        <v>74.503210511674055</v>
      </c>
      <c r="AS264">
        <v>78.221400858317224</v>
      </c>
      <c r="AT264">
        <v>78.715243224499389</v>
      </c>
      <c r="AU264">
        <v>79.100798733270238</v>
      </c>
      <c r="AV264">
        <v>79.964901027398724</v>
      </c>
      <c r="AW264">
        <v>79.952147668405118</v>
      </c>
      <c r="AX264">
        <v>80.701331081653635</v>
      </c>
      <c r="AY264">
        <v>81.353463301067521</v>
      </c>
      <c r="AZ264">
        <v>81.97115766580491</v>
      </c>
      <c r="BA264">
        <v>82.668172377302284</v>
      </c>
      <c r="BB264">
        <v>82.865822706474688</v>
      </c>
      <c r="BC264">
        <v>83.447138297351387</v>
      </c>
      <c r="BD264">
        <v>84.50623338787652</v>
      </c>
      <c r="BE264">
        <v>84.936373483956629</v>
      </c>
      <c r="BF264">
        <v>85.710841021046321</v>
      </c>
      <c r="BG264">
        <v>86.195801262098243</v>
      </c>
      <c r="BH264">
        <v>86.924262969572425</v>
      </c>
      <c r="BI264">
        <v>88.1047725764967</v>
      </c>
      <c r="BJ264">
        <v>88.932088268608865</v>
      </c>
      <c r="BK264">
        <v>89.797731809361991</v>
      </c>
      <c r="BL264">
        <v>90.108768771247966</v>
      </c>
      <c r="BM264">
        <v>90.396088279090762</v>
      </c>
      <c r="BN264">
        <v>91.334647345596224</v>
      </c>
      <c r="BO264">
        <v>91.289245104325502</v>
      </c>
      <c r="BP264">
        <v>91.600137356856521</v>
      </c>
    </row>
    <row r="265" spans="1:68" x14ac:dyDescent="0.3">
      <c r="A265" t="s">
        <v>706</v>
      </c>
      <c r="B265" t="s">
        <v>707</v>
      </c>
      <c r="C265" t="s">
        <v>715</v>
      </c>
      <c r="D265" t="s">
        <v>716</v>
      </c>
      <c r="AJ265">
        <v>78.8</v>
      </c>
      <c r="AK265">
        <v>81.640167236328097</v>
      </c>
      <c r="AL265">
        <v>82.424591064453097</v>
      </c>
      <c r="AM265">
        <v>80</v>
      </c>
      <c r="AN265">
        <v>83.988693237304702</v>
      </c>
      <c r="AO265">
        <v>84.766998291015597</v>
      </c>
      <c r="AP265">
        <v>85.541908264160199</v>
      </c>
      <c r="AQ265">
        <v>86.312744140625</v>
      </c>
      <c r="AR265">
        <v>87.078727722167997</v>
      </c>
      <c r="AS265">
        <v>88</v>
      </c>
      <c r="AT265">
        <v>88.7</v>
      </c>
      <c r="AU265">
        <v>89.3</v>
      </c>
      <c r="AV265">
        <v>89.9</v>
      </c>
      <c r="AW265">
        <v>90.5</v>
      </c>
      <c r="AX265">
        <v>91.1</v>
      </c>
      <c r="AY265">
        <v>96.4</v>
      </c>
      <c r="AZ265">
        <v>92.5</v>
      </c>
      <c r="BA265">
        <v>98.1</v>
      </c>
      <c r="BB265">
        <v>97.9</v>
      </c>
      <c r="BC265">
        <v>96.4</v>
      </c>
      <c r="BD265">
        <v>96.7</v>
      </c>
      <c r="BE265">
        <v>96.8</v>
      </c>
      <c r="BF265">
        <v>97</v>
      </c>
      <c r="BG265">
        <v>97.9</v>
      </c>
      <c r="BH265">
        <v>98.2</v>
      </c>
      <c r="BI265">
        <v>98.9</v>
      </c>
      <c r="BJ265">
        <v>96.8</v>
      </c>
      <c r="BK265">
        <v>99.8</v>
      </c>
      <c r="BL265">
        <v>99.2</v>
      </c>
      <c r="BM265">
        <v>100</v>
      </c>
      <c r="BN265">
        <v>98.3</v>
      </c>
      <c r="BO265">
        <v>98.3</v>
      </c>
      <c r="BP265">
        <v>100</v>
      </c>
    </row>
    <row r="266" spans="1:68" x14ac:dyDescent="0.3">
      <c r="A266" t="s">
        <v>708</v>
      </c>
      <c r="B266" t="s">
        <v>709</v>
      </c>
      <c r="C266" t="s">
        <v>715</v>
      </c>
      <c r="D266" t="s">
        <v>716</v>
      </c>
      <c r="AI266">
        <v>100</v>
      </c>
      <c r="AJ266">
        <v>100</v>
      </c>
      <c r="AK266">
        <v>100</v>
      </c>
      <c r="AL266">
        <v>100</v>
      </c>
      <c r="AM266">
        <v>100</v>
      </c>
      <c r="AN266">
        <v>100</v>
      </c>
      <c r="AO266">
        <v>100</v>
      </c>
      <c r="AP266">
        <v>100</v>
      </c>
      <c r="AQ266">
        <v>100</v>
      </c>
      <c r="AR266">
        <v>100</v>
      </c>
    </row>
    <row r="267" spans="1:68" x14ac:dyDescent="0.3">
      <c r="A267" t="s">
        <v>710</v>
      </c>
      <c r="B267" t="s">
        <v>711</v>
      </c>
      <c r="C267" t="s">
        <v>715</v>
      </c>
      <c r="D267" t="s">
        <v>716</v>
      </c>
      <c r="AK267">
        <v>44.1</v>
      </c>
      <c r="AL267">
        <v>40.774715423583999</v>
      </c>
      <c r="AM267">
        <v>41.985134124755902</v>
      </c>
      <c r="AN267">
        <v>43.193511962890597</v>
      </c>
      <c r="AO267">
        <v>44.399169921875</v>
      </c>
      <c r="AP267">
        <v>42.6</v>
      </c>
      <c r="AQ267">
        <v>46.799610137939503</v>
      </c>
      <c r="AR267">
        <v>47.992946624755902</v>
      </c>
      <c r="AS267">
        <v>49.2</v>
      </c>
      <c r="AT267">
        <v>50.4</v>
      </c>
      <c r="AU267">
        <v>51.5</v>
      </c>
      <c r="AV267">
        <v>52.6</v>
      </c>
      <c r="AW267">
        <v>49.6</v>
      </c>
      <c r="AX267">
        <v>54.8</v>
      </c>
      <c r="AY267">
        <v>55.8</v>
      </c>
      <c r="AZ267">
        <v>57.2</v>
      </c>
      <c r="BA267">
        <v>58.4</v>
      </c>
      <c r="BB267">
        <v>59.6</v>
      </c>
      <c r="BC267">
        <v>60.8</v>
      </c>
      <c r="BD267">
        <v>62</v>
      </c>
      <c r="BE267">
        <v>52.4</v>
      </c>
      <c r="BF267">
        <v>75.599999999999994</v>
      </c>
      <c r="BG267">
        <v>66.099999999999994</v>
      </c>
      <c r="BH267">
        <v>67.400000000000006</v>
      </c>
      <c r="BI267">
        <v>68.900000000000006</v>
      </c>
      <c r="BJ267">
        <v>79.2</v>
      </c>
      <c r="BK267">
        <v>62</v>
      </c>
      <c r="BL267">
        <v>72.8</v>
      </c>
      <c r="BM267">
        <v>73.900000000000006</v>
      </c>
      <c r="BN267">
        <v>74.900000000000006</v>
      </c>
      <c r="BO267">
        <v>76</v>
      </c>
      <c r="BP267">
        <v>83.6</v>
      </c>
    </row>
    <row r="268" spans="1:68" x14ac:dyDescent="0.3">
      <c r="A268" t="s">
        <v>236</v>
      </c>
      <c r="B268" t="s">
        <v>712</v>
      </c>
      <c r="C268" t="s">
        <v>715</v>
      </c>
      <c r="D268" t="s">
        <v>716</v>
      </c>
      <c r="AO268">
        <v>57.6</v>
      </c>
      <c r="AP268">
        <v>69.483352661132798</v>
      </c>
      <c r="AQ268">
        <v>64.900000000000006</v>
      </c>
      <c r="AR268">
        <v>71.331787109375</v>
      </c>
      <c r="AS268">
        <v>72.400000000000006</v>
      </c>
      <c r="AT268">
        <v>70.2</v>
      </c>
      <c r="AU268">
        <v>76.7</v>
      </c>
      <c r="AV268">
        <v>78.8</v>
      </c>
      <c r="AW268">
        <v>80.599999999999994</v>
      </c>
      <c r="AX268">
        <v>80.8</v>
      </c>
      <c r="AY268">
        <v>80.7</v>
      </c>
      <c r="AZ268">
        <v>82</v>
      </c>
      <c r="BA268">
        <v>81.900000000000006</v>
      </c>
      <c r="BB268">
        <v>82.6</v>
      </c>
      <c r="BC268">
        <v>82.8</v>
      </c>
      <c r="BD268">
        <v>83.6</v>
      </c>
      <c r="BE268">
        <v>85.2</v>
      </c>
      <c r="BF268">
        <v>85.2</v>
      </c>
      <c r="BG268">
        <v>85.9</v>
      </c>
      <c r="BH268">
        <v>85.3</v>
      </c>
      <c r="BI268">
        <v>83.9</v>
      </c>
      <c r="BJ268">
        <v>84.4</v>
      </c>
      <c r="BK268">
        <v>84.7</v>
      </c>
      <c r="BL268">
        <v>85</v>
      </c>
      <c r="BM268">
        <v>90</v>
      </c>
      <c r="BN268">
        <v>89.3</v>
      </c>
      <c r="BO268">
        <v>86.5</v>
      </c>
      <c r="BP268">
        <v>87.7</v>
      </c>
    </row>
    <row r="269" spans="1:68" x14ac:dyDescent="0.3">
      <c r="A269" t="s">
        <v>238</v>
      </c>
      <c r="B269" t="s">
        <v>713</v>
      </c>
      <c r="C269" t="s">
        <v>715</v>
      </c>
      <c r="D269" t="s">
        <v>716</v>
      </c>
      <c r="AI269">
        <v>13.9</v>
      </c>
      <c r="AJ269">
        <v>12.752702713012701</v>
      </c>
      <c r="AK269">
        <v>19.2</v>
      </c>
      <c r="AL269">
        <v>14.213207244873001</v>
      </c>
      <c r="AM269">
        <v>14.941759109497101</v>
      </c>
      <c r="AN269">
        <v>15.668272018432599</v>
      </c>
      <c r="AO269">
        <v>17.3</v>
      </c>
      <c r="AP269">
        <v>17.1124591827393</v>
      </c>
      <c r="AQ269">
        <v>19</v>
      </c>
      <c r="AR269">
        <v>18.540245056152301</v>
      </c>
      <c r="AS269">
        <v>16.7</v>
      </c>
      <c r="AT269">
        <v>20.2</v>
      </c>
      <c r="AU269">
        <v>17.399999999999999</v>
      </c>
      <c r="AV269">
        <v>18.5</v>
      </c>
      <c r="AW269">
        <v>20.3</v>
      </c>
      <c r="AX269">
        <v>23.3</v>
      </c>
      <c r="AY269">
        <v>24.1</v>
      </c>
      <c r="AZ269">
        <v>18.5</v>
      </c>
      <c r="BA269">
        <v>25.7</v>
      </c>
      <c r="BB269">
        <v>26.6</v>
      </c>
      <c r="BC269">
        <v>22</v>
      </c>
      <c r="BD269">
        <v>28.3</v>
      </c>
      <c r="BE269">
        <v>29.2</v>
      </c>
      <c r="BF269">
        <v>30.1</v>
      </c>
      <c r="BG269">
        <v>27.9</v>
      </c>
      <c r="BH269">
        <v>31.1</v>
      </c>
      <c r="BI269">
        <v>35.4</v>
      </c>
      <c r="BJ269">
        <v>40.299999999999997</v>
      </c>
      <c r="BK269">
        <v>40.200000000000003</v>
      </c>
      <c r="BL269">
        <v>43</v>
      </c>
      <c r="BM269">
        <v>44.6</v>
      </c>
      <c r="BN269">
        <v>46.7</v>
      </c>
      <c r="BO269">
        <v>47.8</v>
      </c>
      <c r="BP269">
        <v>51.1</v>
      </c>
    </row>
    <row r="270" spans="1:68" x14ac:dyDescent="0.3">
      <c r="A270" t="s">
        <v>239</v>
      </c>
      <c r="B270" t="s">
        <v>714</v>
      </c>
      <c r="C270" t="s">
        <v>715</v>
      </c>
      <c r="D270" t="s">
        <v>716</v>
      </c>
      <c r="AK270">
        <v>28.2</v>
      </c>
      <c r="AL270">
        <v>31.163667678833001</v>
      </c>
      <c r="AM270">
        <v>28.1</v>
      </c>
      <c r="AN270">
        <v>31.948579788208001</v>
      </c>
      <c r="AO270">
        <v>32.337295532226598</v>
      </c>
      <c r="AP270">
        <v>32.722610473632798</v>
      </c>
      <c r="AQ270">
        <v>33.103847503662102</v>
      </c>
      <c r="AR270">
        <v>38.4</v>
      </c>
      <c r="AS270">
        <v>33.700000000000003</v>
      </c>
      <c r="AT270">
        <v>34.200000000000003</v>
      </c>
      <c r="AU270">
        <v>34.200000000000003</v>
      </c>
      <c r="AV270">
        <v>35.1</v>
      </c>
      <c r="AW270">
        <v>35.6</v>
      </c>
      <c r="AX270">
        <v>36.1</v>
      </c>
      <c r="AY270">
        <v>37.200000000000003</v>
      </c>
      <c r="AZ270">
        <v>37.200000000000003</v>
      </c>
      <c r="BA270">
        <v>37.700000000000003</v>
      </c>
      <c r="BB270">
        <v>43.4</v>
      </c>
      <c r="BC270">
        <v>38.9</v>
      </c>
      <c r="BD270">
        <v>36.9</v>
      </c>
      <c r="BE270">
        <v>44</v>
      </c>
      <c r="BF270">
        <v>40.6</v>
      </c>
      <c r="BG270">
        <v>32.299999999999997</v>
      </c>
      <c r="BH270">
        <v>33.700000000000003</v>
      </c>
      <c r="BI270">
        <v>42.5</v>
      </c>
      <c r="BJ270">
        <v>44</v>
      </c>
      <c r="BK270">
        <v>45.4</v>
      </c>
      <c r="BL270">
        <v>46.7</v>
      </c>
      <c r="BM270">
        <v>52.7</v>
      </c>
      <c r="BN270">
        <v>49</v>
      </c>
      <c r="BO270">
        <v>50.1</v>
      </c>
      <c r="BP270">
        <v>62</v>
      </c>
    </row>
  </sheetData>
  <pageMargins left="0.7" right="0.7" top="0.75" bottom="0.75" header="0.3" footer="0.3"/>
  <headerFooter alignWithMargins="0">
    <oddFooter>&amp;L_x000D_&amp;1#&amp;"Calibri"&amp;10&amp;K000000 LUT Group Confidential - Other information (3Y)</oddFooter>
  </headerFooter>
  <drawing r:id="rId1"/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Data_Africa</vt:lpstr>
      <vt:lpstr>POP_base</vt:lpstr>
      <vt:lpstr>GDP_PPP_base</vt:lpstr>
      <vt:lpstr>INC_PPP_base</vt:lpstr>
      <vt:lpstr>Elec_Access_base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ElSayed (LUT)</dc:creator>
  <cp:lastModifiedBy>Mai ElSayed (LUT)</cp:lastModifiedBy>
  <dcterms:created xsi:type="dcterms:W3CDTF">2025-08-07T08:14:11Z</dcterms:created>
  <dcterms:modified xsi:type="dcterms:W3CDTF">2026-06-09T10:04:26Z</dcterms:modified>
</cp:coreProperties>
</file>