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lut-my.sharepoint.com/personal/mai_elsayed_lut_fi/Documents/LEMPS/EEM25/Paper extension/"/>
    </mc:Choice>
  </mc:AlternateContent>
  <xr:revisionPtr revIDLastSave="19" documentId="8_{14EE31BF-DD3B-4714-9839-4E59C2E07512}" xr6:coauthVersionLast="47" xr6:coauthVersionMax="47" xr10:uidLastSave="{E0FD0F6A-2A47-49AF-9795-5C0B353D1B87}"/>
  <bookViews>
    <workbookView xWindow="-110" yWindow="-110" windowWidth="19420" windowHeight="10300" firstSheet="6" activeTab="7" xr2:uid="{CE2B9C28-BE06-44F0-82E0-1AB3AA28F7D1}"/>
  </bookViews>
  <sheets>
    <sheet name="lowest_10" sheetId="1" r:id="rId1"/>
    <sheet name="lowest_20" sheetId="4" r:id="rId2"/>
    <sheet name="second_20" sheetId="5" r:id="rId3"/>
    <sheet name="third_20" sheetId="6" r:id="rId4"/>
    <sheet name="fourth_20" sheetId="7" r:id="rId5"/>
    <sheet name="highest_20" sheetId="8" r:id="rId6"/>
    <sheet name="highest_10" sheetId="9" r:id="rId7"/>
    <sheet name="INC_DIST_2015" sheetId="10" r:id="rId8"/>
    <sheet name="Metadata - Countries" sheetId="2" r:id="rId9"/>
    <sheet name="Metadata - Indicators" sheetId="3" r:id="rId10"/>
  </sheets>
  <definedNames>
    <definedName name="_xlnm._FilterDatabase" localSheetId="7" hidden="1">INC_DIST_2015!$A$1:$P$267</definedName>
    <definedName name="_xlnm._FilterDatabase" localSheetId="0" hidden="1">lowest_10!$A$4:$BQ$270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0" l="1"/>
  <c r="H3" i="10" s="1"/>
  <c r="I4" i="10"/>
  <c r="H4" i="10" s="1"/>
  <c r="I5" i="10"/>
  <c r="H5" i="10" s="1"/>
  <c r="I6" i="10"/>
  <c r="H6" i="10" s="1"/>
  <c r="I7" i="10"/>
  <c r="H7" i="10" s="1"/>
  <c r="I8" i="10"/>
  <c r="H8" i="10" s="1"/>
  <c r="I9" i="10"/>
  <c r="H9" i="10" s="1"/>
  <c r="I10" i="10"/>
  <c r="H10" i="10"/>
  <c r="I11" i="10"/>
  <c r="H11" i="10" s="1"/>
  <c r="I12" i="10"/>
  <c r="I13" i="10"/>
  <c r="H13" i="10" s="1"/>
  <c r="I14" i="10"/>
  <c r="H14" i="10" s="1"/>
  <c r="I15" i="10"/>
  <c r="H15" i="10" s="1"/>
  <c r="I16" i="10"/>
  <c r="H16" i="10" s="1"/>
  <c r="I17" i="10"/>
  <c r="H17" i="10" s="1"/>
  <c r="I18" i="10"/>
  <c r="H18" i="10"/>
  <c r="I19" i="10"/>
  <c r="H19" i="10" s="1"/>
  <c r="I20" i="10"/>
  <c r="H20" i="10" s="1"/>
  <c r="I21" i="10"/>
  <c r="I22" i="10"/>
  <c r="H22" i="10" s="1"/>
  <c r="I23" i="10"/>
  <c r="I24" i="10"/>
  <c r="H24" i="10" s="1"/>
  <c r="I25" i="10"/>
  <c r="H25" i="10" s="1"/>
  <c r="I26" i="10"/>
  <c r="H26" i="10" s="1"/>
  <c r="I27" i="10"/>
  <c r="H27" i="10" s="1"/>
  <c r="I28" i="10"/>
  <c r="H28" i="10" s="1"/>
  <c r="I29" i="10"/>
  <c r="H29" i="10" s="1"/>
  <c r="I30" i="10"/>
  <c r="H30" i="10" s="1"/>
  <c r="I31" i="10"/>
  <c r="H31" i="10" s="1"/>
  <c r="I32" i="10"/>
  <c r="H32" i="10" s="1"/>
  <c r="I33" i="10"/>
  <c r="H33" i="10" s="1"/>
  <c r="I34" i="10"/>
  <c r="H34" i="10" s="1"/>
  <c r="I35" i="10"/>
  <c r="H35" i="10" s="1"/>
  <c r="I36" i="10"/>
  <c r="H36" i="10" s="1"/>
  <c r="I37" i="10"/>
  <c r="H37" i="10" s="1"/>
  <c r="I38" i="10"/>
  <c r="H38" i="10" s="1"/>
  <c r="I39" i="10"/>
  <c r="H39" i="10" s="1"/>
  <c r="I40" i="10"/>
  <c r="H40" i="10" s="1"/>
  <c r="I41" i="10"/>
  <c r="H41" i="10" s="1"/>
  <c r="I42" i="10"/>
  <c r="H42" i="10" s="1"/>
  <c r="I43" i="10"/>
  <c r="H43" i="10" s="1"/>
  <c r="I44" i="10"/>
  <c r="H44" i="10" s="1"/>
  <c r="I45" i="10"/>
  <c r="H45" i="10" s="1"/>
  <c r="I46" i="10"/>
  <c r="H46" i="10" s="1"/>
  <c r="I47" i="10"/>
  <c r="H47" i="10" s="1"/>
  <c r="I48" i="10"/>
  <c r="H48" i="10" s="1"/>
  <c r="I49" i="10"/>
  <c r="H49" i="10" s="1"/>
  <c r="I50" i="10"/>
  <c r="H50" i="10" s="1"/>
  <c r="I51" i="10"/>
  <c r="H51" i="10" s="1"/>
  <c r="I52" i="10"/>
  <c r="H52" i="10" s="1"/>
  <c r="I53" i="10"/>
  <c r="H53" i="10" s="1"/>
  <c r="I54" i="10"/>
  <c r="H54" i="10" s="1"/>
  <c r="I55" i="10"/>
  <c r="H55" i="10" s="1"/>
  <c r="I56" i="10"/>
  <c r="H56" i="10" s="1"/>
  <c r="I57" i="10"/>
  <c r="H57" i="10" s="1"/>
  <c r="I58" i="10"/>
  <c r="H58" i="10"/>
  <c r="I59" i="10"/>
  <c r="H59" i="10" s="1"/>
  <c r="I60" i="10"/>
  <c r="H60" i="10" s="1"/>
  <c r="I61" i="10"/>
  <c r="I62" i="10"/>
  <c r="I63" i="10"/>
  <c r="H63" i="10" s="1"/>
  <c r="I64" i="10"/>
  <c r="H64" i="10" s="1"/>
  <c r="I65" i="10"/>
  <c r="H65" i="10"/>
  <c r="I66" i="10"/>
  <c r="H66" i="10" s="1"/>
  <c r="I67" i="10"/>
  <c r="H67" i="10" s="1"/>
  <c r="I68" i="10"/>
  <c r="H68" i="10" s="1"/>
  <c r="I69" i="10"/>
  <c r="H69" i="10" s="1"/>
  <c r="I70" i="10"/>
  <c r="H70" i="10" s="1"/>
  <c r="I71" i="10"/>
  <c r="H71" i="10" s="1"/>
  <c r="I72" i="10"/>
  <c r="H72" i="10" s="1"/>
  <c r="I73" i="10"/>
  <c r="I74" i="10"/>
  <c r="H74" i="10" s="1"/>
  <c r="I75" i="10"/>
  <c r="H75" i="10" s="1"/>
  <c r="I76" i="10"/>
  <c r="H76" i="10" s="1"/>
  <c r="I77" i="10"/>
  <c r="H77" i="10" s="1"/>
  <c r="I78" i="10"/>
  <c r="H78" i="10" s="1"/>
  <c r="I79" i="10"/>
  <c r="H79" i="10" s="1"/>
  <c r="I80" i="10"/>
  <c r="H80" i="10" s="1"/>
  <c r="I81" i="10"/>
  <c r="H81" i="10" s="1"/>
  <c r="I82" i="10"/>
  <c r="H82" i="10" s="1"/>
  <c r="I83" i="10"/>
  <c r="H83" i="10" s="1"/>
  <c r="I84" i="10"/>
  <c r="H84" i="10" s="1"/>
  <c r="I85" i="10"/>
  <c r="H85" i="10" s="1"/>
  <c r="I86" i="10"/>
  <c r="I87" i="10"/>
  <c r="I88" i="10"/>
  <c r="H88" i="10" s="1"/>
  <c r="I89" i="10"/>
  <c r="H89" i="10" s="1"/>
  <c r="I90" i="10"/>
  <c r="H90" i="10" s="1"/>
  <c r="I91" i="10"/>
  <c r="H91" i="10" s="1"/>
  <c r="I92" i="10"/>
  <c r="H92" i="10"/>
  <c r="I93" i="10"/>
  <c r="H93" i="10" s="1"/>
  <c r="I94" i="10"/>
  <c r="H94" i="10" s="1"/>
  <c r="I95" i="10"/>
  <c r="H95" i="10" s="1"/>
  <c r="I96" i="10"/>
  <c r="H96" i="10" s="1"/>
  <c r="I97" i="10"/>
  <c r="H97" i="10" s="1"/>
  <c r="I98" i="10"/>
  <c r="H98" i="10" s="1"/>
  <c r="I99" i="10"/>
  <c r="H99" i="10" s="1"/>
  <c r="I100" i="10"/>
  <c r="H100" i="10" s="1"/>
  <c r="I101" i="10"/>
  <c r="H101" i="10" s="1"/>
  <c r="I102" i="10"/>
  <c r="H102" i="10" s="1"/>
  <c r="I103" i="10"/>
  <c r="H103" i="10" s="1"/>
  <c r="I104" i="10"/>
  <c r="H104" i="10" s="1"/>
  <c r="I105" i="10"/>
  <c r="H105" i="10" s="1"/>
  <c r="I106" i="10"/>
  <c r="H106" i="10" s="1"/>
  <c r="I107" i="10"/>
  <c r="H107" i="10" s="1"/>
  <c r="I108" i="10"/>
  <c r="H108" i="10" s="1"/>
  <c r="I109" i="10"/>
  <c r="H109" i="10" s="1"/>
  <c r="I110" i="10"/>
  <c r="H110" i="10" s="1"/>
  <c r="I111" i="10"/>
  <c r="H111" i="10" s="1"/>
  <c r="I112" i="10"/>
  <c r="H112" i="10" s="1"/>
  <c r="I113" i="10"/>
  <c r="H113" i="10" s="1"/>
  <c r="I114" i="10"/>
  <c r="H114" i="10" s="1"/>
  <c r="I115" i="10"/>
  <c r="H115" i="10" s="1"/>
  <c r="I116" i="10"/>
  <c r="H116" i="10" s="1"/>
  <c r="I117" i="10"/>
  <c r="H117" i="10" s="1"/>
  <c r="I118" i="10"/>
  <c r="H118" i="10" s="1"/>
  <c r="I119" i="10"/>
  <c r="I120" i="10"/>
  <c r="H120" i="10" s="1"/>
  <c r="I121" i="10"/>
  <c r="H121" i="10" s="1"/>
  <c r="I122" i="10"/>
  <c r="H122" i="10" s="1"/>
  <c r="I123" i="10"/>
  <c r="H123" i="10" s="1"/>
  <c r="I124" i="10"/>
  <c r="H124" i="10" s="1"/>
  <c r="I125" i="10"/>
  <c r="H125" i="10" s="1"/>
  <c r="I126" i="10"/>
  <c r="H126" i="10" s="1"/>
  <c r="I127" i="10"/>
  <c r="H127" i="10" s="1"/>
  <c r="I128" i="10"/>
  <c r="H128" i="10" s="1"/>
  <c r="I129" i="10"/>
  <c r="H129" i="10" s="1"/>
  <c r="I130" i="10"/>
  <c r="H130" i="10" s="1"/>
  <c r="I131" i="10"/>
  <c r="H131" i="10" s="1"/>
  <c r="I132" i="10"/>
  <c r="H132" i="10" s="1"/>
  <c r="I133" i="10"/>
  <c r="I134" i="10"/>
  <c r="I135" i="10"/>
  <c r="H135" i="10" s="1"/>
  <c r="I136" i="10"/>
  <c r="H136" i="10" s="1"/>
  <c r="I137" i="10"/>
  <c r="H137" i="10" s="1"/>
  <c r="I138" i="10"/>
  <c r="H138" i="10" s="1"/>
  <c r="I139" i="10"/>
  <c r="H139" i="10" s="1"/>
  <c r="I140" i="10"/>
  <c r="H140" i="10" s="1"/>
  <c r="I141" i="10"/>
  <c r="H141" i="10" s="1"/>
  <c r="I142" i="10"/>
  <c r="H142" i="10" s="1"/>
  <c r="I143" i="10"/>
  <c r="H143" i="10" s="1"/>
  <c r="I144" i="10"/>
  <c r="H144" i="10" s="1"/>
  <c r="I145" i="10"/>
  <c r="H145" i="10" s="1"/>
  <c r="I146" i="10"/>
  <c r="H146" i="10" s="1"/>
  <c r="I147" i="10"/>
  <c r="H147" i="10" s="1"/>
  <c r="I148" i="10"/>
  <c r="H148" i="10" s="1"/>
  <c r="I149" i="10"/>
  <c r="H149" i="10" s="1"/>
  <c r="I150" i="10"/>
  <c r="H150" i="10" s="1"/>
  <c r="I151" i="10"/>
  <c r="H151" i="10" s="1"/>
  <c r="I152" i="10"/>
  <c r="H152" i="10" s="1"/>
  <c r="I153" i="10"/>
  <c r="H153" i="10" s="1"/>
  <c r="I154" i="10"/>
  <c r="H154" i="10" s="1"/>
  <c r="I155" i="10"/>
  <c r="H155" i="10" s="1"/>
  <c r="I156" i="10"/>
  <c r="H156" i="10" s="1"/>
  <c r="I157" i="10"/>
  <c r="H157" i="10" s="1"/>
  <c r="I158" i="10"/>
  <c r="H158" i="10" s="1"/>
  <c r="I159" i="10"/>
  <c r="H159" i="10" s="1"/>
  <c r="I160" i="10"/>
  <c r="H160" i="10" s="1"/>
  <c r="I161" i="10"/>
  <c r="H161" i="10" s="1"/>
  <c r="I162" i="10"/>
  <c r="H162" i="10" s="1"/>
  <c r="I163" i="10"/>
  <c r="H163" i="10"/>
  <c r="I164" i="10"/>
  <c r="H164" i="10" s="1"/>
  <c r="I165" i="10"/>
  <c r="H165" i="10" s="1"/>
  <c r="I166" i="10"/>
  <c r="H166" i="10" s="1"/>
  <c r="I167" i="10"/>
  <c r="H167" i="10" s="1"/>
  <c r="I168" i="10"/>
  <c r="H168" i="10" s="1"/>
  <c r="I169" i="10"/>
  <c r="H169" i="10" s="1"/>
  <c r="I170" i="10"/>
  <c r="H170" i="10" s="1"/>
  <c r="I171" i="10"/>
  <c r="H171" i="10" s="1"/>
  <c r="I172" i="10"/>
  <c r="H172" i="10" s="1"/>
  <c r="I173" i="10"/>
  <c r="H173" i="10" s="1"/>
  <c r="I174" i="10"/>
  <c r="H174" i="10" s="1"/>
  <c r="I175" i="10"/>
  <c r="H175" i="10" s="1"/>
  <c r="I176" i="10"/>
  <c r="I177" i="10"/>
  <c r="H177" i="10" s="1"/>
  <c r="I178" i="10"/>
  <c r="H178" i="10" s="1"/>
  <c r="I179" i="10"/>
  <c r="H179" i="10" s="1"/>
  <c r="I180" i="10"/>
  <c r="H180" i="10" s="1"/>
  <c r="I181" i="10"/>
  <c r="H181" i="10" s="1"/>
  <c r="I182" i="10"/>
  <c r="H182" i="10" s="1"/>
  <c r="I183" i="10"/>
  <c r="H183" i="10" s="1"/>
  <c r="I184" i="10"/>
  <c r="H184" i="10" s="1"/>
  <c r="I185" i="10"/>
  <c r="H185" i="10" s="1"/>
  <c r="I186" i="10"/>
  <c r="H186" i="10" s="1"/>
  <c r="I187" i="10"/>
  <c r="H187" i="10" s="1"/>
  <c r="I188" i="10"/>
  <c r="H188" i="10" s="1"/>
  <c r="I189" i="10"/>
  <c r="H189" i="10" s="1"/>
  <c r="I190" i="10"/>
  <c r="H190" i="10" s="1"/>
  <c r="I191" i="10"/>
  <c r="H191" i="10" s="1"/>
  <c r="I192" i="10"/>
  <c r="I193" i="10"/>
  <c r="H193" i="10" s="1"/>
  <c r="I194" i="10"/>
  <c r="H194" i="10" s="1"/>
  <c r="I195" i="10"/>
  <c r="H195" i="10" s="1"/>
  <c r="I196" i="10"/>
  <c r="H196" i="10" s="1"/>
  <c r="I197" i="10"/>
  <c r="I198" i="10"/>
  <c r="H198" i="10" s="1"/>
  <c r="I199" i="10"/>
  <c r="I200" i="10"/>
  <c r="H200" i="10" s="1"/>
  <c r="I201" i="10"/>
  <c r="H201" i="10" s="1"/>
  <c r="I202" i="10"/>
  <c r="H202" i="10" s="1"/>
  <c r="I203" i="10"/>
  <c r="H203" i="10" s="1"/>
  <c r="I204" i="10"/>
  <c r="H204" i="10" s="1"/>
  <c r="I205" i="10"/>
  <c r="H205" i="10" s="1"/>
  <c r="I206" i="10"/>
  <c r="H206" i="10" s="1"/>
  <c r="I207" i="10"/>
  <c r="I208" i="10"/>
  <c r="H208" i="10" s="1"/>
  <c r="I209" i="10"/>
  <c r="H209" i="10" s="1"/>
  <c r="I210" i="10"/>
  <c r="H210" i="10" s="1"/>
  <c r="I211" i="10"/>
  <c r="H211" i="10" s="1"/>
  <c r="I212" i="10"/>
  <c r="H212" i="10" s="1"/>
  <c r="I213" i="10"/>
  <c r="H213" i="10" s="1"/>
  <c r="I214" i="10"/>
  <c r="H214" i="10" s="1"/>
  <c r="I215" i="10"/>
  <c r="H215" i="10" s="1"/>
  <c r="I216" i="10"/>
  <c r="H216" i="10" s="1"/>
  <c r="I217" i="10"/>
  <c r="H217" i="10" s="1"/>
  <c r="I218" i="10"/>
  <c r="H218" i="10" s="1"/>
  <c r="I219" i="10"/>
  <c r="H219" i="10" s="1"/>
  <c r="I220" i="10"/>
  <c r="H220" i="10" s="1"/>
  <c r="I221" i="10"/>
  <c r="H221" i="10" s="1"/>
  <c r="I222" i="10"/>
  <c r="H222" i="10" s="1"/>
  <c r="I223" i="10"/>
  <c r="I224" i="10"/>
  <c r="I225" i="10"/>
  <c r="H225" i="10" s="1"/>
  <c r="I226" i="10"/>
  <c r="H226" i="10" s="1"/>
  <c r="I227" i="10"/>
  <c r="H227" i="10" s="1"/>
  <c r="I228" i="10"/>
  <c r="H228" i="10" s="1"/>
  <c r="I229" i="10"/>
  <c r="H229" i="10" s="1"/>
  <c r="I230" i="10"/>
  <c r="H230" i="10" s="1"/>
  <c r="I231" i="10"/>
  <c r="I232" i="10"/>
  <c r="I233" i="10"/>
  <c r="H233" i="10" s="1"/>
  <c r="I234" i="10"/>
  <c r="H234" i="10" s="1"/>
  <c r="I235" i="10"/>
  <c r="H235" i="10" s="1"/>
  <c r="I236" i="10"/>
  <c r="H236" i="10" s="1"/>
  <c r="I237" i="10"/>
  <c r="H237" i="10" s="1"/>
  <c r="I238" i="10"/>
  <c r="H238" i="10" s="1"/>
  <c r="I239" i="10"/>
  <c r="I240" i="10"/>
  <c r="H240" i="10" s="1"/>
  <c r="I241" i="10"/>
  <c r="H241" i="10" s="1"/>
  <c r="I242" i="10"/>
  <c r="H242" i="10" s="1"/>
  <c r="I243" i="10"/>
  <c r="H243" i="10" s="1"/>
  <c r="I244" i="10"/>
  <c r="H244" i="10" s="1"/>
  <c r="I245" i="10"/>
  <c r="H245" i="10" s="1"/>
  <c r="I246" i="10"/>
  <c r="H246" i="10" s="1"/>
  <c r="I247" i="10"/>
  <c r="I248" i="10"/>
  <c r="H248" i="10" s="1"/>
  <c r="I249" i="10"/>
  <c r="H249" i="10" s="1"/>
  <c r="I250" i="10"/>
  <c r="H250" i="10" s="1"/>
  <c r="I251" i="10"/>
  <c r="H251" i="10" s="1"/>
  <c r="I252" i="10"/>
  <c r="H252" i="10" s="1"/>
  <c r="I253" i="10"/>
  <c r="H253" i="10" s="1"/>
  <c r="I254" i="10"/>
  <c r="H254" i="10" s="1"/>
  <c r="I255" i="10"/>
  <c r="I256" i="10"/>
  <c r="I257" i="10"/>
  <c r="H257" i="10"/>
  <c r="I258" i="10"/>
  <c r="H258" i="10" s="1"/>
  <c r="I259" i="10"/>
  <c r="H259" i="10" s="1"/>
  <c r="I260" i="10"/>
  <c r="H260" i="10" s="1"/>
  <c r="I261" i="10"/>
  <c r="H261" i="10" s="1"/>
  <c r="I262" i="10"/>
  <c r="H262" i="10" s="1"/>
  <c r="I263" i="10"/>
  <c r="H263" i="10" s="1"/>
  <c r="I264" i="10"/>
  <c r="H264" i="10" s="1"/>
  <c r="I265" i="10"/>
  <c r="H265" i="10" s="1"/>
  <c r="I266" i="10"/>
  <c r="H266" i="10" s="1"/>
  <c r="I267" i="10"/>
  <c r="H12" i="10"/>
  <c r="H21" i="10"/>
  <c r="H23" i="10"/>
  <c r="H61" i="10"/>
  <c r="H62" i="10"/>
  <c r="H73" i="10"/>
  <c r="H86" i="10"/>
  <c r="H87" i="10"/>
  <c r="H119" i="10"/>
  <c r="H133" i="10"/>
  <c r="H134" i="10"/>
  <c r="H176" i="10"/>
  <c r="H192" i="10"/>
  <c r="H197" i="10"/>
  <c r="H199" i="10"/>
  <c r="H207" i="10"/>
  <c r="H223" i="10"/>
  <c r="H224" i="10"/>
  <c r="H231" i="10"/>
  <c r="H232" i="10"/>
  <c r="H239" i="10"/>
  <c r="H247" i="10"/>
  <c r="H255" i="10"/>
  <c r="H256" i="10"/>
  <c r="H267"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P92" i="10" s="1"/>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O244" i="10" s="1"/>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F3" i="10"/>
  <c r="F4" i="10"/>
  <c r="F5" i="10"/>
  <c r="F6" i="10"/>
  <c r="F7" i="10"/>
  <c r="F8" i="10"/>
  <c r="F9" i="10"/>
  <c r="F10" i="10"/>
  <c r="F11" i="10"/>
  <c r="F12" i="10"/>
  <c r="F13" i="10"/>
  <c r="F14" i="10"/>
  <c r="F15" i="10"/>
  <c r="F16" i="10"/>
  <c r="F17" i="10"/>
  <c r="F18" i="10"/>
  <c r="F19" i="10"/>
  <c r="N19" i="10" s="1"/>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I2" i="10"/>
  <c r="H2" i="10" s="1"/>
  <c r="G2" i="10"/>
  <c r="F2" i="10"/>
  <c r="E2" i="10"/>
  <c r="C3" i="10"/>
  <c r="D3" i="10" s="1"/>
  <c r="C4" i="10"/>
  <c r="D4" i="10" s="1"/>
  <c r="C5" i="10"/>
  <c r="D5" i="10" s="1"/>
  <c r="C6" i="10"/>
  <c r="D6" i="10" s="1"/>
  <c r="C7" i="10"/>
  <c r="D7" i="10" s="1"/>
  <c r="C8" i="10"/>
  <c r="C9" i="10"/>
  <c r="C10" i="10"/>
  <c r="D10" i="10" s="1"/>
  <c r="K10" i="10" s="1"/>
  <c r="C11" i="10"/>
  <c r="C12" i="10"/>
  <c r="J12" i="10" s="1"/>
  <c r="C13" i="10"/>
  <c r="J13" i="10" s="1"/>
  <c r="C14" i="10"/>
  <c r="J14" i="10" s="1"/>
  <c r="C15" i="10"/>
  <c r="C16" i="10"/>
  <c r="J16" i="10" s="1"/>
  <c r="C17" i="10"/>
  <c r="C18" i="10"/>
  <c r="J18" i="10" s="1"/>
  <c r="C19" i="10"/>
  <c r="D19" i="10" s="1"/>
  <c r="C20" i="10"/>
  <c r="C21" i="10"/>
  <c r="D21" i="10" s="1"/>
  <c r="C22" i="10"/>
  <c r="D22" i="10" s="1"/>
  <c r="C23" i="10"/>
  <c r="C24" i="10"/>
  <c r="D24" i="10" s="1"/>
  <c r="C25" i="10"/>
  <c r="J25" i="10" s="1"/>
  <c r="C26" i="10"/>
  <c r="C27" i="10"/>
  <c r="J27" i="10" s="1"/>
  <c r="C28" i="10"/>
  <c r="C29" i="10"/>
  <c r="D29" i="10" s="1"/>
  <c r="C30" i="10"/>
  <c r="D30" i="10" s="1"/>
  <c r="C31" i="10"/>
  <c r="D31" i="10" s="1"/>
  <c r="C32" i="10"/>
  <c r="J32" i="10" s="1"/>
  <c r="D32" i="10"/>
  <c r="L32" i="10" s="1"/>
  <c r="C33" i="10"/>
  <c r="J33" i="10" s="1"/>
  <c r="C34" i="10"/>
  <c r="D34" i="10" s="1"/>
  <c r="C35" i="10"/>
  <c r="D35" i="10" s="1"/>
  <c r="C36" i="10"/>
  <c r="D36" i="10" s="1"/>
  <c r="C37" i="10"/>
  <c r="C38" i="10"/>
  <c r="C39" i="10"/>
  <c r="J39" i="10" s="1"/>
  <c r="C40" i="10"/>
  <c r="D40" i="10" s="1"/>
  <c r="C41" i="10"/>
  <c r="D41" i="10" s="1"/>
  <c r="C42" i="10"/>
  <c r="D42" i="10" s="1"/>
  <c r="C43" i="10"/>
  <c r="D43" i="10" s="1"/>
  <c r="C44" i="10"/>
  <c r="C45" i="10"/>
  <c r="D45" i="10" s="1"/>
  <c r="C46" i="10"/>
  <c r="J46" i="10" s="1"/>
  <c r="C47" i="10"/>
  <c r="J47" i="10" s="1"/>
  <c r="C48" i="10"/>
  <c r="D48" i="10" s="1"/>
  <c r="C49" i="10"/>
  <c r="D49" i="10" s="1"/>
  <c r="C50" i="10"/>
  <c r="D50" i="10" s="1"/>
  <c r="C51" i="10"/>
  <c r="D51" i="10" s="1"/>
  <c r="C52" i="10"/>
  <c r="C53" i="10"/>
  <c r="D53" i="10" s="1"/>
  <c r="C54" i="10"/>
  <c r="J54" i="10" s="1"/>
  <c r="C55" i="10"/>
  <c r="D55" i="10" s="1"/>
  <c r="L55" i="10" s="1"/>
  <c r="C56" i="10"/>
  <c r="D56" i="10" s="1"/>
  <c r="C57" i="10"/>
  <c r="D57" i="10" s="1"/>
  <c r="C58" i="10"/>
  <c r="D58" i="10" s="1"/>
  <c r="K58" i="10" s="1"/>
  <c r="C59" i="10"/>
  <c r="C60" i="10"/>
  <c r="J60" i="10" s="1"/>
  <c r="C61" i="10"/>
  <c r="C62" i="10"/>
  <c r="D62" i="10" s="1"/>
  <c r="C63" i="10"/>
  <c r="D63" i="10" s="1"/>
  <c r="C64" i="10"/>
  <c r="D64" i="10" s="1"/>
  <c r="C65" i="10"/>
  <c r="C66" i="10"/>
  <c r="J66" i="10" s="1"/>
  <c r="C67" i="10"/>
  <c r="J67" i="10" s="1"/>
  <c r="C68" i="10"/>
  <c r="D68" i="10" s="1"/>
  <c r="C69" i="10"/>
  <c r="J69" i="10" s="1"/>
  <c r="C70" i="10"/>
  <c r="J70" i="10" s="1"/>
  <c r="C71" i="10"/>
  <c r="J71" i="10" s="1"/>
  <c r="C72" i="10"/>
  <c r="D72" i="10" s="1"/>
  <c r="C73" i="10"/>
  <c r="C74" i="10"/>
  <c r="C75" i="10"/>
  <c r="J75" i="10" s="1"/>
  <c r="C76" i="10"/>
  <c r="C77" i="10"/>
  <c r="D77" i="10" s="1"/>
  <c r="C78" i="10"/>
  <c r="D78" i="10" s="1"/>
  <c r="C79" i="10"/>
  <c r="D79" i="10" s="1"/>
  <c r="C80" i="10"/>
  <c r="D80" i="10" s="1"/>
  <c r="C81" i="10"/>
  <c r="C82" i="10"/>
  <c r="D82" i="10" s="1"/>
  <c r="C83" i="10"/>
  <c r="J83" i="10" s="1"/>
  <c r="C84" i="10"/>
  <c r="D84" i="10" s="1"/>
  <c r="C85" i="10"/>
  <c r="C86" i="10"/>
  <c r="D86" i="10" s="1"/>
  <c r="C87" i="10"/>
  <c r="J87" i="10" s="1"/>
  <c r="C88" i="10"/>
  <c r="D88" i="10" s="1"/>
  <c r="C89" i="10"/>
  <c r="D89" i="10" s="1"/>
  <c r="C90" i="10"/>
  <c r="C91" i="10"/>
  <c r="C92" i="10"/>
  <c r="D92" i="10" s="1"/>
  <c r="C93" i="10"/>
  <c r="D93" i="10" s="1"/>
  <c r="C94" i="10"/>
  <c r="J94" i="10" s="1"/>
  <c r="C95" i="10"/>
  <c r="C96" i="10"/>
  <c r="J96" i="10" s="1"/>
  <c r="C97" i="10"/>
  <c r="D97" i="10" s="1"/>
  <c r="C98" i="10"/>
  <c r="D98" i="10" s="1"/>
  <c r="K98" i="10" s="1"/>
  <c r="C99" i="10"/>
  <c r="J99" i="10" s="1"/>
  <c r="C100" i="10"/>
  <c r="J100" i="10" s="1"/>
  <c r="C101" i="10"/>
  <c r="D101" i="10" s="1"/>
  <c r="C102" i="10"/>
  <c r="D102" i="10" s="1"/>
  <c r="K102" i="10" s="1"/>
  <c r="C103" i="10"/>
  <c r="D103" i="10" s="1"/>
  <c r="K103" i="10" s="1"/>
  <c r="C104" i="10"/>
  <c r="C105" i="10"/>
  <c r="C106" i="10"/>
  <c r="C107" i="10"/>
  <c r="D107" i="10" s="1"/>
  <c r="C108" i="10"/>
  <c r="C109" i="10"/>
  <c r="C110" i="10"/>
  <c r="J110" i="10" s="1"/>
  <c r="C111" i="10"/>
  <c r="C112" i="10"/>
  <c r="C113" i="10"/>
  <c r="D113" i="10" s="1"/>
  <c r="C114" i="10"/>
  <c r="C115" i="10"/>
  <c r="D115" i="10" s="1"/>
  <c r="C116" i="10"/>
  <c r="C117" i="10"/>
  <c r="C118" i="10"/>
  <c r="D118" i="10" s="1"/>
  <c r="C119" i="10"/>
  <c r="J119" i="10" s="1"/>
  <c r="C120" i="10"/>
  <c r="D120" i="10" s="1"/>
  <c r="C121" i="10"/>
  <c r="J121" i="10" s="1"/>
  <c r="C122" i="10"/>
  <c r="C123" i="10"/>
  <c r="J123" i="10" s="1"/>
  <c r="C124" i="10"/>
  <c r="J124" i="10" s="1"/>
  <c r="C125" i="10"/>
  <c r="D125" i="10" s="1"/>
  <c r="C126" i="10"/>
  <c r="J126" i="10" s="1"/>
  <c r="C127" i="10"/>
  <c r="J127" i="10" s="1"/>
  <c r="C128" i="10"/>
  <c r="C129" i="10"/>
  <c r="C130" i="10"/>
  <c r="C131" i="10"/>
  <c r="J131" i="10" s="1"/>
  <c r="C132" i="10"/>
  <c r="D132" i="10" s="1"/>
  <c r="C133" i="10"/>
  <c r="D133" i="10" s="1"/>
  <c r="C134" i="10"/>
  <c r="C135" i="10"/>
  <c r="D135" i="10" s="1"/>
  <c r="C136" i="10"/>
  <c r="C137" i="10"/>
  <c r="C138" i="10"/>
  <c r="C139" i="10"/>
  <c r="C140" i="10"/>
  <c r="D140" i="10" s="1"/>
  <c r="L140" i="10" s="1"/>
  <c r="C141" i="10"/>
  <c r="D141" i="10" s="1"/>
  <c r="C142" i="10"/>
  <c r="C143" i="10"/>
  <c r="C144" i="10"/>
  <c r="D144" i="10" s="1"/>
  <c r="C145" i="10"/>
  <c r="C146" i="10"/>
  <c r="D146" i="10" s="1"/>
  <c r="C147" i="10"/>
  <c r="C148" i="10"/>
  <c r="C149" i="10"/>
  <c r="J149" i="10" s="1"/>
  <c r="C150" i="10"/>
  <c r="C151" i="10"/>
  <c r="C152" i="10"/>
  <c r="C153" i="10"/>
  <c r="D153" i="10" s="1"/>
  <c r="C154" i="10"/>
  <c r="D154" i="10" s="1"/>
  <c r="K154" i="10" s="1"/>
  <c r="C155" i="10"/>
  <c r="C156" i="10"/>
  <c r="D156" i="10"/>
  <c r="C157" i="10"/>
  <c r="C158" i="10"/>
  <c r="C159" i="10"/>
  <c r="C160" i="10"/>
  <c r="C161" i="10"/>
  <c r="C162" i="10"/>
  <c r="J162" i="10" s="1"/>
  <c r="C163" i="10"/>
  <c r="J163" i="10" s="1"/>
  <c r="C164" i="10"/>
  <c r="J164" i="10" s="1"/>
  <c r="C165" i="10"/>
  <c r="J165" i="10" s="1"/>
  <c r="C166" i="10"/>
  <c r="C167" i="10"/>
  <c r="C168" i="10"/>
  <c r="D168" i="10" s="1"/>
  <c r="C169" i="10"/>
  <c r="C170" i="10"/>
  <c r="D170" i="10"/>
  <c r="K170" i="10" s="1"/>
  <c r="C171" i="10"/>
  <c r="D171" i="10" s="1"/>
  <c r="C172" i="10"/>
  <c r="C173" i="10"/>
  <c r="D173" i="10" s="1"/>
  <c r="C174" i="10"/>
  <c r="C175" i="10"/>
  <c r="D175" i="10" s="1"/>
  <c r="K175" i="10" s="1"/>
  <c r="C176" i="10"/>
  <c r="C177" i="10"/>
  <c r="D177" i="10"/>
  <c r="C178" i="10"/>
  <c r="C179" i="10"/>
  <c r="D179" i="10" s="1"/>
  <c r="C180" i="10"/>
  <c r="D180" i="10" s="1"/>
  <c r="C181" i="10"/>
  <c r="C182" i="10"/>
  <c r="J182" i="10" s="1"/>
  <c r="C183" i="10"/>
  <c r="C184" i="10"/>
  <c r="D184" i="10" s="1"/>
  <c r="C185" i="10"/>
  <c r="C186" i="10"/>
  <c r="C187" i="10"/>
  <c r="D187" i="10" s="1"/>
  <c r="K187" i="10" s="1"/>
  <c r="C188" i="10"/>
  <c r="D188" i="10" s="1"/>
  <c r="C189" i="10"/>
  <c r="D189" i="10" s="1"/>
  <c r="C190" i="10"/>
  <c r="C191" i="10"/>
  <c r="C192" i="10"/>
  <c r="C193" i="10"/>
  <c r="D193" i="10"/>
  <c r="C194" i="10"/>
  <c r="D194" i="10" s="1"/>
  <c r="K194" i="10" s="1"/>
  <c r="C195" i="10"/>
  <c r="C196" i="10"/>
  <c r="J196" i="10" s="1"/>
  <c r="C197" i="10"/>
  <c r="D197" i="10" s="1"/>
  <c r="K197" i="10" s="1"/>
  <c r="C198" i="10"/>
  <c r="C199" i="10"/>
  <c r="J199" i="10" s="1"/>
  <c r="C200" i="10"/>
  <c r="J200" i="10" s="1"/>
  <c r="C201" i="10"/>
  <c r="C202" i="10"/>
  <c r="D202" i="10" s="1"/>
  <c r="K202" i="10" s="1"/>
  <c r="C203" i="10"/>
  <c r="D203" i="10" s="1"/>
  <c r="C204" i="10"/>
  <c r="D204" i="10" s="1"/>
  <c r="C205" i="10"/>
  <c r="D205" i="10" s="1"/>
  <c r="C206" i="10"/>
  <c r="C207" i="10"/>
  <c r="C208" i="10"/>
  <c r="J208" i="10" s="1"/>
  <c r="C209" i="10"/>
  <c r="C210" i="10"/>
  <c r="J210" i="10" s="1"/>
  <c r="C211" i="10"/>
  <c r="D211" i="10" s="1"/>
  <c r="C212" i="10"/>
  <c r="D212" i="10" s="1"/>
  <c r="C213" i="10"/>
  <c r="C214" i="10"/>
  <c r="C215" i="10"/>
  <c r="C216" i="10"/>
  <c r="J216" i="10" s="1"/>
  <c r="C217" i="10"/>
  <c r="C218" i="10"/>
  <c r="D218" i="10" s="1"/>
  <c r="C219" i="10"/>
  <c r="C220" i="10"/>
  <c r="C221" i="10"/>
  <c r="J221" i="10" s="1"/>
  <c r="C222" i="10"/>
  <c r="J222" i="10" s="1"/>
  <c r="C223" i="10"/>
  <c r="C224" i="10"/>
  <c r="C225" i="10"/>
  <c r="C226" i="10"/>
  <c r="C227" i="10"/>
  <c r="C228" i="10"/>
  <c r="J228" i="10" s="1"/>
  <c r="C229" i="10"/>
  <c r="C230" i="10"/>
  <c r="J230" i="10" s="1"/>
  <c r="C231" i="10"/>
  <c r="C232" i="10"/>
  <c r="J232" i="10" s="1"/>
  <c r="C233" i="10"/>
  <c r="C234" i="10"/>
  <c r="C235" i="10"/>
  <c r="C236" i="10"/>
  <c r="J236" i="10" s="1"/>
  <c r="C237" i="10"/>
  <c r="C238" i="10"/>
  <c r="D238" i="10" s="1"/>
  <c r="K238" i="10" s="1"/>
  <c r="C239" i="10"/>
  <c r="C240" i="10"/>
  <c r="J240" i="10" s="1"/>
  <c r="C241" i="10"/>
  <c r="C242" i="10"/>
  <c r="J242" i="10" s="1"/>
  <c r="C243" i="10"/>
  <c r="C244" i="10"/>
  <c r="D244" i="10" s="1"/>
  <c r="C245" i="10"/>
  <c r="C246" i="10"/>
  <c r="C247" i="10"/>
  <c r="J247" i="10" s="1"/>
  <c r="C248" i="10"/>
  <c r="D248" i="10"/>
  <c r="K248" i="10" s="1"/>
  <c r="C249" i="10"/>
  <c r="D249" i="10" s="1"/>
  <c r="C250" i="10"/>
  <c r="J250" i="10" s="1"/>
  <c r="C251" i="10"/>
  <c r="C252" i="10"/>
  <c r="D252" i="10" s="1"/>
  <c r="C253" i="10"/>
  <c r="C254" i="10"/>
  <c r="C255" i="10"/>
  <c r="D255" i="10" s="1"/>
  <c r="C256" i="10"/>
  <c r="D256" i="10" s="1"/>
  <c r="L256" i="10" s="1"/>
  <c r="C257" i="10"/>
  <c r="D257" i="10" s="1"/>
  <c r="K257" i="10" s="1"/>
  <c r="C258" i="10"/>
  <c r="D258" i="10" s="1"/>
  <c r="C259" i="10"/>
  <c r="J259" i="10" s="1"/>
  <c r="C260" i="10"/>
  <c r="D260" i="10" s="1"/>
  <c r="C261" i="10"/>
  <c r="J261" i="10" s="1"/>
  <c r="C262" i="10"/>
  <c r="D262" i="10" s="1"/>
  <c r="C263" i="10"/>
  <c r="D263" i="10" s="1"/>
  <c r="C264" i="10"/>
  <c r="C265" i="10"/>
  <c r="D265" i="10" s="1"/>
  <c r="C266" i="10"/>
  <c r="D266" i="10" s="1"/>
  <c r="C267" i="10"/>
  <c r="D267" i="10" s="1"/>
  <c r="C2" i="10"/>
  <c r="D2" i="10" s="1"/>
  <c r="J183" i="10"/>
  <c r="J175" i="10"/>
  <c r="J205" i="10"/>
  <c r="J189" i="10"/>
  <c r="J173" i="10"/>
  <c r="J61" i="10"/>
  <c r="J53" i="10"/>
  <c r="J21" i="10"/>
  <c r="D259" i="10"/>
  <c r="K259" i="10" s="1"/>
  <c r="J159" i="10"/>
  <c r="J252" i="10"/>
  <c r="J204" i="10"/>
  <c r="J188" i="10"/>
  <c r="J92" i="10"/>
  <c r="J36" i="10"/>
  <c r="J143" i="10"/>
  <c r="J174" i="10"/>
  <c r="J115" i="10"/>
  <c r="D137" i="10"/>
  <c r="K137" i="10" s="1"/>
  <c r="J151" i="10"/>
  <c r="J30" i="10"/>
  <c r="J251" i="10"/>
  <c r="J170" i="10"/>
  <c r="J98" i="10"/>
  <c r="J90" i="10"/>
  <c r="J58" i="10"/>
  <c r="J50" i="10"/>
  <c r="J42" i="10"/>
  <c r="K42" i="10"/>
  <c r="J34" i="10"/>
  <c r="J167" i="10"/>
  <c r="J195" i="10"/>
  <c r="J153" i="10"/>
  <c r="J145" i="10"/>
  <c r="J137" i="10"/>
  <c r="J129" i="10"/>
  <c r="J113" i="10"/>
  <c r="J105" i="10"/>
  <c r="J89" i="10"/>
  <c r="J81" i="10"/>
  <c r="D167" i="10"/>
  <c r="D159" i="10"/>
  <c r="D151" i="10"/>
  <c r="J237" i="10"/>
  <c r="J135" i="10"/>
  <c r="J255" i="10"/>
  <c r="J102" i="10"/>
  <c r="K168" i="10"/>
  <c r="J160" i="10"/>
  <c r="J136" i="10"/>
  <c r="J128" i="10"/>
  <c r="J120" i="10"/>
  <c r="L120" i="10"/>
  <c r="J112" i="10"/>
  <c r="J104" i="10"/>
  <c r="L72" i="10"/>
  <c r="J48" i="10"/>
  <c r="J40" i="10"/>
  <c r="L24" i="10"/>
  <c r="D190" i="10"/>
  <c r="D174" i="10"/>
  <c r="J197" i="10"/>
  <c r="J181" i="10"/>
  <c r="K7" i="10"/>
  <c r="K115" i="10"/>
  <c r="L252" i="10"/>
  <c r="D228" i="10"/>
  <c r="D196" i="10"/>
  <c r="M244" i="10"/>
  <c r="N173" i="10"/>
  <c r="J211" i="10" l="1"/>
  <c r="M29" i="10"/>
  <c r="J203" i="10"/>
  <c r="K252" i="10"/>
  <c r="D33" i="10"/>
  <c r="P173" i="10"/>
  <c r="O188" i="10"/>
  <c r="P156" i="10"/>
  <c r="L29" i="10"/>
  <c r="J146" i="10"/>
  <c r="J35" i="10"/>
  <c r="N92" i="10"/>
  <c r="J5" i="10"/>
  <c r="N252" i="10"/>
  <c r="J154" i="10"/>
  <c r="M43" i="10"/>
  <c r="L248" i="10"/>
  <c r="D250" i="10"/>
  <c r="L250" i="10" s="1"/>
  <c r="D131" i="10"/>
  <c r="M131" i="10" s="1"/>
  <c r="J63" i="10"/>
  <c r="O92" i="10"/>
  <c r="O193" i="10"/>
  <c r="N93" i="10"/>
  <c r="J86" i="10"/>
  <c r="K24" i="10"/>
  <c r="M36" i="10"/>
  <c r="L93" i="10"/>
  <c r="N137" i="10"/>
  <c r="M97" i="10"/>
  <c r="O258" i="10"/>
  <c r="O211" i="10"/>
  <c r="O115" i="10"/>
  <c r="O51" i="10"/>
  <c r="P43" i="10"/>
  <c r="P19" i="10"/>
  <c r="P262" i="10"/>
  <c r="K77" i="10"/>
  <c r="D94" i="10"/>
  <c r="P94" i="10" s="1"/>
  <c r="J7" i="10"/>
  <c r="M228" i="10"/>
  <c r="J55" i="10"/>
  <c r="M168" i="10"/>
  <c r="M120" i="10"/>
  <c r="M32" i="10"/>
  <c r="M24" i="10"/>
  <c r="D46" i="10"/>
  <c r="D54" i="10"/>
  <c r="J78" i="10"/>
  <c r="J140" i="10"/>
  <c r="J133" i="10"/>
  <c r="N196" i="10"/>
  <c r="D39" i="10"/>
  <c r="J22" i="10"/>
  <c r="M140" i="10"/>
  <c r="M133" i="10"/>
  <c r="O3" i="10"/>
  <c r="N72" i="10"/>
  <c r="P175" i="10"/>
  <c r="J265" i="10"/>
  <c r="P193" i="10"/>
  <c r="N177" i="10"/>
  <c r="P64" i="10"/>
  <c r="M137" i="10"/>
  <c r="J179" i="10"/>
  <c r="O77" i="10"/>
  <c r="D210" i="10"/>
  <c r="P210" i="10" s="1"/>
  <c r="M248" i="10"/>
  <c r="K64" i="10"/>
  <c r="J88" i="10"/>
  <c r="J194" i="10"/>
  <c r="K19" i="10"/>
  <c r="J64" i="10"/>
  <c r="M177" i="10"/>
  <c r="O54" i="10"/>
  <c r="O168" i="10"/>
  <c r="O72" i="10"/>
  <c r="O190" i="10"/>
  <c r="M64" i="10"/>
  <c r="J79" i="10"/>
  <c r="J184" i="10"/>
  <c r="P29" i="10"/>
  <c r="N115" i="10"/>
  <c r="P63" i="10"/>
  <c r="K249" i="10"/>
  <c r="D70" i="10"/>
  <c r="P70" i="10" s="1"/>
  <c r="D222" i="10"/>
  <c r="N222" i="10" s="1"/>
  <c r="K32" i="10"/>
  <c r="L64" i="10"/>
  <c r="D87" i="10"/>
  <c r="K87" i="10" s="1"/>
  <c r="J41" i="10"/>
  <c r="J238" i="10"/>
  <c r="L137" i="10"/>
  <c r="J84" i="10"/>
  <c r="K132" i="10"/>
  <c r="M93" i="10"/>
  <c r="L175" i="10"/>
  <c r="J4" i="10"/>
  <c r="D126" i="10"/>
  <c r="N126" i="10" s="1"/>
  <c r="J56" i="10"/>
  <c r="J80" i="10"/>
  <c r="J65" i="10"/>
  <c r="M238" i="10"/>
  <c r="O30" i="10"/>
  <c r="J103" i="10"/>
  <c r="J77" i="10"/>
  <c r="N63" i="10"/>
  <c r="P133" i="10"/>
  <c r="O64" i="10"/>
  <c r="D127" i="10"/>
  <c r="O127" i="10" s="1"/>
  <c r="J57" i="10"/>
  <c r="J249" i="10"/>
  <c r="M92" i="10"/>
  <c r="J132" i="10"/>
  <c r="J93" i="10"/>
  <c r="N43" i="10"/>
  <c r="D165" i="10"/>
  <c r="P165" i="10" s="1"/>
  <c r="L19" i="10"/>
  <c r="L156" i="10"/>
  <c r="O141" i="10"/>
  <c r="M63" i="10"/>
  <c r="P120" i="10"/>
  <c r="O56" i="10"/>
  <c r="D71" i="10"/>
  <c r="N71" i="10" s="1"/>
  <c r="J177" i="10"/>
  <c r="J202" i="10"/>
  <c r="J19" i="10"/>
  <c r="D240" i="10"/>
  <c r="K240" i="10" s="1"/>
  <c r="K40" i="10"/>
  <c r="N64" i="10"/>
  <c r="M249" i="10"/>
  <c r="J10" i="10"/>
  <c r="K146" i="10"/>
  <c r="J187" i="10"/>
  <c r="J3" i="10"/>
  <c r="L92" i="10"/>
  <c r="K140" i="10"/>
  <c r="J125" i="10"/>
  <c r="D96" i="10"/>
  <c r="M96" i="10" s="1"/>
  <c r="D65" i="10"/>
  <c r="L65" i="10" s="1"/>
  <c r="O137" i="10"/>
  <c r="O19" i="10"/>
  <c r="O70" i="10"/>
  <c r="N70" i="10"/>
  <c r="O175" i="10"/>
  <c r="D157" i="10"/>
  <c r="M157" i="10" s="1"/>
  <c r="D150" i="10"/>
  <c r="O150" i="10" s="1"/>
  <c r="J150" i="10"/>
  <c r="J134" i="10"/>
  <c r="D134" i="10"/>
  <c r="L134" i="10" s="1"/>
  <c r="D119" i="10"/>
  <c r="J111" i="10"/>
  <c r="D111" i="10"/>
  <c r="N111" i="10" s="1"/>
  <c r="D217" i="10"/>
  <c r="O217" i="10" s="1"/>
  <c r="D164" i="10"/>
  <c r="K164" i="10" s="1"/>
  <c r="L118" i="10"/>
  <c r="L187" i="10"/>
  <c r="N175" i="10"/>
  <c r="J171" i="10"/>
  <c r="P151" i="10"/>
  <c r="J217" i="10"/>
  <c r="J224" i="10"/>
  <c r="D224" i="10"/>
  <c r="P224" i="10" s="1"/>
  <c r="D216" i="10"/>
  <c r="N216" i="10" s="1"/>
  <c r="N193" i="10"/>
  <c r="M193" i="10"/>
  <c r="D185" i="10"/>
  <c r="P185" i="10" s="1"/>
  <c r="J185" i="10"/>
  <c r="D225" i="10"/>
  <c r="K225" i="10" s="1"/>
  <c r="N225" i="10"/>
  <c r="J225" i="10"/>
  <c r="D147" i="10"/>
  <c r="N147" i="10" s="1"/>
  <c r="J147" i="10"/>
  <c r="J116" i="10"/>
  <c r="D116" i="10"/>
  <c r="N116" i="10" s="1"/>
  <c r="P167" i="10"/>
  <c r="N167" i="10"/>
  <c r="D214" i="10"/>
  <c r="O214" i="10" s="1"/>
  <c r="D198" i="10"/>
  <c r="L198" i="10" s="1"/>
  <c r="J198" i="10"/>
  <c r="D191" i="10"/>
  <c r="M191" i="10" s="1"/>
  <c r="J191" i="10"/>
  <c r="D183" i="10"/>
  <c r="N183" i="10" s="1"/>
  <c r="D161" i="10"/>
  <c r="K161" i="10" s="1"/>
  <c r="D155" i="10"/>
  <c r="K155" i="10" s="1"/>
  <c r="J155" i="10"/>
  <c r="J231" i="10"/>
  <c r="D231" i="10"/>
  <c r="O231" i="10" s="1"/>
  <c r="D108" i="10"/>
  <c r="P108" i="10" s="1"/>
  <c r="J108" i="10"/>
  <c r="N118" i="10"/>
  <c r="M39" i="10"/>
  <c r="L39" i="10"/>
  <c r="O256" i="10"/>
  <c r="D245" i="10"/>
  <c r="M245" i="10" s="1"/>
  <c r="K31" i="10"/>
  <c r="P31" i="10"/>
  <c r="M31" i="10"/>
  <c r="J31" i="10"/>
  <c r="D23" i="10"/>
  <c r="L23" i="10" s="1"/>
  <c r="J23" i="10"/>
  <c r="L46" i="10"/>
  <c r="L36" i="10"/>
  <c r="L22" i="10"/>
  <c r="N238" i="10"/>
  <c r="L265" i="10"/>
  <c r="N265" i="10"/>
  <c r="P265" i="10"/>
  <c r="D237" i="10"/>
  <c r="L237" i="10" s="1"/>
  <c r="D15" i="10"/>
  <c r="M15" i="10" s="1"/>
  <c r="J15" i="10"/>
  <c r="M167" i="10"/>
  <c r="K265" i="10"/>
  <c r="L54" i="10"/>
  <c r="D142" i="10"/>
  <c r="M142" i="10" s="1"/>
  <c r="M71" i="10"/>
  <c r="K71" i="10"/>
  <c r="L71" i="10"/>
  <c r="J161" i="10"/>
  <c r="D104" i="10"/>
  <c r="N104" i="10" s="1"/>
  <c r="K196" i="10"/>
  <c r="M175" i="10"/>
  <c r="L7" i="10"/>
  <c r="O94" i="10"/>
  <c r="L62" i="10"/>
  <c r="J144" i="10"/>
  <c r="P211" i="10"/>
  <c r="M159" i="10"/>
  <c r="J218" i="10"/>
  <c r="J118" i="10"/>
  <c r="O43" i="10"/>
  <c r="J180" i="10"/>
  <c r="J141" i="10"/>
  <c r="K156" i="10"/>
  <c r="L96" i="10"/>
  <c r="O6" i="10"/>
  <c r="N244" i="10"/>
  <c r="M188" i="10"/>
  <c r="O84" i="10"/>
  <c r="O133" i="10"/>
  <c r="M72" i="10"/>
  <c r="P72" i="10"/>
  <c r="M19" i="10"/>
  <c r="M78" i="10"/>
  <c r="J266" i="10"/>
  <c r="M141" i="10"/>
  <c r="L173" i="10"/>
  <c r="O97" i="10"/>
  <c r="P115" i="10"/>
  <c r="K97" i="10"/>
  <c r="L97" i="10"/>
  <c r="K118" i="10"/>
  <c r="O102" i="10"/>
  <c r="D14" i="10"/>
  <c r="L14" i="10" s="1"/>
  <c r="O86" i="10"/>
  <c r="L174" i="10"/>
  <c r="D230" i="10"/>
  <c r="N24" i="10"/>
  <c r="K72" i="10"/>
  <c r="K120" i="10"/>
  <c r="L168" i="10"/>
  <c r="L10" i="10"/>
  <c r="K82" i="10"/>
  <c r="P93" i="10"/>
  <c r="K43" i="10"/>
  <c r="K211" i="10"/>
  <c r="J68" i="10"/>
  <c r="N140" i="10"/>
  <c r="J168" i="10"/>
  <c r="J45" i="10"/>
  <c r="J101" i="10"/>
  <c r="N212" i="10"/>
  <c r="D99" i="10"/>
  <c r="L99" i="10" s="1"/>
  <c r="L63" i="10"/>
  <c r="M265" i="10"/>
  <c r="N249" i="10"/>
  <c r="K244" i="10"/>
  <c r="J258" i="10"/>
  <c r="J43" i="10"/>
  <c r="M256" i="10"/>
  <c r="L94" i="10"/>
  <c r="J82" i="10"/>
  <c r="L244" i="10"/>
  <c r="P97" i="10"/>
  <c r="P244" i="10"/>
  <c r="D110" i="10"/>
  <c r="L110" i="10" s="1"/>
  <c r="D182" i="10"/>
  <c r="M182" i="10" s="1"/>
  <c r="P168" i="10"/>
  <c r="J107" i="10"/>
  <c r="P82" i="10"/>
  <c r="J51" i="10"/>
  <c r="J244" i="10"/>
  <c r="K133" i="10"/>
  <c r="P263" i="10"/>
  <c r="P45" i="10"/>
  <c r="K2" i="10"/>
  <c r="O2" i="10"/>
  <c r="P2" i="10"/>
  <c r="M2" i="10"/>
  <c r="L260" i="10"/>
  <c r="K260" i="10"/>
  <c r="M260" i="10"/>
  <c r="N260" i="10"/>
  <c r="O260" i="10"/>
  <c r="K255" i="10"/>
  <c r="P255" i="10"/>
  <c r="N255" i="10"/>
  <c r="L255" i="10"/>
  <c r="O255" i="10"/>
  <c r="M255" i="10"/>
  <c r="D229" i="10"/>
  <c r="N229" i="10" s="1"/>
  <c r="J214" i="10"/>
  <c r="J206" i="10"/>
  <c r="D206" i="10"/>
  <c r="L206" i="10" s="1"/>
  <c r="M132" i="10"/>
  <c r="L132" i="10"/>
  <c r="D81" i="10"/>
  <c r="M81" i="10" s="1"/>
  <c r="D73" i="10"/>
  <c r="K73" i="10" s="1"/>
  <c r="J73" i="10"/>
  <c r="O196" i="10"/>
  <c r="J6" i="10"/>
  <c r="J2" i="10"/>
  <c r="L2" i="10"/>
  <c r="L30" i="10"/>
  <c r="K30" i="10"/>
  <c r="J235" i="10"/>
  <c r="O252" i="10"/>
  <c r="N159" i="10"/>
  <c r="N188" i="10"/>
  <c r="D221" i="10"/>
  <c r="M221" i="10" s="1"/>
  <c r="K190" i="10"/>
  <c r="J190" i="10"/>
  <c r="D124" i="10"/>
  <c r="M124" i="10" s="1"/>
  <c r="P24" i="10"/>
  <c r="O24" i="10"/>
  <c r="J95" i="10"/>
  <c r="D13" i="10"/>
  <c r="L13" i="10" s="1"/>
  <c r="L196" i="10"/>
  <c r="D235" i="10"/>
  <c r="L235" i="10" s="1"/>
  <c r="K62" i="10"/>
  <c r="P159" i="10"/>
  <c r="D95" i="10"/>
  <c r="O95" i="10" s="1"/>
  <c r="J256" i="10"/>
  <c r="N256" i="10"/>
  <c r="K256" i="10"/>
  <c r="P256" i="10"/>
  <c r="D242" i="10"/>
  <c r="K242" i="10" s="1"/>
  <c r="D219" i="10"/>
  <c r="O219" i="10" s="1"/>
  <c r="N219" i="10"/>
  <c r="N211" i="10"/>
  <c r="L211" i="10"/>
  <c r="L188" i="10"/>
  <c r="L159" i="10"/>
  <c r="D145" i="10"/>
  <c r="L145" i="10" s="1"/>
  <c r="P137" i="10"/>
  <c r="D122" i="10"/>
  <c r="K122" i="10" s="1"/>
  <c r="J122" i="10"/>
  <c r="D114" i="10"/>
  <c r="K114" i="10" s="1"/>
  <c r="J114" i="10"/>
  <c r="D106" i="10"/>
  <c r="K106" i="10" s="1"/>
  <c r="J106" i="10"/>
  <c r="D27" i="10"/>
  <c r="P27" i="10" s="1"/>
  <c r="D227" i="10"/>
  <c r="L227" i="10" s="1"/>
  <c r="J227" i="10"/>
  <c r="O39" i="10"/>
  <c r="N54" i="10"/>
  <c r="P54" i="10"/>
  <c r="O118" i="10"/>
  <c r="M118" i="10"/>
  <c r="J212" i="10"/>
  <c r="N248" i="10"/>
  <c r="J248" i="10"/>
  <c r="D233" i="10"/>
  <c r="K233" i="10" s="1"/>
  <c r="J233" i="10"/>
  <c r="J166" i="10"/>
  <c r="D166" i="10"/>
  <c r="P166" i="10" s="1"/>
  <c r="J158" i="10"/>
  <c r="D158" i="10"/>
  <c r="M158" i="10" s="1"/>
  <c r="J152" i="10"/>
  <c r="D152" i="10"/>
  <c r="N152" i="10" s="1"/>
  <c r="D136" i="10"/>
  <c r="O136" i="10" s="1"/>
  <c r="D129" i="10"/>
  <c r="N129" i="10" s="1"/>
  <c r="D121" i="10"/>
  <c r="P121" i="10" s="1"/>
  <c r="D105" i="10"/>
  <c r="N105" i="10" s="1"/>
  <c r="M77" i="10"/>
  <c r="N77" i="10"/>
  <c r="N55" i="10"/>
  <c r="M55" i="10"/>
  <c r="D47" i="10"/>
  <c r="K47" i="10" s="1"/>
  <c r="D26" i="10"/>
  <c r="L26" i="10" s="1"/>
  <c r="J26" i="10"/>
  <c r="D18" i="10"/>
  <c r="K18" i="10" s="1"/>
  <c r="D11" i="10"/>
  <c r="N11" i="10" s="1"/>
  <c r="J11" i="10"/>
  <c r="J254" i="10"/>
  <c r="D254" i="10"/>
  <c r="D232" i="10"/>
  <c r="K232" i="10" s="1"/>
  <c r="D209" i="10"/>
  <c r="O209" i="10" s="1"/>
  <c r="J209" i="10"/>
  <c r="D201" i="10"/>
  <c r="O201" i="10" s="1"/>
  <c r="J201" i="10"/>
  <c r="D186" i="10"/>
  <c r="O186" i="10" s="1"/>
  <c r="J186" i="10"/>
  <c r="D143" i="10"/>
  <c r="K143" i="10" s="1"/>
  <c r="D76" i="10"/>
  <c r="L76" i="10" s="1"/>
  <c r="J76" i="10"/>
  <c r="O62" i="10"/>
  <c r="M62" i="10"/>
  <c r="J62" i="10"/>
  <c r="P62" i="10"/>
  <c r="D38" i="10"/>
  <c r="M38" i="10" s="1"/>
  <c r="J38" i="10"/>
  <c r="D25" i="10"/>
  <c r="N25" i="10" s="1"/>
  <c r="M22" i="10"/>
  <c r="P231" i="10"/>
  <c r="O159" i="10"/>
  <c r="L31" i="10"/>
  <c r="N31" i="10"/>
  <c r="D246" i="10"/>
  <c r="O246" i="10" s="1"/>
  <c r="J246" i="10"/>
  <c r="K193" i="10"/>
  <c r="L193" i="10"/>
  <c r="J193" i="10"/>
  <c r="D178" i="10"/>
  <c r="P178" i="10" s="1"/>
  <c r="J178" i="10"/>
  <c r="P157" i="10"/>
  <c r="J157" i="10"/>
  <c r="N157" i="10"/>
  <c r="J91" i="10"/>
  <c r="D91" i="10"/>
  <c r="L91" i="10" s="1"/>
  <c r="D61" i="10"/>
  <c r="P61" i="10" s="1"/>
  <c r="O32" i="10"/>
  <c r="P32" i="10"/>
  <c r="N32" i="10"/>
  <c r="J215" i="10"/>
  <c r="D215" i="10"/>
  <c r="K215" i="10" s="1"/>
  <c r="D199" i="10"/>
  <c r="P199" i="10" s="1"/>
  <c r="P118" i="10"/>
  <c r="D74" i="10"/>
  <c r="K74" i="10" s="1"/>
  <c r="J74" i="10"/>
  <c r="D66" i="10"/>
  <c r="O66" i="10" s="1"/>
  <c r="D60" i="10"/>
  <c r="L60" i="10" s="1"/>
  <c r="D52" i="10"/>
  <c r="O52" i="10" s="1"/>
  <c r="J52" i="10"/>
  <c r="D44" i="10"/>
  <c r="O44" i="10" s="1"/>
  <c r="J44" i="10"/>
  <c r="O31" i="10"/>
  <c r="P249" i="10"/>
  <c r="O265" i="10"/>
  <c r="J156" i="10"/>
  <c r="P56" i="10"/>
  <c r="O89" i="10"/>
  <c r="P177" i="10"/>
  <c r="P99" i="10"/>
  <c r="P42" i="10"/>
  <c r="O93" i="10"/>
  <c r="N36" i="10"/>
  <c r="K159" i="10"/>
  <c r="J24" i="10"/>
  <c r="N56" i="10"/>
  <c r="J72" i="10"/>
  <c r="O120" i="10"/>
  <c r="N168" i="10"/>
  <c r="J49" i="10"/>
  <c r="J97" i="10"/>
  <c r="L43" i="10"/>
  <c r="L115" i="10"/>
  <c r="K92" i="10"/>
  <c r="N132" i="10"/>
  <c r="O156" i="10"/>
  <c r="K188" i="10"/>
  <c r="O71" i="10"/>
  <c r="L249" i="10"/>
  <c r="N120" i="10"/>
  <c r="D123" i="10"/>
  <c r="M123" i="10" s="1"/>
  <c r="M211" i="10"/>
  <c r="O57" i="10"/>
  <c r="P48" i="10"/>
  <c r="K48" i="10"/>
  <c r="L48" i="10"/>
  <c r="M48" i="10"/>
  <c r="N48" i="10"/>
  <c r="O48" i="10"/>
  <c r="K180" i="10"/>
  <c r="N180" i="10"/>
  <c r="P180" i="10"/>
  <c r="M180" i="10"/>
  <c r="P144" i="10"/>
  <c r="N144" i="10"/>
  <c r="O144" i="10"/>
  <c r="P107" i="10"/>
  <c r="O107" i="10"/>
  <c r="K107" i="10"/>
  <c r="N107" i="10"/>
  <c r="K5" i="10"/>
  <c r="L5" i="10"/>
  <c r="N5" i="10"/>
  <c r="P5" i="10"/>
  <c r="M5" i="10"/>
  <c r="O5" i="10"/>
  <c r="P219" i="10"/>
  <c r="P36" i="10"/>
  <c r="O36" i="10"/>
  <c r="L171" i="10"/>
  <c r="M171" i="10"/>
  <c r="P171" i="10"/>
  <c r="N171" i="10"/>
  <c r="O171" i="10"/>
  <c r="K171" i="10"/>
  <c r="O53" i="10"/>
  <c r="K53" i="10"/>
  <c r="L53" i="10"/>
  <c r="P53" i="10"/>
  <c r="L4" i="10"/>
  <c r="M4" i="10"/>
  <c r="K125" i="10"/>
  <c r="M125" i="10"/>
  <c r="O125" i="10"/>
  <c r="P125" i="10"/>
  <c r="M135" i="10"/>
  <c r="L135" i="10"/>
  <c r="P135" i="10"/>
  <c r="O135" i="10"/>
  <c r="K135" i="10"/>
  <c r="K113" i="10"/>
  <c r="N113" i="10"/>
  <c r="O113" i="10"/>
  <c r="N80" i="10"/>
  <c r="L80" i="10"/>
  <c r="O80" i="10"/>
  <c r="M80" i="10"/>
  <c r="P80" i="10"/>
  <c r="K80" i="10"/>
  <c r="P132" i="10"/>
  <c r="O132" i="10"/>
  <c r="K267" i="10"/>
  <c r="N267" i="10"/>
  <c r="L267" i="10"/>
  <c r="O184" i="10"/>
  <c r="K184" i="10"/>
  <c r="L184" i="10"/>
  <c r="M184" i="10"/>
  <c r="P184" i="10"/>
  <c r="N184" i="10"/>
  <c r="K79" i="10"/>
  <c r="O79" i="10"/>
  <c r="O161" i="10"/>
  <c r="P161" i="10"/>
  <c r="O131" i="10"/>
  <c r="P131" i="10"/>
  <c r="N204" i="10"/>
  <c r="O204" i="10"/>
  <c r="P204" i="10"/>
  <c r="M204" i="10"/>
  <c r="K204" i="10"/>
  <c r="P189" i="10"/>
  <c r="L189" i="10"/>
  <c r="N189" i="10"/>
  <c r="O88" i="10"/>
  <c r="K88" i="10"/>
  <c r="N88" i="10"/>
  <c r="L88" i="10"/>
  <c r="M88" i="10"/>
  <c r="P88" i="10"/>
  <c r="N203" i="10"/>
  <c r="O203" i="10"/>
  <c r="P49" i="10"/>
  <c r="K49" i="10"/>
  <c r="L49" i="10"/>
  <c r="M49" i="10"/>
  <c r="N49" i="10"/>
  <c r="O49" i="10"/>
  <c r="L41" i="10"/>
  <c r="K41" i="10"/>
  <c r="M41" i="10"/>
  <c r="N41" i="10"/>
  <c r="O41" i="10"/>
  <c r="P41" i="10"/>
  <c r="O116" i="10"/>
  <c r="P116" i="10"/>
  <c r="O262" i="10"/>
  <c r="K63" i="10"/>
  <c r="O179" i="10"/>
  <c r="P260" i="10"/>
  <c r="P252" i="10"/>
  <c r="L164" i="10"/>
  <c r="N39" i="10"/>
  <c r="L263" i="10"/>
  <c r="N174" i="10"/>
  <c r="K266" i="10"/>
  <c r="O10" i="10"/>
  <c r="M266" i="10"/>
  <c r="P258" i="10"/>
  <c r="L218" i="10"/>
  <c r="L170" i="10"/>
  <c r="M146" i="10"/>
  <c r="P122" i="10"/>
  <c r="O114" i="10"/>
  <c r="L82" i="10"/>
  <c r="P66" i="10"/>
  <c r="M58" i="10"/>
  <c r="M50" i="10"/>
  <c r="O34" i="10"/>
  <c r="M267" i="10"/>
  <c r="K228" i="10"/>
  <c r="L179" i="10"/>
  <c r="N86" i="10"/>
  <c r="N179" i="10"/>
  <c r="P39" i="10"/>
  <c r="L212" i="10"/>
  <c r="M196" i="10"/>
  <c r="O165" i="10"/>
  <c r="P246" i="10"/>
  <c r="M86" i="10"/>
  <c r="J257" i="10"/>
  <c r="L259" i="10"/>
  <c r="J260" i="10"/>
  <c r="M115" i="10"/>
  <c r="K36" i="10"/>
  <c r="P140" i="10"/>
  <c r="N263" i="10"/>
  <c r="N94" i="10"/>
  <c r="P174" i="10"/>
  <c r="K174" i="10"/>
  <c r="M212" i="10"/>
  <c r="P196" i="10"/>
  <c r="L165" i="10"/>
  <c r="O212" i="10"/>
  <c r="P187" i="10"/>
  <c r="K54" i="10"/>
  <c r="O263" i="10"/>
  <c r="K95" i="10"/>
  <c r="P142" i="10"/>
  <c r="O63" i="10"/>
  <c r="O167" i="10"/>
  <c r="K86" i="10"/>
  <c r="M252" i="10"/>
  <c r="O249" i="10"/>
  <c r="P147" i="10"/>
  <c r="P212" i="10"/>
  <c r="P228" i="10"/>
  <c r="L228" i="10"/>
  <c r="P95" i="10"/>
  <c r="K39" i="10"/>
  <c r="K46" i="10"/>
  <c r="J219" i="10"/>
  <c r="P188" i="10"/>
  <c r="N97" i="10"/>
  <c r="K179" i="10"/>
  <c r="P179" i="10"/>
  <c r="N250" i="10"/>
  <c r="M179" i="10"/>
  <c r="M94" i="10"/>
  <c r="K263" i="10"/>
  <c r="M174" i="10"/>
  <c r="M54" i="10"/>
  <c r="N102" i="10"/>
  <c r="J263" i="10"/>
  <c r="D208" i="10"/>
  <c r="K208" i="10" s="1"/>
  <c r="L204" i="10"/>
  <c r="N6" i="10"/>
  <c r="L6" i="10"/>
  <c r="D247" i="10"/>
  <c r="O247" i="10" s="1"/>
  <c r="L194" i="10"/>
  <c r="N194" i="10"/>
  <c r="O194" i="10"/>
  <c r="P98" i="10"/>
  <c r="N98" i="10"/>
  <c r="P10" i="10"/>
  <c r="N10" i="10"/>
  <c r="M153" i="10"/>
  <c r="N153" i="10"/>
  <c r="O153" i="10"/>
  <c r="K262" i="10"/>
  <c r="L262" i="10"/>
  <c r="L51" i="10"/>
  <c r="M51" i="10"/>
  <c r="P51" i="10"/>
  <c r="K34" i="10"/>
  <c r="N34" i="10"/>
  <c r="N78" i="10"/>
  <c r="P78" i="10"/>
  <c r="D264" i="10"/>
  <c r="L264" i="10" s="1"/>
  <c r="J264" i="10"/>
  <c r="J234" i="10"/>
  <c r="M42" i="10"/>
  <c r="L42" i="10"/>
  <c r="N42" i="10"/>
  <c r="O42" i="10"/>
  <c r="M258" i="10"/>
  <c r="O46" i="10"/>
  <c r="N46" i="10"/>
  <c r="M34" i="10"/>
  <c r="P205" i="10"/>
  <c r="N205" i="10"/>
  <c r="L205" i="10"/>
  <c r="K205" i="10"/>
  <c r="K35" i="10"/>
  <c r="P35" i="10"/>
  <c r="L35" i="10"/>
  <c r="D16" i="10"/>
  <c r="K16" i="10" s="1"/>
  <c r="M116" i="10"/>
  <c r="M190" i="10"/>
  <c r="M98" i="10"/>
  <c r="M218" i="10"/>
  <c r="O35" i="10"/>
  <c r="D234" i="10"/>
  <c r="N234" i="10" s="1"/>
  <c r="O45" i="10"/>
  <c r="N45" i="10"/>
  <c r="M45" i="10"/>
  <c r="K45" i="10"/>
  <c r="M126" i="10"/>
  <c r="L58" i="10"/>
  <c r="J139" i="10"/>
  <c r="D139" i="10"/>
  <c r="N139" i="10" s="1"/>
  <c r="N262" i="10"/>
  <c r="P238" i="10"/>
  <c r="O238" i="10"/>
  <c r="N7" i="10"/>
  <c r="M7" i="10"/>
  <c r="M170" i="10"/>
  <c r="K51" i="10"/>
  <c r="P101" i="10"/>
  <c r="N101" i="10"/>
  <c r="K101" i="10"/>
  <c r="O101" i="10"/>
  <c r="P84" i="10"/>
  <c r="M84" i="10"/>
  <c r="N84" i="10"/>
  <c r="O257" i="10"/>
  <c r="N257" i="10"/>
  <c r="D172" i="10"/>
  <c r="N172" i="10" s="1"/>
  <c r="J172" i="10"/>
  <c r="N154" i="10"/>
  <c r="M154" i="10"/>
  <c r="J220" i="10"/>
  <c r="D220" i="10"/>
  <c r="K220" i="10" s="1"/>
  <c r="K68" i="10"/>
  <c r="P68" i="10"/>
  <c r="L68" i="10"/>
  <c r="M68" i="10"/>
  <c r="K29" i="10"/>
  <c r="O29" i="10"/>
  <c r="L3" i="10"/>
  <c r="P3" i="10"/>
  <c r="K3" i="10"/>
  <c r="M3" i="10"/>
  <c r="P46" i="10"/>
  <c r="P55" i="10"/>
  <c r="O55" i="10"/>
  <c r="N259" i="10"/>
  <c r="P259" i="10"/>
  <c r="M259" i="10"/>
  <c r="M257" i="10"/>
  <c r="J239" i="10"/>
  <c r="O40" i="10"/>
  <c r="L40" i="10"/>
  <c r="M40" i="10"/>
  <c r="K111" i="10"/>
  <c r="P33" i="10"/>
  <c r="L33" i="10"/>
  <c r="O33" i="10"/>
  <c r="K33" i="10"/>
  <c r="N197" i="10"/>
  <c r="P190" i="10"/>
  <c r="P6" i="10"/>
  <c r="P126" i="10"/>
  <c r="O78" i="10"/>
  <c r="O259" i="10"/>
  <c r="L70" i="10"/>
  <c r="O174" i="10"/>
  <c r="L56" i="10"/>
  <c r="M144" i="10"/>
  <c r="M113" i="10"/>
  <c r="P34" i="10"/>
  <c r="O98" i="10"/>
  <c r="P154" i="10"/>
  <c r="J262" i="10"/>
  <c r="J213" i="10"/>
  <c r="D213" i="10"/>
  <c r="K213" i="10" s="1"/>
  <c r="D192" i="10"/>
  <c r="J192" i="10"/>
  <c r="M186" i="10"/>
  <c r="D181" i="10"/>
  <c r="D169" i="10"/>
  <c r="M169" i="10" s="1"/>
  <c r="J169" i="10"/>
  <c r="D83" i="10"/>
  <c r="M83" i="10" s="1"/>
  <c r="O110" i="10"/>
  <c r="J253" i="10"/>
  <c r="D17" i="10"/>
  <c r="K17" i="10" s="1"/>
  <c r="J17" i="10"/>
  <c r="P146" i="10"/>
  <c r="L146" i="10"/>
  <c r="O146" i="10"/>
  <c r="N114" i="10"/>
  <c r="P114" i="10"/>
  <c r="N82" i="10"/>
  <c r="O82" i="10"/>
  <c r="N58" i="10"/>
  <c r="P58" i="10"/>
  <c r="O58" i="10"/>
  <c r="L197" i="10"/>
  <c r="N103" i="10"/>
  <c r="O267" i="10"/>
  <c r="L190" i="10"/>
  <c r="O151" i="10"/>
  <c r="L151" i="10"/>
  <c r="N57" i="10"/>
  <c r="P57" i="10"/>
  <c r="K57" i="10"/>
  <c r="L57" i="10"/>
  <c r="M57" i="10"/>
  <c r="D9" i="10"/>
  <c r="M9" i="10" s="1"/>
  <c r="K250" i="10"/>
  <c r="D8" i="10"/>
  <c r="O8" i="10" s="1"/>
  <c r="J8" i="10"/>
  <c r="P103" i="10"/>
  <c r="P40" i="10"/>
  <c r="N3" i="10"/>
  <c r="J9" i="10"/>
  <c r="P257" i="10"/>
  <c r="N51" i="10"/>
  <c r="L34" i="10"/>
  <c r="L98" i="10"/>
  <c r="N170" i="10"/>
  <c r="N35" i="10"/>
  <c r="L45" i="10"/>
  <c r="N79" i="10"/>
  <c r="P79" i="10"/>
  <c r="M79" i="10"/>
  <c r="L79" i="10"/>
  <c r="N21" i="10"/>
  <c r="L21" i="10"/>
  <c r="P21" i="10"/>
  <c r="K21" i="10"/>
  <c r="O21" i="10"/>
  <c r="M103" i="10"/>
  <c r="P197" i="10"/>
  <c r="P222" i="10"/>
  <c r="O111" i="10"/>
  <c r="N151" i="10"/>
  <c r="M56" i="10"/>
  <c r="M82" i="10"/>
  <c r="D176" i="10"/>
  <c r="K176" i="10" s="1"/>
  <c r="J176" i="10"/>
  <c r="P96" i="10"/>
  <c r="K96" i="10"/>
  <c r="K212" i="10"/>
  <c r="N187" i="10"/>
  <c r="K151" i="10"/>
  <c r="L101" i="10"/>
  <c r="P7" i="10"/>
  <c r="K78" i="10"/>
  <c r="K198" i="10"/>
  <c r="K110" i="10"/>
  <c r="K56" i="10"/>
  <c r="L144" i="10"/>
  <c r="M107" i="10"/>
  <c r="P113" i="10"/>
  <c r="D239" i="10"/>
  <c r="M239" i="10" s="1"/>
  <c r="N33" i="10"/>
  <c r="O154" i="10"/>
  <c r="P194" i="10"/>
  <c r="N68" i="10"/>
  <c r="O248" i="10"/>
  <c r="P248" i="10"/>
  <c r="D243" i="10"/>
  <c r="O243" i="10" s="1"/>
  <c r="J243" i="10"/>
  <c r="D236" i="10"/>
  <c r="N236" i="10" s="1"/>
  <c r="J229" i="10"/>
  <c r="K229" i="10"/>
  <c r="D223" i="10"/>
  <c r="J223" i="10"/>
  <c r="J207" i="10"/>
  <c r="D207" i="10"/>
  <c r="P203" i="10"/>
  <c r="K203" i="10"/>
  <c r="L203" i="10"/>
  <c r="M203" i="10"/>
  <c r="J117" i="10"/>
  <c r="D117" i="10"/>
  <c r="L117" i="10" s="1"/>
  <c r="D112" i="10"/>
  <c r="P112" i="10" s="1"/>
  <c r="L106" i="10"/>
  <c r="P106" i="10"/>
  <c r="O106" i="10"/>
  <c r="N106" i="10"/>
  <c r="M99" i="10"/>
  <c r="N99" i="10"/>
  <c r="M89" i="10"/>
  <c r="P89" i="10"/>
  <c r="N89" i="10"/>
  <c r="L89" i="10"/>
  <c r="K89" i="10"/>
  <c r="O103" i="10"/>
  <c r="L103" i="10"/>
  <c r="L222" i="10"/>
  <c r="K222" i="10"/>
  <c r="M222" i="10"/>
  <c r="D241" i="10"/>
  <c r="N241" i="10" s="1"/>
  <c r="J241" i="10"/>
  <c r="N266" i="10"/>
  <c r="P266" i="10"/>
  <c r="O266" i="10"/>
  <c r="P250" i="10"/>
  <c r="D226" i="10"/>
  <c r="P226" i="10" s="1"/>
  <c r="J226" i="10"/>
  <c r="L116" i="10"/>
  <c r="O222" i="10"/>
  <c r="D85" i="10"/>
  <c r="N85" i="10" s="1"/>
  <c r="J85" i="10"/>
  <c r="M66" i="10"/>
  <c r="N50" i="10"/>
  <c r="P50" i="10"/>
  <c r="K50" i="10"/>
  <c r="L50" i="10"/>
  <c r="O50" i="10"/>
  <c r="D28" i="10"/>
  <c r="N28" i="10" s="1"/>
  <c r="J28" i="10"/>
  <c r="M111" i="10"/>
  <c r="L238" i="10"/>
  <c r="L155" i="10"/>
  <c r="O22" i="10"/>
  <c r="N22" i="10"/>
  <c r="N40" i="10"/>
  <c r="L167" i="10"/>
  <c r="K167" i="10"/>
  <c r="L122" i="10"/>
  <c r="M35" i="10"/>
  <c r="M91" i="10"/>
  <c r="O250" i="10"/>
  <c r="O187" i="10"/>
  <c r="N228" i="10"/>
  <c r="P86" i="10"/>
  <c r="O228" i="10"/>
  <c r="M197" i="10"/>
  <c r="O205" i="10"/>
  <c r="L86" i="10"/>
  <c r="N258" i="10"/>
  <c r="M262" i="10"/>
  <c r="M151" i="10"/>
  <c r="M230" i="10"/>
  <c r="K55" i="10"/>
  <c r="M250" i="10"/>
  <c r="O197" i="10"/>
  <c r="M187" i="10"/>
  <c r="M205" i="10"/>
  <c r="M101" i="10"/>
  <c r="K22" i="10"/>
  <c r="P22" i="10"/>
  <c r="O7" i="10"/>
  <c r="P102" i="10"/>
  <c r="M46" i="10"/>
  <c r="K6" i="10"/>
  <c r="L102" i="10"/>
  <c r="N190" i="10"/>
  <c r="M102" i="10"/>
  <c r="O155" i="10"/>
  <c r="L84" i="10"/>
  <c r="M6" i="10"/>
  <c r="K38" i="10"/>
  <c r="P38" i="10"/>
  <c r="L78" i="10"/>
  <c r="N254" i="10"/>
  <c r="P254" i="10"/>
  <c r="N96" i="10"/>
  <c r="K144" i="10"/>
  <c r="L107" i="10"/>
  <c r="M33" i="10"/>
  <c r="L153" i="10"/>
  <c r="M10" i="10"/>
  <c r="N29" i="10"/>
  <c r="K258" i="10"/>
  <c r="L258" i="10"/>
  <c r="D253" i="10"/>
  <c r="K253" i="10" s="1"/>
  <c r="N202" i="10"/>
  <c r="L202" i="10"/>
  <c r="P202" i="10"/>
  <c r="M202" i="10"/>
  <c r="N185" i="10"/>
  <c r="M185" i="10"/>
  <c r="J142" i="10"/>
  <c r="K142" i="10"/>
  <c r="D130" i="10"/>
  <c r="L130" i="10" s="1"/>
  <c r="J130" i="10"/>
  <c r="L257" i="10"/>
  <c r="D195" i="10"/>
  <c r="L195" i="10" s="1"/>
  <c r="K189" i="10"/>
  <c r="O189" i="10"/>
  <c r="L131" i="10"/>
  <c r="K131" i="10"/>
  <c r="N131" i="10"/>
  <c r="L113" i="10"/>
  <c r="D100" i="10"/>
  <c r="P100" i="10" s="1"/>
  <c r="O96" i="10"/>
  <c r="D90" i="10"/>
  <c r="M90" i="10" s="1"/>
  <c r="N27" i="10"/>
  <c r="P77" i="10"/>
  <c r="L77" i="10"/>
  <c r="M189" i="10"/>
  <c r="D261" i="10"/>
  <c r="K261" i="10" s="1"/>
  <c r="D251" i="10"/>
  <c r="N251" i="10" s="1"/>
  <c r="K177" i="10"/>
  <c r="O177" i="10"/>
  <c r="L177" i="10"/>
  <c r="L141" i="10"/>
  <c r="P141" i="10"/>
  <c r="N141" i="10"/>
  <c r="K141" i="10"/>
  <c r="N135" i="10"/>
  <c r="M30" i="10"/>
  <c r="N30" i="10"/>
  <c r="N62" i="10"/>
  <c r="K94" i="10"/>
  <c r="P30" i="10"/>
  <c r="M263" i="10"/>
  <c r="P267" i="10"/>
  <c r="J267" i="10"/>
  <c r="D200" i="10"/>
  <c r="K200" i="10" s="1"/>
  <c r="P153" i="10"/>
  <c r="K153" i="10"/>
  <c r="N146" i="10"/>
  <c r="P218" i="10"/>
  <c r="K218" i="10"/>
  <c r="N218" i="10"/>
  <c r="O218" i="10"/>
  <c r="O170" i="10"/>
  <c r="P170" i="10"/>
  <c r="D163" i="10"/>
  <c r="K163" i="10" s="1"/>
  <c r="L133" i="10"/>
  <c r="N133" i="10"/>
  <c r="N4" i="10"/>
  <c r="P4" i="10"/>
  <c r="K4" i="10"/>
  <c r="O4" i="10"/>
  <c r="N81" i="10"/>
  <c r="K93" i="10"/>
  <c r="N2" i="10"/>
  <c r="O202" i="10"/>
  <c r="O180" i="10"/>
  <c r="L180" i="10"/>
  <c r="D162" i="10"/>
  <c r="L162" i="10" s="1"/>
  <c r="N156" i="10"/>
  <c r="M156" i="10"/>
  <c r="D128" i="10"/>
  <c r="N128" i="10" s="1"/>
  <c r="D20" i="10"/>
  <c r="P20" i="10" s="1"/>
  <c r="J20" i="10"/>
  <c r="N53" i="10"/>
  <c r="M53" i="10"/>
  <c r="J37" i="10"/>
  <c r="D37" i="10"/>
  <c r="K37" i="10" s="1"/>
  <c r="J245" i="10"/>
  <c r="L245" i="10"/>
  <c r="M194" i="10"/>
  <c r="O173" i="10"/>
  <c r="K173" i="10"/>
  <c r="M173" i="10"/>
  <c r="D138" i="10"/>
  <c r="J138" i="10"/>
  <c r="J109" i="10"/>
  <c r="D109" i="10"/>
  <c r="M109" i="10" s="1"/>
  <c r="D12" i="10"/>
  <c r="L12" i="10" s="1"/>
  <c r="L266" i="10"/>
  <c r="D160" i="10"/>
  <c r="M160" i="10" s="1"/>
  <c r="L154" i="10"/>
  <c r="D148" i="10"/>
  <c r="N148" i="10" s="1"/>
  <c r="J148" i="10"/>
  <c r="L125" i="10"/>
  <c r="N125" i="10"/>
  <c r="D69" i="10"/>
  <c r="L69" i="10" s="1"/>
  <c r="P52" i="10"/>
  <c r="K11" i="10"/>
  <c r="K84" i="10"/>
  <c r="O68" i="10"/>
  <c r="J59" i="10"/>
  <c r="O140" i="10"/>
  <c r="J29" i="10"/>
  <c r="D149" i="10"/>
  <c r="M149" i="10" s="1"/>
  <c r="M21" i="10"/>
  <c r="D75" i="10"/>
  <c r="D67" i="10"/>
  <c r="D59" i="10"/>
  <c r="M59" i="10" s="1"/>
  <c r="L66" i="10" l="1"/>
  <c r="P186" i="10"/>
  <c r="N134" i="10"/>
  <c r="O134" i="10"/>
  <c r="K224" i="10"/>
  <c r="K245" i="10"/>
  <c r="O16" i="10"/>
  <c r="L25" i="10"/>
  <c r="K66" i="10"/>
  <c r="N61" i="10"/>
  <c r="K136" i="10"/>
  <c r="N66" i="10"/>
  <c r="K246" i="10"/>
  <c r="K127" i="10"/>
  <c r="K70" i="10"/>
  <c r="P71" i="10"/>
  <c r="K65" i="10"/>
  <c r="N164" i="10"/>
  <c r="P87" i="10"/>
  <c r="O18" i="10"/>
  <c r="N210" i="10"/>
  <c r="M240" i="10"/>
  <c r="N18" i="10"/>
  <c r="L201" i="10"/>
  <c r="O14" i="10"/>
  <c r="P15" i="10"/>
  <c r="M134" i="10"/>
  <c r="K147" i="10"/>
  <c r="K237" i="10"/>
  <c r="L240" i="10"/>
  <c r="M18" i="10"/>
  <c r="P18" i="10"/>
  <c r="L87" i="10"/>
  <c r="L147" i="10"/>
  <c r="O15" i="10"/>
  <c r="P191" i="10"/>
  <c r="L27" i="10"/>
  <c r="L210" i="10"/>
  <c r="L158" i="10"/>
  <c r="O242" i="10"/>
  <c r="P245" i="10"/>
  <c r="M224" i="10"/>
  <c r="O147" i="10"/>
  <c r="P164" i="10"/>
  <c r="K52" i="10"/>
  <c r="L166" i="10"/>
  <c r="K108" i="10"/>
  <c r="L123" i="10"/>
  <c r="N14" i="10"/>
  <c r="M210" i="10"/>
  <c r="N224" i="10"/>
  <c r="K8" i="10"/>
  <c r="L18" i="10"/>
  <c r="K134" i="10"/>
  <c r="N165" i="10"/>
  <c r="O225" i="10"/>
  <c r="O108" i="10"/>
  <c r="M14" i="10"/>
  <c r="L231" i="10"/>
  <c r="O224" i="10"/>
  <c r="N127" i="10"/>
  <c r="M110" i="10"/>
  <c r="O215" i="10"/>
  <c r="L224" i="10"/>
  <c r="N198" i="10"/>
  <c r="O240" i="10"/>
  <c r="N242" i="10"/>
  <c r="P134" i="10"/>
  <c r="P225" i="10"/>
  <c r="M231" i="10"/>
  <c r="M127" i="10"/>
  <c r="M70" i="10"/>
  <c r="O61" i="10"/>
  <c r="L217" i="10"/>
  <c r="L161" i="10"/>
  <c r="M114" i="10"/>
  <c r="O178" i="10"/>
  <c r="M44" i="10"/>
  <c r="K14" i="10"/>
  <c r="M225" i="10"/>
  <c r="M161" i="10"/>
  <c r="K157" i="10"/>
  <c r="M178" i="10"/>
  <c r="K166" i="10"/>
  <c r="M264" i="10"/>
  <c r="L178" i="10"/>
  <c r="P217" i="10"/>
  <c r="L114" i="10"/>
  <c r="N110" i="10"/>
  <c r="P264" i="10"/>
  <c r="K123" i="10"/>
  <c r="M95" i="10"/>
  <c r="N52" i="10"/>
  <c r="N161" i="10"/>
  <c r="O60" i="10"/>
  <c r="L225" i="10"/>
  <c r="O27" i="10"/>
  <c r="K231" i="10"/>
  <c r="M87" i="10"/>
  <c r="P59" i="10"/>
  <c r="L126" i="10"/>
  <c r="N73" i="10"/>
  <c r="N87" i="10"/>
  <c r="O104" i="10"/>
  <c r="O65" i="10"/>
  <c r="M65" i="10"/>
  <c r="K165" i="10"/>
  <c r="M165" i="10"/>
  <c r="N178" i="10"/>
  <c r="N155" i="10"/>
  <c r="N91" i="10"/>
  <c r="L95" i="10"/>
  <c r="O166" i="10"/>
  <c r="P91" i="10"/>
  <c r="N240" i="10"/>
  <c r="N217" i="10"/>
  <c r="P110" i="10"/>
  <c r="K91" i="10"/>
  <c r="K210" i="10"/>
  <c r="L111" i="10"/>
  <c r="P240" i="10"/>
  <c r="P215" i="10"/>
  <c r="O87" i="10"/>
  <c r="O210" i="10"/>
  <c r="P105" i="10"/>
  <c r="K178" i="10"/>
  <c r="N227" i="10"/>
  <c r="M104" i="10"/>
  <c r="P127" i="10"/>
  <c r="N65" i="10"/>
  <c r="P65" i="10"/>
  <c r="P155" i="10"/>
  <c r="M217" i="10"/>
  <c r="O26" i="10"/>
  <c r="P76" i="10"/>
  <c r="M163" i="10"/>
  <c r="L16" i="10"/>
  <c r="O91" i="10"/>
  <c r="P213" i="10"/>
  <c r="K126" i="10"/>
  <c r="O126" i="10"/>
  <c r="K61" i="10"/>
  <c r="P14" i="10"/>
  <c r="K25" i="10"/>
  <c r="M105" i="10"/>
  <c r="O227" i="10"/>
  <c r="O185" i="10"/>
  <c r="L104" i="10"/>
  <c r="L127" i="10"/>
  <c r="K119" i="10"/>
  <c r="O119" i="10"/>
  <c r="N119" i="10"/>
  <c r="K214" i="10"/>
  <c r="M214" i="10"/>
  <c r="P73" i="10"/>
  <c r="O229" i="10"/>
  <c r="O253" i="10"/>
  <c r="P235" i="10"/>
  <c r="M74" i="10"/>
  <c r="M215" i="10"/>
  <c r="M246" i="10"/>
  <c r="N108" i="10"/>
  <c r="N142" i="10"/>
  <c r="L142" i="10"/>
  <c r="L185" i="10"/>
  <c r="L150" i="10"/>
  <c r="M183" i="10"/>
  <c r="P183" i="10"/>
  <c r="K183" i="10"/>
  <c r="K216" i="10"/>
  <c r="L108" i="10"/>
  <c r="M237" i="10"/>
  <c r="O99" i="10"/>
  <c r="N215" i="10"/>
  <c r="P85" i="10"/>
  <c r="K99" i="10"/>
  <c r="O73" i="10"/>
  <c r="K15" i="10"/>
  <c r="N246" i="10"/>
  <c r="L216" i="10"/>
  <c r="O216" i="10"/>
  <c r="L242" i="10"/>
  <c r="M52" i="10"/>
  <c r="M227" i="10"/>
  <c r="P227" i="10"/>
  <c r="P111" i="10"/>
  <c r="K185" i="10"/>
  <c r="N15" i="10"/>
  <c r="K116" i="10"/>
  <c r="O245" i="10"/>
  <c r="N245" i="10"/>
  <c r="L183" i="10"/>
  <c r="O164" i="10"/>
  <c r="M164" i="10"/>
  <c r="M150" i="10"/>
  <c r="K234" i="10"/>
  <c r="M229" i="10"/>
  <c r="N201" i="10"/>
  <c r="K247" i="10"/>
  <c r="L73" i="10"/>
  <c r="L15" i="10"/>
  <c r="L246" i="10"/>
  <c r="P206" i="10"/>
  <c r="O235" i="10"/>
  <c r="M106" i="10"/>
  <c r="L52" i="10"/>
  <c r="K217" i="10"/>
  <c r="O145" i="10"/>
  <c r="N231" i="10"/>
  <c r="O157" i="10"/>
  <c r="N230" i="10"/>
  <c r="P230" i="10"/>
  <c r="O230" i="10"/>
  <c r="N23" i="10"/>
  <c r="P23" i="10"/>
  <c r="M23" i="10"/>
  <c r="O23" i="10"/>
  <c r="O191" i="10"/>
  <c r="K191" i="10"/>
  <c r="N191" i="10"/>
  <c r="P150" i="10"/>
  <c r="K150" i="10"/>
  <c r="L215" i="10"/>
  <c r="P201" i="10"/>
  <c r="P233" i="10"/>
  <c r="M73" i="10"/>
  <c r="K26" i="10"/>
  <c r="N221" i="10"/>
  <c r="K182" i="10"/>
  <c r="P182" i="10"/>
  <c r="O182" i="10"/>
  <c r="L182" i="10"/>
  <c r="N182" i="10"/>
  <c r="P237" i="10"/>
  <c r="K201" i="10"/>
  <c r="M242" i="10"/>
  <c r="M26" i="10"/>
  <c r="N26" i="10"/>
  <c r="L44" i="10"/>
  <c r="P242" i="10"/>
  <c r="K230" i="10"/>
  <c r="M155" i="10"/>
  <c r="M201" i="10"/>
  <c r="P26" i="10"/>
  <c r="O233" i="10"/>
  <c r="N158" i="10"/>
  <c r="L230" i="10"/>
  <c r="L74" i="10"/>
  <c r="P44" i="10"/>
  <c r="M108" i="10"/>
  <c r="M119" i="10"/>
  <c r="P47" i="10"/>
  <c r="N95" i="10"/>
  <c r="K23" i="10"/>
  <c r="L214" i="10"/>
  <c r="P104" i="10"/>
  <c r="K104" i="10"/>
  <c r="O237" i="10"/>
  <c r="M198" i="10"/>
  <c r="P198" i="10"/>
  <c r="O198" i="10"/>
  <c r="O142" i="10"/>
  <c r="L157" i="10"/>
  <c r="M147" i="10"/>
  <c r="P214" i="10"/>
  <c r="P216" i="10"/>
  <c r="N74" i="10"/>
  <c r="K44" i="10"/>
  <c r="L119" i="10"/>
  <c r="L191" i="10"/>
  <c r="N237" i="10"/>
  <c r="O183" i="10"/>
  <c r="N214" i="10"/>
  <c r="M216" i="10"/>
  <c r="P119" i="10"/>
  <c r="N150" i="10"/>
  <c r="K158" i="10"/>
  <c r="L199" i="10"/>
  <c r="K199" i="10"/>
  <c r="N199" i="10"/>
  <c r="M199" i="10"/>
  <c r="M61" i="10"/>
  <c r="L143" i="10"/>
  <c r="N143" i="10"/>
  <c r="M143" i="10"/>
  <c r="K209" i="10"/>
  <c r="L209" i="10"/>
  <c r="M209" i="10"/>
  <c r="N209" i="10"/>
  <c r="O11" i="10"/>
  <c r="P11" i="10"/>
  <c r="L11" i="10"/>
  <c r="M11" i="10"/>
  <c r="M47" i="10"/>
  <c r="N47" i="10"/>
  <c r="O47" i="10"/>
  <c r="O121" i="10"/>
  <c r="K235" i="10"/>
  <c r="M145" i="10"/>
  <c r="N145" i="10"/>
  <c r="K145" i="10"/>
  <c r="K219" i="10"/>
  <c r="M219" i="10"/>
  <c r="L219" i="10"/>
  <c r="O85" i="10"/>
  <c r="P158" i="10"/>
  <c r="L85" i="10"/>
  <c r="L247" i="10"/>
  <c r="O123" i="10"/>
  <c r="N60" i="10"/>
  <c r="P60" i="10"/>
  <c r="K60" i="10"/>
  <c r="M60" i="10"/>
  <c r="L38" i="10"/>
  <c r="O38" i="10"/>
  <c r="N38" i="10"/>
  <c r="O143" i="10"/>
  <c r="L121" i="10"/>
  <c r="L136" i="10"/>
  <c r="P136" i="10"/>
  <c r="M136" i="10"/>
  <c r="K227" i="10"/>
  <c r="O206" i="10"/>
  <c r="N206" i="10"/>
  <c r="K206" i="10"/>
  <c r="M206" i="10"/>
  <c r="M100" i="10"/>
  <c r="K85" i="10"/>
  <c r="N123" i="10"/>
  <c r="K186" i="10"/>
  <c r="N16" i="10"/>
  <c r="P143" i="10"/>
  <c r="P145" i="10"/>
  <c r="P81" i="10"/>
  <c r="P123" i="10"/>
  <c r="L186" i="10"/>
  <c r="M233" i="10"/>
  <c r="N233" i="10"/>
  <c r="N186" i="10"/>
  <c r="M235" i="10"/>
  <c r="K121" i="10"/>
  <c r="N121" i="10"/>
  <c r="M121" i="10"/>
  <c r="M152" i="10"/>
  <c r="P152" i="10"/>
  <c r="L152" i="10"/>
  <c r="K152" i="10"/>
  <c r="O152" i="10"/>
  <c r="O13" i="10"/>
  <c r="O124" i="10"/>
  <c r="P124" i="10"/>
  <c r="N124" i="10"/>
  <c r="L124" i="10"/>
  <c r="K124" i="10"/>
  <c r="O232" i="10"/>
  <c r="P232" i="10"/>
  <c r="M232" i="10"/>
  <c r="L232" i="10"/>
  <c r="N232" i="10"/>
  <c r="K27" i="10"/>
  <c r="M254" i="10"/>
  <c r="K254" i="10"/>
  <c r="P129" i="10"/>
  <c r="M129" i="10"/>
  <c r="O129" i="10"/>
  <c r="L129" i="10"/>
  <c r="M13" i="10"/>
  <c r="K13" i="10"/>
  <c r="K81" i="10"/>
  <c r="L81" i="10"/>
  <c r="O81" i="10"/>
  <c r="O254" i="10"/>
  <c r="K129" i="10"/>
  <c r="O74" i="10"/>
  <c r="N44" i="10"/>
  <c r="L254" i="10"/>
  <c r="O234" i="10"/>
  <c r="N122" i="10"/>
  <c r="M28" i="10"/>
  <c r="O226" i="10"/>
  <c r="L229" i="10"/>
  <c r="O158" i="10"/>
  <c r="O122" i="10"/>
  <c r="L233" i="10"/>
  <c r="M122" i="10"/>
  <c r="L61" i="10"/>
  <c r="L234" i="10"/>
  <c r="P74" i="10"/>
  <c r="O105" i="10"/>
  <c r="P209" i="10"/>
  <c r="O199" i="10"/>
  <c r="L47" i="10"/>
  <c r="N136" i="10"/>
  <c r="M27" i="10"/>
  <c r="L221" i="10"/>
  <c r="O221" i="10"/>
  <c r="P221" i="10"/>
  <c r="K221" i="10"/>
  <c r="P229" i="10"/>
  <c r="O25" i="10"/>
  <c r="P25" i="10"/>
  <c r="M25" i="10"/>
  <c r="O76" i="10"/>
  <c r="K76" i="10"/>
  <c r="M76" i="10"/>
  <c r="N76" i="10"/>
  <c r="K105" i="10"/>
  <c r="L105" i="10"/>
  <c r="N166" i="10"/>
  <c r="M166" i="10"/>
  <c r="P13" i="10"/>
  <c r="N13" i="10"/>
  <c r="N235" i="10"/>
  <c r="L139" i="10"/>
  <c r="M176" i="10"/>
  <c r="K83" i="10"/>
  <c r="N220" i="10"/>
  <c r="M139" i="10"/>
  <c r="M234" i="10"/>
  <c r="O208" i="10"/>
  <c r="N208" i="10"/>
  <c r="L208" i="10"/>
  <c r="P208" i="10"/>
  <c r="M208" i="10"/>
  <c r="L83" i="10"/>
  <c r="M220" i="10"/>
  <c r="M251" i="10"/>
  <c r="P69" i="10"/>
  <c r="O251" i="10"/>
  <c r="O139" i="10"/>
  <c r="P176" i="10"/>
  <c r="M85" i="10"/>
  <c r="P139" i="10"/>
  <c r="O83" i="10"/>
  <c r="L176" i="10"/>
  <c r="N239" i="10"/>
  <c r="P220" i="10"/>
  <c r="O264" i="10"/>
  <c r="O213" i="10"/>
  <c r="O90" i="10"/>
  <c r="N264" i="10"/>
  <c r="K139" i="10"/>
  <c r="N8" i="10"/>
  <c r="L9" i="10"/>
  <c r="K264" i="10"/>
  <c r="P195" i="10"/>
  <c r="P236" i="10"/>
  <c r="O236" i="10"/>
  <c r="M236" i="10"/>
  <c r="O17" i="10"/>
  <c r="M241" i="10"/>
  <c r="L226" i="10"/>
  <c r="O223" i="10"/>
  <c r="N223" i="10"/>
  <c r="M223" i="10"/>
  <c r="K223" i="10"/>
  <c r="P223" i="10"/>
  <c r="O117" i="10"/>
  <c r="P8" i="10"/>
  <c r="M253" i="10"/>
  <c r="L220" i="10"/>
  <c r="N247" i="10"/>
  <c r="P17" i="10"/>
  <c r="M130" i="10"/>
  <c r="M247" i="10"/>
  <c r="K241" i="10"/>
  <c r="M243" i="10"/>
  <c r="N253" i="10"/>
  <c r="P253" i="10"/>
  <c r="M17" i="10"/>
  <c r="O169" i="10"/>
  <c r="M213" i="10"/>
  <c r="N213" i="10"/>
  <c r="L213" i="10"/>
  <c r="M16" i="10"/>
  <c r="P234" i="10"/>
  <c r="P247" i="10"/>
  <c r="K9" i="10"/>
  <c r="M207" i="10"/>
  <c r="L207" i="10"/>
  <c r="O207" i="10"/>
  <c r="N207" i="10"/>
  <c r="K207" i="10"/>
  <c r="K90" i="10"/>
  <c r="L90" i="10"/>
  <c r="N90" i="10"/>
  <c r="L148" i="10"/>
  <c r="P148" i="10"/>
  <c r="O148" i="10"/>
  <c r="M148" i="10"/>
  <c r="K148" i="10"/>
  <c r="O149" i="10"/>
  <c r="O12" i="10"/>
  <c r="K12" i="10"/>
  <c r="P12" i="10"/>
  <c r="M12" i="10"/>
  <c r="N12" i="10"/>
  <c r="L20" i="10"/>
  <c r="K20" i="10"/>
  <c r="M20" i="10"/>
  <c r="O20" i="10"/>
  <c r="N20" i="10"/>
  <c r="P28" i="10"/>
  <c r="L28" i="10"/>
  <c r="M226" i="10"/>
  <c r="O176" i="10"/>
  <c r="N176" i="10"/>
  <c r="L17" i="10"/>
  <c r="P16" i="10"/>
  <c r="P75" i="10"/>
  <c r="K75" i="10"/>
  <c r="L75" i="10"/>
  <c r="M75" i="10"/>
  <c r="O130" i="10"/>
  <c r="N130" i="10"/>
  <c r="K117" i="10"/>
  <c r="M117" i="10"/>
  <c r="P117" i="10"/>
  <c r="N117" i="10"/>
  <c r="L138" i="10"/>
  <c r="O138" i="10"/>
  <c r="P138" i="10"/>
  <c r="N138" i="10"/>
  <c r="M138" i="10"/>
  <c r="K138" i="10"/>
  <c r="L149" i="10"/>
  <c r="K149" i="10"/>
  <c r="N149" i="10"/>
  <c r="P149" i="10"/>
  <c r="L163" i="10"/>
  <c r="N163" i="10"/>
  <c r="O163" i="10"/>
  <c r="P163" i="10"/>
  <c r="O75" i="10"/>
  <c r="N37" i="10"/>
  <c r="L37" i="10"/>
  <c r="O37" i="10"/>
  <c r="P37" i="10"/>
  <c r="M37" i="10"/>
  <c r="K251" i="10"/>
  <c r="P251" i="10"/>
  <c r="L251" i="10"/>
  <c r="P130" i="10"/>
  <c r="M172" i="10"/>
  <c r="O9" i="10"/>
  <c r="K226" i="10"/>
  <c r="P241" i="10"/>
  <c r="N243" i="10"/>
  <c r="K243" i="10"/>
  <c r="L243" i="10"/>
  <c r="P243" i="10"/>
  <c r="L239" i="10"/>
  <c r="K239" i="10"/>
  <c r="P172" i="10"/>
  <c r="N226" i="10"/>
  <c r="P207" i="10"/>
  <c r="P160" i="10"/>
  <c r="N160" i="10"/>
  <c r="O160" i="10"/>
  <c r="L160" i="10"/>
  <c r="K160" i="10"/>
  <c r="M128" i="10"/>
  <c r="K128" i="10"/>
  <c r="O128" i="10"/>
  <c r="L128" i="10"/>
  <c r="P128" i="10"/>
  <c r="N200" i="10"/>
  <c r="O200" i="10"/>
  <c r="P200" i="10"/>
  <c r="M200" i="10"/>
  <c r="L200" i="10"/>
  <c r="N100" i="10"/>
  <c r="O100" i="10"/>
  <c r="K100" i="10"/>
  <c r="O241" i="10"/>
  <c r="K236" i="10"/>
  <c r="O239" i="10"/>
  <c r="P9" i="10"/>
  <c r="N17" i="10"/>
  <c r="L169" i="10"/>
  <c r="P169" i="10"/>
  <c r="N169" i="10"/>
  <c r="K169" i="10"/>
  <c r="K28" i="10"/>
  <c r="P239" i="10"/>
  <c r="M8" i="10"/>
  <c r="O220" i="10"/>
  <c r="L172" i="10"/>
  <c r="O28" i="10"/>
  <c r="L241" i="10"/>
  <c r="O195" i="10"/>
  <c r="K195" i="10"/>
  <c r="K181" i="10"/>
  <c r="N181" i="10"/>
  <c r="M181" i="10"/>
  <c r="P181" i="10"/>
  <c r="O181" i="10"/>
  <c r="K162" i="10"/>
  <c r="M162" i="10"/>
  <c r="N162" i="10"/>
  <c r="P162" i="10"/>
  <c r="O162" i="10"/>
  <c r="M195" i="10"/>
  <c r="O69" i="10"/>
  <c r="N69" i="10"/>
  <c r="M69" i="10"/>
  <c r="K69" i="10"/>
  <c r="O59" i="10"/>
  <c r="L59" i="10"/>
  <c r="N59" i="10"/>
  <c r="K59" i="10"/>
  <c r="K67" i="10"/>
  <c r="O67" i="10"/>
  <c r="M67" i="10"/>
  <c r="L67" i="10"/>
  <c r="N67" i="10"/>
  <c r="N75" i="10"/>
  <c r="N109" i="10"/>
  <c r="L109" i="10"/>
  <c r="K109" i="10"/>
  <c r="O109" i="10"/>
  <c r="P109" i="10"/>
  <c r="N261" i="10"/>
  <c r="L261" i="10"/>
  <c r="P261" i="10"/>
  <c r="O261" i="10"/>
  <c r="M261" i="10"/>
  <c r="P90" i="10"/>
  <c r="L100" i="10"/>
  <c r="N195" i="10"/>
  <c r="K130" i="10"/>
  <c r="L253" i="10"/>
  <c r="O172" i="10"/>
  <c r="K112" i="10"/>
  <c r="L112" i="10"/>
  <c r="N112" i="10"/>
  <c r="M112" i="10"/>
  <c r="O112" i="10"/>
  <c r="L223" i="10"/>
  <c r="L236" i="10"/>
  <c r="L8" i="10"/>
  <c r="N9" i="10"/>
  <c r="N83" i="10"/>
  <c r="P83" i="10"/>
  <c r="L181" i="10"/>
  <c r="L192" i="10"/>
  <c r="K192" i="10"/>
  <c r="P192" i="10"/>
  <c r="O192" i="10"/>
  <c r="M192" i="10"/>
  <c r="N192" i="10"/>
  <c r="K172" i="10"/>
  <c r="P67" i="10"/>
</calcChain>
</file>

<file path=xl/sharedStrings.xml><?xml version="1.0" encoding="utf-8"?>
<sst xmlns="http://schemas.openxmlformats.org/spreadsheetml/2006/main" count="9631" uniqueCount="770">
  <si>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</si>
  <si>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</si>
  <si>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</si>
  <si>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</si>
  <si>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</si>
  <si>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</si>
  <si>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</si>
  <si>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</si>
  <si>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</si>
  <si>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</si>
  <si>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</si>
  <si>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</si>
  <si>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</si>
  <si>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</si>
  <si>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</si>
  <si>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Percentage share of income or consumption is the share that accrues to subgroups of population indicated by deciles or quintiles.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</si>
  <si>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</si>
  <si>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</si>
  <si>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</si>
  <si>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</si>
  <si>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</si>
  <si>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</si>
  <si>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</si>
  <si>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</si>
  <si>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</si>
  <si>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</si>
  <si>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</si>
  <si>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</si>
  <si>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</si>
  <si>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</si>
  <si>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</si>
  <si>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</si>
  <si>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</si>
  <si>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</si>
  <si>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</si>
  <si>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</si>
  <si>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</si>
  <si>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</si>
  <si>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</si>
  <si>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</si>
  <si>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</si>
  <si>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</si>
  <si>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</si>
  <si>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</si>
  <si>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</si>
  <si>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</si>
  <si>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</si>
  <si>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</si>
  <si>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</si>
  <si>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</si>
  <si>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</si>
  <si>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</si>
  <si>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</si>
  <si>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</si>
  <si>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</si>
  <si>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</si>
  <si>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</si>
  <si>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</si>
  <si>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</si>
  <si>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</si>
  <si>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</si>
  <si>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</si>
  <si>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</si>
  <si>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</si>
  <si>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</si>
  <si>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</si>
  <si>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</si>
  <si>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</si>
  <si>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</si>
  <si>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</si>
  <si>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</si>
  <si>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</si>
  <si>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</si>
  <si>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</si>
  <si>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</si>
  <si>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</si>
  <si>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</si>
  <si>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</si>
  <si>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</si>
  <si>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</si>
  <si>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</si>
  <si>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</si>
  <si>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</si>
  <si>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</si>
  <si>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</si>
  <si>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</si>
  <si>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</si>
  <si>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</si>
  <si>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</si>
  <si>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</si>
  <si>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</si>
  <si>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</si>
  <si>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</si>
  <si>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</si>
  <si>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</si>
  <si>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</si>
  <si>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</si>
  <si>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</si>
  <si>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</si>
  <si>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</si>
  <si>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</si>
  <si>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</si>
  <si>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</si>
  <si>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</si>
  <si>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</si>
  <si>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</si>
  <si>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</si>
  <si>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</si>
  <si>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</si>
  <si>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</si>
  <si>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</si>
  <si>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</si>
  <si>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</si>
  <si>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</si>
  <si>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</si>
  <si>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</si>
  <si>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</si>
  <si>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</si>
  <si>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</si>
  <si>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</si>
  <si>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</si>
  <si>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</si>
  <si>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</si>
  <si>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</si>
  <si>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</si>
  <si>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</si>
  <si>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</si>
  <si>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</si>
  <si>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</si>
  <si>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</si>
  <si>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</si>
  <si>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</si>
  <si>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</si>
  <si>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</si>
  <si>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</si>
  <si>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</si>
  <si>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</si>
  <si>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</si>
  <si>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</si>
  <si>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</si>
  <si>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</si>
  <si>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</si>
  <si>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</si>
  <si>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</si>
  <si>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</si>
  <si>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</si>
  <si>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</si>
  <si>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</si>
  <si>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</si>
  <si>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</si>
  <si>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</si>
  <si>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</si>
  <si>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</si>
  <si>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</si>
  <si>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</si>
  <si>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</si>
  <si>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</si>
  <si>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</si>
  <si>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</si>
  <si>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</si>
  <si>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</si>
  <si>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</si>
  <si>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</si>
  <si>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</si>
  <si>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</si>
  <si>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</si>
  <si>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</si>
  <si>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</si>
  <si>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</si>
  <si>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</si>
  <si>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</si>
  <si>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</si>
  <si>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</si>
  <si>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</si>
  <si>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</si>
  <si>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</si>
  <si>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</si>
  <si>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</si>
  <si>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</si>
  <si>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</si>
  <si>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</si>
  <si>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</si>
  <si>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</si>
  <si>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</si>
  <si>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</si>
  <si>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</si>
  <si>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</si>
  <si>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</si>
  <si>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</si>
  <si>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</si>
  <si>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</si>
  <si>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</si>
  <si>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</si>
  <si>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</si>
  <si>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</si>
  <si>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</si>
  <si>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</si>
  <si>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</si>
  <si>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</si>
  <si>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</si>
  <si>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Income share held by lowest 10%</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</si>
  <si>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</si>
  <si>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</si>
  <si>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</si>
  <si>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</si>
  <si>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</si>
  <si>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</si>
  <si>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</si>
  <si>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</si>
  <si>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</si>
  <si>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</si>
  <si>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</si>
  <si>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</si>
  <si>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</si>
  <si>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</si>
  <si>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</si>
  <si>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</si>
  <si>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</si>
  <si>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</si>
  <si>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</si>
  <si>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</si>
  <si>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SI.DST.FRST.10</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</si>
  <si>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</si>
  <si>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</si>
  <si>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</si>
  <si>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</si>
  <si>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</si>
  <si>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</si>
  <si>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</si>
  <si>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</si>
  <si>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</si>
  <si>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</si>
  <si>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</si>
  <si>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</si>
  <si>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</si>
  <si>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</si>
  <si>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</si>
  <si>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</si>
  <si>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</si>
  <si>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</si>
  <si>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</si>
  <si>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</si>
  <si>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</si>
  <si>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</si>
  <si>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</si>
  <si>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</si>
  <si>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</si>
  <si>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</si>
  <si>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</si>
  <si>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</si>
  <si>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</si>
  <si>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</si>
  <si>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</si>
  <si>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</si>
  <si>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</si>
  <si>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</si>
  <si>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</si>
  <si>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</si>
  <si>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</si>
  <si>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</si>
  <si>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</si>
  <si>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</si>
  <si>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</si>
  <si>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</si>
  <si>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</si>
  <si>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</si>
  <si>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</si>
  <si>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</si>
  <si>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</si>
  <si>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</si>
  <si>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</si>
  <si>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</si>
  <si>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</si>
  <si>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</si>
  <si>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</si>
  <si>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</si>
  <si>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</si>
  <si>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</si>
  <si>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</si>
  <si>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</si>
  <si>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</si>
  <si>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</si>
  <si>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</si>
  <si>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</si>
  <si>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</si>
  <si>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</si>
  <si>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</si>
  <si>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</si>
  <si>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</si>
  <si>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</si>
  <si>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</si>
  <si>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</si>
  <si>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</si>
  <si>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</si>
  <si>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</si>
  <si>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</si>
  <si>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</si>
  <si>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</si>
  <si>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</si>
  <si>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</si>
  <si>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</si>
  <si>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</si>
  <si>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</si>
  <si>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</si>
  <si>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</si>
  <si>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</si>
  <si>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</si>
  <si>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</si>
  <si>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</si>
  <si>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</si>
  <si>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</si>
  <si>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</si>
  <si>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</si>
  <si>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</si>
  <si>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</si>
  <si>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</si>
  <si>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</si>
  <si>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</si>
  <si>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</si>
  <si>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</si>
  <si>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</si>
  <si>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</si>
  <si>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</si>
  <si>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</si>
  <si>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</si>
  <si>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</si>
  <si>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</si>
  <si>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</si>
  <si>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</si>
  <si>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</si>
  <si>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</si>
  <si>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</si>
  <si>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</si>
  <si>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</si>
  <si>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</si>
  <si>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</si>
  <si>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</si>
  <si>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</si>
  <si>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</si>
  <si>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</si>
  <si>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</si>
  <si>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</si>
  <si>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</si>
  <si>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</si>
  <si>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</si>
  <si>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</si>
  <si>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</si>
  <si>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</si>
  <si>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</si>
  <si>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</si>
  <si>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</si>
  <si>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</si>
  <si>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</si>
  <si>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</si>
  <si>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</si>
  <si>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</si>
  <si>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</si>
  <si>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</si>
  <si>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</si>
  <si>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</si>
  <si>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</si>
  <si>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</si>
  <si>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</si>
  <si>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</si>
  <si>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</si>
  <si>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</si>
  <si>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</si>
  <si>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</si>
  <si>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</si>
  <si>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</si>
  <si>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</si>
  <si>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</si>
  <si>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</si>
  <si>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</si>
  <si>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</si>
  <si>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</si>
  <si>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</si>
  <si>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</si>
  <si>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</si>
  <si>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</si>
  <si>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</si>
  <si>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</si>
  <si>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</si>
  <si>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</si>
  <si>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</si>
  <si>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</si>
  <si>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</si>
  <si>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</si>
  <si>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</si>
  <si>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</si>
  <si>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</si>
  <si>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</si>
  <si>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</si>
  <si>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</si>
  <si>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</si>
  <si>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</si>
  <si>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</si>
  <si>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</si>
  <si>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</si>
  <si>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</si>
  <si>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</si>
  <si>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</si>
  <si>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</si>
  <si>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</si>
  <si>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</si>
  <si>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</si>
  <si>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</si>
  <si>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</si>
  <si>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</si>
  <si>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</si>
  <si>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</si>
  <si>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</si>
  <si>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</si>
  <si>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</si>
  <si>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</si>
  <si>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</si>
  <si>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</si>
  <si>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</si>
  <si>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</si>
  <si>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</si>
  <si>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</si>
  <si>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</si>
  <si>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</si>
  <si>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</si>
  <si>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</si>
  <si>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</si>
  <si>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</si>
  <si>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</si>
  <si>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</si>
  <si>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</si>
  <si>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</si>
  <si>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</si>
  <si>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</si>
  <si>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</si>
  <si>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</si>
  <si>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</si>
  <si>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</si>
  <si>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</si>
  <si>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</si>
  <si>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</si>
  <si>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</si>
  <si>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</si>
  <si>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</si>
  <si>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</si>
  <si>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</si>
  <si>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</si>
  <si>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</si>
  <si>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</si>
  <si>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</si>
  <si>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</si>
  <si>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</si>
  <si>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</si>
  <si>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</si>
  <si>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</si>
  <si>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</si>
  <si>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</si>
  <si>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</si>
  <si>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</si>
  <si>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</si>
  <si>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</si>
  <si>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</si>
  <si>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</si>
  <si>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</si>
  <si>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</si>
  <si>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</si>
  <si>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</si>
  <si>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</si>
  <si>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</si>
  <si>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</si>
  <si>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</si>
  <si>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</si>
  <si>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</si>
  <si>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</si>
  <si>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</si>
  <si>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</si>
  <si>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</si>
  <si>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</si>
  <si>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</si>
  <si>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</si>
  <si>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</si>
  <si>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</si>
  <si>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</si>
  <si>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</si>
  <si>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</si>
  <si>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</si>
  <si>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</si>
  <si>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</si>
  <si>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</si>
  <si>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</si>
  <si>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</si>
  <si>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</si>
  <si>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</si>
  <si>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</si>
  <si>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</si>
  <si>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</si>
  <si>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</si>
  <si>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</si>
  <si>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</si>
  <si>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</si>
  <si>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</si>
  <si>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</si>
  <si>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</si>
  <si>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</si>
  <si>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</si>
  <si>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</si>
  <si>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</si>
  <si>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</si>
  <si>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</si>
  <si>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</si>
  <si>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</si>
  <si>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</si>
  <si>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</si>
  <si>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</si>
  <si>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</si>
  <si>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</si>
  <si>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</si>
  <si>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</si>
  <si>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</si>
  <si>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</si>
  <si>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</si>
  <si>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</si>
  <si>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</si>
  <si>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</si>
  <si>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</si>
  <si>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</si>
  <si>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</si>
  <si>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</si>
  <si>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</si>
  <si>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</si>
  <si>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</si>
  <si>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</si>
  <si>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</si>
  <si>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</si>
  <si>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</si>
  <si>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</si>
  <si>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</si>
  <si>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</si>
  <si>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</si>
  <si>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</si>
  <si>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</si>
  <si>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</si>
  <si>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</si>
  <si>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</si>
  <si>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</si>
  <si>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</si>
  <si>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</si>
  <si>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</si>
  <si>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</si>
  <si>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</si>
  <si>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</si>
  <si>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</si>
  <si>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</si>
  <si>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</si>
  <si>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</si>
  <si>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</si>
  <si>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</si>
  <si>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</si>
  <si>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</si>
  <si>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</si>
  <si>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</si>
  <si>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</si>
  <si>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</si>
  <si>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</si>
  <si>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</si>
  <si>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</si>
  <si>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</si>
  <si>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</si>
  <si>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</si>
  <si>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</si>
  <si>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</si>
  <si>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</si>
  <si>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</si>
  <si>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</si>
  <si>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</si>
  <si>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</si>
  <si>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</si>
  <si>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</si>
  <si>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</si>
  <si>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</si>
  <si>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</si>
  <si>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</si>
  <si>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</si>
  <si>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</si>
  <si>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</si>
  <si>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</si>
  <si>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</si>
  <si>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</si>
  <si>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</si>
  <si>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</si>
  <si>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</si>
  <si>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</si>
  <si>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</si>
  <si>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</si>
  <si>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</si>
  <si>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</si>
  <si>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</si>
  <si>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</si>
  <si>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</si>
  <si>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</si>
  <si>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</si>
  <si>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</si>
  <si>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</si>
  <si>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</si>
  <si>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</si>
  <si>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</si>
  <si>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</si>
  <si>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</si>
  <si>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</si>
  <si>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</si>
  <si>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</si>
  <si>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</si>
  <si>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</si>
  <si>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</si>
  <si>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</si>
  <si>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</si>
  <si>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</si>
  <si>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</si>
  <si>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</si>
  <si>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</si>
  <si>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</si>
  <si>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</si>
  <si>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</si>
  <si>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</si>
  <si>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</si>
  <si>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</si>
  <si>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</si>
  <si>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</si>
  <si>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</si>
  <si>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</si>
  <si>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</si>
  <si>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</si>
  <si>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</si>
  <si>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</si>
  <si>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</si>
  <si>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</si>
  <si>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Kiribati</t>
  </si>
  <si>
    <t>VNM</t>
  </si>
  <si>
    <t>HUN</t>
  </si>
  <si>
    <t>2008</t>
  </si>
  <si>
    <t>BMU</t>
  </si>
  <si>
    <t>General Government final consumption expenditure includes Non-Profit Institutions Serving Households final concumption expenditure</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</si>
  <si>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</si>
  <si>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</si>
  <si>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</si>
  <si>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</si>
  <si>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</si>
  <si>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</si>
  <si>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</si>
  <si>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</si>
  <si>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</si>
  <si>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</si>
  <si>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</si>
  <si>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</si>
  <si>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</si>
  <si>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</si>
  <si>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</si>
  <si>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</si>
  <si>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</si>
  <si>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</si>
  <si>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</si>
  <si>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</si>
  <si>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</si>
  <si>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</si>
  <si>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</si>
  <si>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</si>
  <si>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</si>
  <si>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</si>
  <si>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</si>
  <si>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</si>
  <si>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</si>
  <si>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</si>
  <si>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</si>
  <si>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</si>
  <si>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</si>
  <si>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</si>
  <si>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</si>
  <si>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</si>
  <si>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</si>
  <si>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</si>
  <si>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</si>
  <si>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</si>
  <si>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</si>
  <si>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</si>
  <si>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</si>
  <si>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</si>
  <si>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</si>
  <si>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</si>
  <si>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</si>
  <si>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</si>
  <si>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</si>
  <si>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</si>
  <si>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</si>
  <si>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</si>
  <si>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</si>
  <si>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</si>
  <si>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</si>
  <si>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</si>
  <si>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</si>
  <si>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</si>
  <si>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</si>
  <si>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</si>
  <si>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</si>
  <si>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</si>
  <si>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</si>
  <si>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</si>
  <si>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</si>
  <si>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</si>
  <si>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</si>
  <si>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</si>
  <si>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</si>
  <si>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</si>
  <si>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</si>
  <si>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</si>
  <si>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</si>
  <si>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</si>
  <si>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</si>
  <si>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</si>
  <si>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</si>
  <si>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</si>
  <si>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</si>
  <si>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</si>
  <si>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</si>
  <si>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</si>
  <si>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</si>
  <si>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</si>
  <si>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</si>
  <si>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</si>
  <si>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</si>
  <si>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</si>
  <si>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</si>
  <si>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</si>
  <si>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</si>
  <si>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</si>
  <si>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</si>
  <si>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</si>
  <si>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</si>
  <si>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</si>
  <si>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</si>
  <si>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</si>
  <si>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</si>
  <si>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</si>
  <si>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</si>
  <si>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</si>
  <si>
    <t>Income share held by lowest 20%</t>
  </si>
  <si>
    <t>SI.DST.FRST.20</t>
  </si>
  <si>
    <t>Income share held by second 20%</t>
  </si>
  <si>
    <t>SI.DST.02ND.20</t>
  </si>
  <si>
    <t>Income share held by third 20%</t>
  </si>
  <si>
    <t>SI.DST.03RD.20</t>
  </si>
  <si>
    <t>Income share held by fourth 20%</t>
  </si>
  <si>
    <t>SI.DST.04TH.20</t>
  </si>
  <si>
    <t>Income share held by highest 20%</t>
  </si>
  <si>
    <t>SI.DST.05TH.20</t>
  </si>
  <si>
    <t>Income share held by highest 10%</t>
  </si>
  <si>
    <t>SI.DST.10TH.10</t>
  </si>
  <si>
    <t>P0-10</t>
  </si>
  <si>
    <t>P10-20</t>
  </si>
  <si>
    <t>P20-40</t>
  </si>
  <si>
    <t>P40-60</t>
  </si>
  <si>
    <t>P60-80</t>
  </si>
  <si>
    <t>P80-90</t>
  </si>
  <si>
    <t>P90-100</t>
  </si>
  <si>
    <t>P10</t>
  </si>
  <si>
    <t>P20</t>
  </si>
  <si>
    <t>P40</t>
  </si>
  <si>
    <t>P60</t>
  </si>
  <si>
    <t>P80</t>
  </si>
  <si>
    <t>P90</t>
  </si>
  <si>
    <t>P100</t>
  </si>
  <si>
    <t>Percentage share of income or consumption is the share that accrues to subgroups of population indicated by deciles or quintiles. Percentage shares by quintile may not sum to 100 because of rounding.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</si>
</sst>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2E139-1405-4504-8756-9E63FED1740D}">
  <dimension ref="A1:BQ270"/>
  <sheetViews>
    <sheetView topLeftCell="V236" workbookViewId="0">
      <selection sqref="A1:B65536"/>
    </sheetView>
  </sheetViews>
  <sheetFormatPr defaultRowHeight="14.5" x14ac:dyDescent="0.35"/>
  <cols>
    <col min="1" max="1" width="60.1796875" bestFit="1" customWidth="1"/>
    <col min="2" max="2" width="25.6328125" bestFit="1" customWidth="1"/>
    <col min="3" max="3" width="27.7265625" bestFit="1" customWidth="1"/>
    <col min="4" max="4" width="12.81640625" bestFit="1" customWidth="1"/>
    <col min="5" max="69" width="5" bestFit="1" customWidth="1"/>
  </cols>
  <sheetData>
    <row r="1" spans="1:69" x14ac:dyDescent="0.35">
      <c r="A1" t="s">
        <v>642</v>
      </c>
      <c r="B1" t="s">
        <v>413</v>
      </c>
    </row>
    <row r="2" spans="1:69" x14ac:dyDescent="0.35">
      <c r="A2" t="s">
        <v>66</v>
      </c>
      <c r="B2" s="2">
        <v>46007</v>
      </c>
    </row>
    <row r="4" spans="1:69" x14ac:dyDescent="0.35">
      <c r="A4" t="s">
        <v>720</v>
      </c>
      <c r="B4" t="s">
        <v>487</v>
      </c>
      <c r="C4" t="s">
        <v>231</v>
      </c>
      <c r="D4" t="s">
        <v>728</v>
      </c>
      <c r="E4" t="s">
        <v>658</v>
      </c>
      <c r="F4" t="s">
        <v>136</v>
      </c>
      <c r="G4" t="s">
        <v>193</v>
      </c>
      <c r="H4" t="s">
        <v>261</v>
      </c>
      <c r="I4" t="s">
        <v>323</v>
      </c>
      <c r="J4" t="s">
        <v>548</v>
      </c>
      <c r="K4" t="s">
        <v>602</v>
      </c>
      <c r="L4" t="s">
        <v>661</v>
      </c>
      <c r="M4" t="s">
        <v>712</v>
      </c>
      <c r="N4" t="s">
        <v>195</v>
      </c>
      <c r="O4" t="s">
        <v>727</v>
      </c>
      <c r="P4" t="s">
        <v>38</v>
      </c>
      <c r="Q4" t="s">
        <v>281</v>
      </c>
      <c r="R4" t="s">
        <v>337</v>
      </c>
      <c r="S4" t="s">
        <v>391</v>
      </c>
      <c r="T4" t="s">
        <v>447</v>
      </c>
      <c r="U4" t="s">
        <v>678</v>
      </c>
      <c r="V4" t="s">
        <v>733</v>
      </c>
      <c r="W4" t="s">
        <v>45</v>
      </c>
      <c r="X4" t="s">
        <v>116</v>
      </c>
      <c r="Y4" t="s">
        <v>62</v>
      </c>
      <c r="Z4" t="s">
        <v>133</v>
      </c>
      <c r="AA4" t="s">
        <v>186</v>
      </c>
      <c r="AB4" t="s">
        <v>403</v>
      </c>
      <c r="AC4" t="s">
        <v>464</v>
      </c>
      <c r="AD4" t="s">
        <v>544</v>
      </c>
      <c r="AE4" t="s">
        <v>598</v>
      </c>
      <c r="AF4" t="s">
        <v>67</v>
      </c>
      <c r="AG4" t="s">
        <v>137</v>
      </c>
      <c r="AH4" t="s">
        <v>194</v>
      </c>
      <c r="AI4" t="s">
        <v>148</v>
      </c>
      <c r="AJ4" t="s">
        <v>204</v>
      </c>
      <c r="AK4" t="s">
        <v>275</v>
      </c>
      <c r="AL4" t="s">
        <v>334</v>
      </c>
      <c r="AM4" t="s">
        <v>558</v>
      </c>
      <c r="AN4" t="s">
        <v>610</v>
      </c>
      <c r="AO4" t="s">
        <v>676</v>
      </c>
      <c r="AP4" t="s">
        <v>729</v>
      </c>
      <c r="AQ4" t="s">
        <v>211</v>
      </c>
      <c r="AR4" t="s">
        <v>282</v>
      </c>
      <c r="AS4" t="s">
        <v>579</v>
      </c>
      <c r="AT4" t="s">
        <v>631</v>
      </c>
      <c r="AU4" t="s">
        <v>107</v>
      </c>
      <c r="AV4" t="s">
        <v>173</v>
      </c>
      <c r="AW4" t="s">
        <v>236</v>
      </c>
      <c r="AX4" t="s">
        <v>308</v>
      </c>
      <c r="AY4" t="s">
        <v>523</v>
      </c>
      <c r="AZ4" t="s">
        <v>584</v>
      </c>
      <c r="BA4" t="s">
        <v>638</v>
      </c>
      <c r="BB4" t="s">
        <v>110</v>
      </c>
      <c r="BC4" t="s">
        <v>647</v>
      </c>
      <c r="BD4" t="s">
        <v>701</v>
      </c>
      <c r="BE4" t="s">
        <v>19</v>
      </c>
      <c r="BF4" t="s">
        <v>252</v>
      </c>
      <c r="BG4" t="s">
        <v>319</v>
      </c>
      <c r="BH4" t="s">
        <v>371</v>
      </c>
      <c r="BI4" t="s">
        <v>428</v>
      </c>
      <c r="BJ4" t="s">
        <v>652</v>
      </c>
      <c r="BK4" t="s">
        <v>705</v>
      </c>
      <c r="BL4" t="s">
        <v>23</v>
      </c>
      <c r="BM4" t="s">
        <v>719</v>
      </c>
      <c r="BN4" t="s">
        <v>34</v>
      </c>
      <c r="BO4" t="s">
        <v>103</v>
      </c>
      <c r="BP4" t="s">
        <v>171</v>
      </c>
      <c r="BQ4" t="s">
        <v>385</v>
      </c>
    </row>
    <row r="5" spans="1:69" x14ac:dyDescent="0.35">
      <c r="A5" t="s">
        <v>529</v>
      </c>
      <c r="B5" t="s">
        <v>12</v>
      </c>
      <c r="C5" t="s">
        <v>200</v>
      </c>
      <c r="D5" t="s">
        <v>221</v>
      </c>
    </row>
    <row r="6" spans="1:69" x14ac:dyDescent="0.35">
      <c r="A6" t="s">
        <v>542</v>
      </c>
      <c r="B6" t="s">
        <v>511</v>
      </c>
      <c r="C6" t="s">
        <v>200</v>
      </c>
      <c r="D6" t="s">
        <v>221</v>
      </c>
    </row>
    <row r="7" spans="1:69" x14ac:dyDescent="0.35">
      <c r="A7" t="s">
        <v>336</v>
      </c>
      <c r="B7" t="s">
        <v>628</v>
      </c>
      <c r="C7" t="s">
        <v>200</v>
      </c>
      <c r="D7" t="s">
        <v>221</v>
      </c>
    </row>
    <row r="8" spans="1:69" x14ac:dyDescent="0.35">
      <c r="A8" t="s">
        <v>706</v>
      </c>
      <c r="B8" t="s">
        <v>177</v>
      </c>
      <c r="C8" t="s">
        <v>200</v>
      </c>
      <c r="D8" t="s">
        <v>221</v>
      </c>
    </row>
    <row r="9" spans="1:69" x14ac:dyDescent="0.35">
      <c r="A9" t="s">
        <v>326</v>
      </c>
      <c r="B9" t="s">
        <v>18</v>
      </c>
      <c r="C9" t="s">
        <v>200</v>
      </c>
      <c r="D9" t="s">
        <v>221</v>
      </c>
      <c r="AS9">
        <v>1</v>
      </c>
      <c r="BA9">
        <v>2.1</v>
      </c>
      <c r="BK9">
        <v>1.3</v>
      </c>
    </row>
    <row r="10" spans="1:69" x14ac:dyDescent="0.35">
      <c r="A10" t="s">
        <v>207</v>
      </c>
      <c r="B10" t="s">
        <v>462</v>
      </c>
      <c r="C10" t="s">
        <v>200</v>
      </c>
      <c r="D10" t="s">
        <v>221</v>
      </c>
      <c r="AO10">
        <v>3.9</v>
      </c>
      <c r="AU10">
        <v>3.5</v>
      </c>
      <c r="AX10">
        <v>3.5</v>
      </c>
      <c r="BA10">
        <v>3.7</v>
      </c>
      <c r="BE10">
        <v>3.7</v>
      </c>
      <c r="BG10">
        <v>2.9</v>
      </c>
      <c r="BH10">
        <v>3.2</v>
      </c>
      <c r="BI10">
        <v>3</v>
      </c>
      <c r="BJ10">
        <v>3.1</v>
      </c>
      <c r="BK10">
        <v>3.2</v>
      </c>
      <c r="BL10">
        <v>3.5</v>
      </c>
      <c r="BM10">
        <v>3.4</v>
      </c>
    </row>
    <row r="11" spans="1:69" x14ac:dyDescent="0.35">
      <c r="A11" t="s">
        <v>351</v>
      </c>
      <c r="B11" t="s">
        <v>738</v>
      </c>
      <c r="C11" t="s">
        <v>200</v>
      </c>
      <c r="D11" t="s">
        <v>221</v>
      </c>
    </row>
    <row r="12" spans="1:69" x14ac:dyDescent="0.35">
      <c r="A12" t="s">
        <v>115</v>
      </c>
      <c r="B12" t="s">
        <v>618</v>
      </c>
      <c r="C12" t="s">
        <v>200</v>
      </c>
      <c r="D12" t="s">
        <v>221</v>
      </c>
    </row>
    <row r="13" spans="1:69" x14ac:dyDescent="0.35">
      <c r="A13" t="s">
        <v>46</v>
      </c>
      <c r="B13" t="s">
        <v>217</v>
      </c>
      <c r="C13" t="s">
        <v>200</v>
      </c>
      <c r="D13" t="s">
        <v>221</v>
      </c>
      <c r="BF13">
        <v>2.2999999999999998</v>
      </c>
      <c r="BK13">
        <v>2.8</v>
      </c>
    </row>
    <row r="14" spans="1:69" x14ac:dyDescent="0.35">
      <c r="A14" t="s">
        <v>318</v>
      </c>
      <c r="B14" t="s">
        <v>500</v>
      </c>
      <c r="C14" t="s">
        <v>200</v>
      </c>
      <c r="D14" t="s">
        <v>221</v>
      </c>
      <c r="Y14">
        <v>2</v>
      </c>
      <c r="AE14">
        <v>1.8</v>
      </c>
      <c r="AF14">
        <v>1.6</v>
      </c>
      <c r="AJ14">
        <v>1.8</v>
      </c>
      <c r="AK14">
        <v>1.6</v>
      </c>
      <c r="AL14">
        <v>1.5</v>
      </c>
      <c r="AM14">
        <v>1.5</v>
      </c>
      <c r="AN14">
        <v>1.2</v>
      </c>
      <c r="AO14">
        <v>1.1000000000000001</v>
      </c>
      <c r="AP14">
        <v>1.1000000000000001</v>
      </c>
      <c r="AQ14">
        <v>1.1000000000000001</v>
      </c>
      <c r="AR14">
        <v>1.1000000000000001</v>
      </c>
      <c r="AS14">
        <v>1</v>
      </c>
      <c r="AT14">
        <v>0.7</v>
      </c>
      <c r="AU14">
        <v>0.9</v>
      </c>
      <c r="AV14">
        <v>1.1000000000000001</v>
      </c>
      <c r="AW14">
        <v>1.2</v>
      </c>
      <c r="AX14">
        <v>1.3</v>
      </c>
      <c r="AY14">
        <v>1.3</v>
      </c>
      <c r="AZ14">
        <v>1.4</v>
      </c>
      <c r="BA14">
        <v>1.4</v>
      </c>
      <c r="BB14">
        <v>1.4</v>
      </c>
      <c r="BC14">
        <v>1.6</v>
      </c>
      <c r="BD14">
        <v>1.7</v>
      </c>
      <c r="BE14">
        <v>1.7</v>
      </c>
      <c r="BF14">
        <v>1.8</v>
      </c>
      <c r="BG14">
        <v>1.8</v>
      </c>
      <c r="BI14">
        <v>1.7</v>
      </c>
      <c r="BJ14">
        <v>1.8</v>
      </c>
      <c r="BK14">
        <v>1.7</v>
      </c>
      <c r="BL14">
        <v>1.6</v>
      </c>
      <c r="BM14">
        <v>1.7</v>
      </c>
      <c r="BN14">
        <v>1.8</v>
      </c>
      <c r="BO14">
        <v>2</v>
      </c>
      <c r="BP14">
        <v>1.9</v>
      </c>
      <c r="BQ14">
        <v>1.9</v>
      </c>
    </row>
    <row r="15" spans="1:69" x14ac:dyDescent="0.35">
      <c r="A15" t="s">
        <v>89</v>
      </c>
      <c r="B15" t="s">
        <v>293</v>
      </c>
      <c r="C15" t="s">
        <v>200</v>
      </c>
      <c r="D15" t="s">
        <v>221</v>
      </c>
      <c r="AO15">
        <v>2.2999999999999998</v>
      </c>
      <c r="AR15">
        <v>3</v>
      </c>
      <c r="AT15">
        <v>3.2</v>
      </c>
      <c r="AU15">
        <v>3.3</v>
      </c>
      <c r="AV15">
        <v>3.7</v>
      </c>
      <c r="AW15">
        <v>3.1</v>
      </c>
      <c r="AX15">
        <v>3.3</v>
      </c>
      <c r="AY15">
        <v>3.7</v>
      </c>
      <c r="AZ15">
        <v>3.5</v>
      </c>
      <c r="BA15">
        <v>3.9</v>
      </c>
      <c r="BB15">
        <v>4</v>
      </c>
      <c r="BC15">
        <v>3.9</v>
      </c>
      <c r="BD15">
        <v>3.8</v>
      </c>
      <c r="BE15">
        <v>3.8</v>
      </c>
      <c r="BF15">
        <v>3.6</v>
      </c>
      <c r="BG15">
        <v>3.5</v>
      </c>
      <c r="BH15">
        <v>3.4</v>
      </c>
      <c r="BI15">
        <v>3.3</v>
      </c>
      <c r="BJ15">
        <v>3.5</v>
      </c>
      <c r="BK15">
        <v>3.3</v>
      </c>
      <c r="BL15">
        <v>3.7</v>
      </c>
      <c r="BM15">
        <v>4.4000000000000004</v>
      </c>
      <c r="BN15">
        <v>4</v>
      </c>
      <c r="BO15">
        <v>3.9</v>
      </c>
      <c r="BP15">
        <v>4</v>
      </c>
    </row>
    <row r="16" spans="1:69" x14ac:dyDescent="0.35">
      <c r="A16" t="s">
        <v>112</v>
      </c>
      <c r="B16" t="s">
        <v>360</v>
      </c>
      <c r="C16" t="s">
        <v>200</v>
      </c>
      <c r="D16" t="s">
        <v>221</v>
      </c>
    </row>
    <row r="17" spans="1:68" x14ac:dyDescent="0.35">
      <c r="A17" t="s">
        <v>417</v>
      </c>
      <c r="B17" t="s">
        <v>499</v>
      </c>
      <c r="C17" t="s">
        <v>200</v>
      </c>
      <c r="D17" t="s">
        <v>221</v>
      </c>
    </row>
    <row r="18" spans="1:68" x14ac:dyDescent="0.35">
      <c r="A18" t="s">
        <v>439</v>
      </c>
      <c r="B18" t="s">
        <v>309</v>
      </c>
      <c r="C18" t="s">
        <v>200</v>
      </c>
      <c r="D18" t="s">
        <v>221</v>
      </c>
      <c r="Z18">
        <v>2.9</v>
      </c>
      <c r="AD18">
        <v>2.7</v>
      </c>
      <c r="AH18">
        <v>2.7</v>
      </c>
      <c r="AN18">
        <v>2.9</v>
      </c>
      <c r="AT18">
        <v>2.8</v>
      </c>
      <c r="AV18">
        <v>2.8</v>
      </c>
      <c r="AW18">
        <v>3.1</v>
      </c>
      <c r="BA18">
        <v>2.8</v>
      </c>
      <c r="BC18">
        <v>2.8</v>
      </c>
      <c r="BG18">
        <v>2.9</v>
      </c>
      <c r="BI18">
        <v>2.9</v>
      </c>
      <c r="BK18">
        <v>2.8</v>
      </c>
      <c r="BM18">
        <v>2.7</v>
      </c>
    </row>
    <row r="19" spans="1:68" x14ac:dyDescent="0.35">
      <c r="A19" t="s">
        <v>63</v>
      </c>
      <c r="B19" t="s">
        <v>361</v>
      </c>
      <c r="C19" t="s">
        <v>200</v>
      </c>
      <c r="D19" t="s">
        <v>221</v>
      </c>
      <c r="AM19">
        <v>3.1</v>
      </c>
      <c r="AN19">
        <v>3.3</v>
      </c>
      <c r="AO19">
        <v>3.5</v>
      </c>
      <c r="AP19">
        <v>3.4</v>
      </c>
      <c r="AQ19">
        <v>3.3</v>
      </c>
      <c r="AR19">
        <v>3.6</v>
      </c>
      <c r="AS19">
        <v>3.5</v>
      </c>
      <c r="AV19">
        <v>3.3</v>
      </c>
      <c r="AW19">
        <v>3.4</v>
      </c>
      <c r="AX19">
        <v>3.5</v>
      </c>
      <c r="AY19">
        <v>3.4</v>
      </c>
      <c r="AZ19">
        <v>3.1</v>
      </c>
      <c r="BA19">
        <v>3</v>
      </c>
      <c r="BB19">
        <v>2.8</v>
      </c>
      <c r="BC19">
        <v>3.1</v>
      </c>
      <c r="BD19">
        <v>2.9</v>
      </c>
      <c r="BE19">
        <v>2.8</v>
      </c>
      <c r="BF19">
        <v>3.1</v>
      </c>
      <c r="BG19">
        <v>3.1</v>
      </c>
      <c r="BH19">
        <v>3</v>
      </c>
      <c r="BI19">
        <v>2.8</v>
      </c>
      <c r="BJ19">
        <v>3</v>
      </c>
      <c r="BK19">
        <v>3</v>
      </c>
      <c r="BL19">
        <v>2.9</v>
      </c>
      <c r="BM19">
        <v>2.9</v>
      </c>
      <c r="BN19">
        <v>2.8</v>
      </c>
      <c r="BO19">
        <v>2.8</v>
      </c>
      <c r="BP19">
        <v>2.8</v>
      </c>
    </row>
    <row r="20" spans="1:68" x14ac:dyDescent="0.35">
      <c r="A20" t="s">
        <v>537</v>
      </c>
      <c r="B20" t="s">
        <v>528</v>
      </c>
      <c r="C20" t="s">
        <v>200</v>
      </c>
      <c r="D20" t="s">
        <v>221</v>
      </c>
      <c r="AN20">
        <v>2.7</v>
      </c>
      <c r="AT20">
        <v>3.1</v>
      </c>
      <c r="AU20">
        <v>4.8</v>
      </c>
      <c r="AV20">
        <v>4.5</v>
      </c>
      <c r="AW20">
        <v>4.8</v>
      </c>
      <c r="AX20">
        <v>4.8</v>
      </c>
    </row>
    <row r="21" spans="1:68" x14ac:dyDescent="0.35">
      <c r="A21" t="s">
        <v>477</v>
      </c>
      <c r="B21" t="s">
        <v>550</v>
      </c>
      <c r="C21" t="s">
        <v>200</v>
      </c>
      <c r="D21" t="s">
        <v>221</v>
      </c>
      <c r="AK21">
        <v>3.4</v>
      </c>
      <c r="AQ21">
        <v>1.9</v>
      </c>
      <c r="AY21">
        <v>4</v>
      </c>
      <c r="BF21">
        <v>2.8</v>
      </c>
      <c r="BM21">
        <v>2.9</v>
      </c>
    </row>
    <row r="22" spans="1:68" x14ac:dyDescent="0.35">
      <c r="A22" t="s">
        <v>643</v>
      </c>
      <c r="B22" t="s">
        <v>48</v>
      </c>
      <c r="C22" t="s">
        <v>200</v>
      </c>
      <c r="D22" t="s">
        <v>221</v>
      </c>
      <c r="AD22">
        <v>4.2</v>
      </c>
      <c r="AG22">
        <v>4</v>
      </c>
      <c r="AK22">
        <v>3.9</v>
      </c>
      <c r="AN22">
        <v>3.4</v>
      </c>
      <c r="AP22">
        <v>3.6</v>
      </c>
      <c r="AS22">
        <v>3.4</v>
      </c>
      <c r="AV22">
        <v>3.3</v>
      </c>
      <c r="AW22">
        <v>3.4</v>
      </c>
      <c r="AX22">
        <v>3.4</v>
      </c>
      <c r="AY22">
        <v>3.4</v>
      </c>
      <c r="AZ22">
        <v>3.4</v>
      </c>
      <c r="BA22">
        <v>3.4</v>
      </c>
      <c r="BB22">
        <v>3.2</v>
      </c>
      <c r="BC22">
        <v>3.3</v>
      </c>
      <c r="BD22">
        <v>3.3</v>
      </c>
      <c r="BE22">
        <v>3.4</v>
      </c>
      <c r="BF22">
        <v>3.3</v>
      </c>
      <c r="BG22">
        <v>3.4</v>
      </c>
      <c r="BH22">
        <v>3.4</v>
      </c>
      <c r="BI22">
        <v>3.4</v>
      </c>
      <c r="BJ22">
        <v>3.4</v>
      </c>
      <c r="BK22">
        <v>3.5</v>
      </c>
      <c r="BL22">
        <v>3.6</v>
      </c>
      <c r="BM22">
        <v>3.7</v>
      </c>
      <c r="BN22">
        <v>3.6</v>
      </c>
      <c r="BO22">
        <v>3.8</v>
      </c>
      <c r="BP22">
        <v>3.7</v>
      </c>
    </row>
    <row r="23" spans="1:68" x14ac:dyDescent="0.35">
      <c r="A23" t="s">
        <v>629</v>
      </c>
      <c r="B23" t="s">
        <v>343</v>
      </c>
      <c r="C23" t="s">
        <v>200</v>
      </c>
      <c r="D23" t="s">
        <v>221</v>
      </c>
      <c r="AV23">
        <v>2.9</v>
      </c>
      <c r="BD23">
        <v>2.5</v>
      </c>
      <c r="BH23">
        <v>1.1000000000000001</v>
      </c>
      <c r="BK23">
        <v>2.9</v>
      </c>
      <c r="BN23">
        <v>3.1</v>
      </c>
    </row>
    <row r="24" spans="1:68" x14ac:dyDescent="0.35">
      <c r="A24" t="s">
        <v>120</v>
      </c>
      <c r="B24" t="s">
        <v>463</v>
      </c>
      <c r="C24" t="s">
        <v>200</v>
      </c>
      <c r="D24" t="s">
        <v>221</v>
      </c>
      <c r="AM24">
        <v>2.2999999999999998</v>
      </c>
      <c r="AQ24">
        <v>2</v>
      </c>
      <c r="AV24">
        <v>2.2999999999999998</v>
      </c>
      <c r="BB24">
        <v>2.7</v>
      </c>
      <c r="BG24">
        <v>3.6</v>
      </c>
      <c r="BK24">
        <v>2.6</v>
      </c>
      <c r="BN24">
        <v>3</v>
      </c>
    </row>
    <row r="25" spans="1:68" x14ac:dyDescent="0.35">
      <c r="A25" t="s">
        <v>39</v>
      </c>
      <c r="B25" t="s">
        <v>152</v>
      </c>
      <c r="C25" t="s">
        <v>200</v>
      </c>
      <c r="D25" t="s">
        <v>221</v>
      </c>
      <c r="AB25">
        <v>4.0999999999999996</v>
      </c>
      <c r="AD25">
        <v>4.5</v>
      </c>
      <c r="AG25">
        <v>4.2</v>
      </c>
      <c r="AJ25">
        <v>4.0999999999999996</v>
      </c>
      <c r="AN25">
        <v>3.8</v>
      </c>
      <c r="AS25">
        <v>3.7</v>
      </c>
      <c r="AX25">
        <v>3.8</v>
      </c>
      <c r="BC25">
        <v>3.9</v>
      </c>
      <c r="BI25">
        <v>3.7</v>
      </c>
      <c r="BO25">
        <v>3.7</v>
      </c>
    </row>
    <row r="26" spans="1:68" x14ac:dyDescent="0.35">
      <c r="A26" t="s">
        <v>608</v>
      </c>
      <c r="B26" t="s">
        <v>154</v>
      </c>
      <c r="C26" t="s">
        <v>200</v>
      </c>
      <c r="D26" t="s">
        <v>221</v>
      </c>
      <c r="AH26">
        <v>4.5999999999999996</v>
      </c>
      <c r="AK26">
        <v>3.5</v>
      </c>
      <c r="AM26">
        <v>4.4000000000000004</v>
      </c>
      <c r="AN26">
        <v>3</v>
      </c>
      <c r="AP26">
        <v>4.5</v>
      </c>
      <c r="AT26">
        <v>2.6</v>
      </c>
      <c r="AV26">
        <v>3.4</v>
      </c>
      <c r="AY26">
        <v>1.6</v>
      </c>
      <c r="AZ26">
        <v>2.2000000000000002</v>
      </c>
      <c r="BA26">
        <v>2.4</v>
      </c>
      <c r="BB26">
        <v>2.4</v>
      </c>
      <c r="BC26">
        <v>2.1</v>
      </c>
      <c r="BD26">
        <v>2.1</v>
      </c>
      <c r="BE26">
        <v>2</v>
      </c>
      <c r="BF26">
        <v>1.8</v>
      </c>
      <c r="BG26">
        <v>2</v>
      </c>
      <c r="BH26">
        <v>1.5</v>
      </c>
      <c r="BI26">
        <v>1.6</v>
      </c>
      <c r="BJ26">
        <v>1.9</v>
      </c>
      <c r="BK26">
        <v>1.9</v>
      </c>
      <c r="BL26">
        <v>1.9</v>
      </c>
      <c r="BM26">
        <v>2.2000000000000002</v>
      </c>
      <c r="BN26">
        <v>2</v>
      </c>
      <c r="BO26">
        <v>2.1</v>
      </c>
      <c r="BP26">
        <v>2.1</v>
      </c>
    </row>
    <row r="27" spans="1:68" x14ac:dyDescent="0.35">
      <c r="A27" t="s">
        <v>372</v>
      </c>
      <c r="B27" t="s">
        <v>71</v>
      </c>
      <c r="C27" t="s">
        <v>200</v>
      </c>
      <c r="D27" t="s">
        <v>221</v>
      </c>
    </row>
    <row r="28" spans="1:68" x14ac:dyDescent="0.35">
      <c r="A28" t="s">
        <v>169</v>
      </c>
      <c r="B28" t="s">
        <v>302</v>
      </c>
      <c r="C28" t="s">
        <v>200</v>
      </c>
      <c r="D28" t="s">
        <v>221</v>
      </c>
    </row>
    <row r="29" spans="1:68" x14ac:dyDescent="0.35">
      <c r="A29" t="s">
        <v>398</v>
      </c>
      <c r="B29" t="s">
        <v>556</v>
      </c>
      <c r="C29" t="s">
        <v>200</v>
      </c>
      <c r="D29" t="s">
        <v>221</v>
      </c>
      <c r="AT29">
        <v>3.6</v>
      </c>
      <c r="AW29">
        <v>2.9</v>
      </c>
      <c r="AZ29">
        <v>3</v>
      </c>
      <c r="BD29">
        <v>2.9</v>
      </c>
    </row>
    <row r="30" spans="1:68" x14ac:dyDescent="0.35">
      <c r="A30" t="s">
        <v>590</v>
      </c>
      <c r="B30" t="s">
        <v>226</v>
      </c>
      <c r="C30" t="s">
        <v>200</v>
      </c>
      <c r="D30" t="s">
        <v>221</v>
      </c>
      <c r="AL30">
        <v>4.9000000000000004</v>
      </c>
      <c r="AN30">
        <v>3.5</v>
      </c>
      <c r="AQ30">
        <v>3.1</v>
      </c>
      <c r="AR30">
        <v>3</v>
      </c>
      <c r="AS30">
        <v>3.1</v>
      </c>
      <c r="AT30">
        <v>3.3</v>
      </c>
      <c r="AU30">
        <v>3.3</v>
      </c>
      <c r="AV30">
        <v>3.5</v>
      </c>
      <c r="AW30">
        <v>3.8</v>
      </c>
      <c r="AX30">
        <v>3.6</v>
      </c>
      <c r="AY30">
        <v>3.6</v>
      </c>
      <c r="AZ30">
        <v>3.5</v>
      </c>
      <c r="BA30">
        <v>3.7</v>
      </c>
      <c r="BB30">
        <v>3.7</v>
      </c>
      <c r="BC30">
        <v>3.6</v>
      </c>
      <c r="BD30">
        <v>3.8</v>
      </c>
      <c r="BE30">
        <v>4</v>
      </c>
      <c r="BF30">
        <v>4</v>
      </c>
      <c r="BG30">
        <v>3.9</v>
      </c>
      <c r="BH30">
        <v>4.0999999999999996</v>
      </c>
      <c r="BI30">
        <v>4.2</v>
      </c>
      <c r="BJ30">
        <v>4.3</v>
      </c>
      <c r="BK30">
        <v>4.3</v>
      </c>
      <c r="BL30">
        <v>4.2</v>
      </c>
      <c r="BM30">
        <v>4.5</v>
      </c>
    </row>
    <row r="31" spans="1:68" x14ac:dyDescent="0.35">
      <c r="A31" t="s">
        <v>322</v>
      </c>
      <c r="B31" t="s">
        <v>299</v>
      </c>
      <c r="C31" t="s">
        <v>200</v>
      </c>
      <c r="D31" t="s">
        <v>221</v>
      </c>
      <c r="AL31">
        <v>0.9</v>
      </c>
      <c r="AM31">
        <v>1</v>
      </c>
      <c r="AN31">
        <v>0.8</v>
      </c>
      <c r="AO31">
        <v>1</v>
      </c>
      <c r="AP31">
        <v>0.7</v>
      </c>
      <c r="AQ31">
        <v>1.1000000000000001</v>
      </c>
      <c r="AR31">
        <v>0.9</v>
      </c>
      <c r="BK31">
        <v>2.2000000000000002</v>
      </c>
    </row>
    <row r="32" spans="1:68" x14ac:dyDescent="0.35">
      <c r="A32" t="s">
        <v>380</v>
      </c>
      <c r="B32" t="s">
        <v>639</v>
      </c>
      <c r="C32" t="s">
        <v>200</v>
      </c>
      <c r="D32" t="s">
        <v>221</v>
      </c>
    </row>
    <row r="33" spans="1:68" x14ac:dyDescent="0.35">
      <c r="A33" t="s">
        <v>56</v>
      </c>
      <c r="B33" t="s">
        <v>518</v>
      </c>
      <c r="C33" t="s">
        <v>200</v>
      </c>
      <c r="D33" t="s">
        <v>221</v>
      </c>
      <c r="AI33">
        <v>2.2999999999999998</v>
      </c>
      <c r="AK33">
        <v>1.7</v>
      </c>
      <c r="AP33">
        <v>0.5</v>
      </c>
      <c r="AR33">
        <v>0.3</v>
      </c>
      <c r="AS33">
        <v>0.3</v>
      </c>
      <c r="AT33">
        <v>0.5</v>
      </c>
      <c r="AU33">
        <v>0.4</v>
      </c>
      <c r="AW33">
        <v>0.9</v>
      </c>
      <c r="AX33">
        <v>0.5</v>
      </c>
      <c r="AY33">
        <v>0.6</v>
      </c>
      <c r="AZ33">
        <v>0.8</v>
      </c>
      <c r="BA33">
        <v>0.9</v>
      </c>
      <c r="BB33">
        <v>0.8</v>
      </c>
      <c r="BD33">
        <v>1.1000000000000001</v>
      </c>
      <c r="BE33">
        <v>0.9</v>
      </c>
      <c r="BF33">
        <v>1</v>
      </c>
      <c r="BG33">
        <v>1.1000000000000001</v>
      </c>
      <c r="BH33">
        <v>1.1000000000000001</v>
      </c>
      <c r="BI33">
        <v>1</v>
      </c>
      <c r="BJ33">
        <v>1.1000000000000001</v>
      </c>
      <c r="BK33">
        <v>1.4</v>
      </c>
      <c r="BL33">
        <v>1.7</v>
      </c>
      <c r="BM33">
        <v>1.5</v>
      </c>
      <c r="BN33">
        <v>1.8</v>
      </c>
      <c r="BO33">
        <v>1.7</v>
      </c>
      <c r="BP33">
        <v>1.8</v>
      </c>
    </row>
    <row r="34" spans="1:68" x14ac:dyDescent="0.35">
      <c r="A34" t="s">
        <v>593</v>
      </c>
      <c r="B34" t="s">
        <v>341</v>
      </c>
      <c r="C34" t="s">
        <v>200</v>
      </c>
      <c r="D34" t="s">
        <v>221</v>
      </c>
      <c r="Z34">
        <v>0.9</v>
      </c>
      <c r="AA34">
        <v>0.9</v>
      </c>
      <c r="AB34">
        <v>0.9</v>
      </c>
      <c r="AC34">
        <v>0.9</v>
      </c>
      <c r="AD34">
        <v>1</v>
      </c>
      <c r="AE34">
        <v>0.9</v>
      </c>
      <c r="AF34">
        <v>0.8</v>
      </c>
      <c r="AG34">
        <v>0.7</v>
      </c>
      <c r="AH34">
        <v>0.6</v>
      </c>
      <c r="AI34">
        <v>0.8</v>
      </c>
      <c r="AK34">
        <v>0.9</v>
      </c>
      <c r="AL34">
        <v>0.7</v>
      </c>
      <c r="AN34">
        <v>0.8</v>
      </c>
      <c r="AO34">
        <v>0.7</v>
      </c>
      <c r="AP34">
        <v>0.7</v>
      </c>
      <c r="AQ34">
        <v>0.8</v>
      </c>
      <c r="AR34">
        <v>0.8</v>
      </c>
      <c r="AT34">
        <v>0.8</v>
      </c>
      <c r="AU34">
        <v>0.9</v>
      </c>
      <c r="AV34">
        <v>0.9</v>
      </c>
      <c r="AW34">
        <v>0.9</v>
      </c>
      <c r="AX34">
        <v>1</v>
      </c>
      <c r="AY34">
        <v>1</v>
      </c>
      <c r="AZ34">
        <v>1</v>
      </c>
      <c r="BA34">
        <v>1</v>
      </c>
      <c r="BB34">
        <v>1</v>
      </c>
      <c r="BD34">
        <v>1.1000000000000001</v>
      </c>
      <c r="BE34">
        <v>1.1000000000000001</v>
      </c>
      <c r="BF34">
        <v>1.2</v>
      </c>
      <c r="BG34">
        <v>1.2</v>
      </c>
      <c r="BH34">
        <v>1.2</v>
      </c>
      <c r="BI34">
        <v>1.1000000000000001</v>
      </c>
      <c r="BJ34">
        <v>1</v>
      </c>
      <c r="BK34">
        <v>1</v>
      </c>
      <c r="BL34">
        <v>0.9</v>
      </c>
      <c r="BM34">
        <v>1.6</v>
      </c>
      <c r="BN34">
        <v>1</v>
      </c>
      <c r="BO34">
        <v>1.2</v>
      </c>
      <c r="BP34">
        <v>1.3</v>
      </c>
    </row>
    <row r="35" spans="1:68" x14ac:dyDescent="0.35">
      <c r="A35" t="s">
        <v>563</v>
      </c>
      <c r="B35" t="s">
        <v>395</v>
      </c>
      <c r="C35" t="s">
        <v>200</v>
      </c>
      <c r="D35" t="s">
        <v>221</v>
      </c>
      <c r="BI35">
        <v>2.5</v>
      </c>
    </row>
    <row r="36" spans="1:68" x14ac:dyDescent="0.35">
      <c r="A36" t="s">
        <v>435</v>
      </c>
      <c r="B36" t="s">
        <v>129</v>
      </c>
      <c r="C36" t="s">
        <v>200</v>
      </c>
      <c r="D36" t="s">
        <v>221</v>
      </c>
    </row>
    <row r="37" spans="1:68" x14ac:dyDescent="0.35">
      <c r="A37" t="s">
        <v>572</v>
      </c>
      <c r="B37" t="s">
        <v>122</v>
      </c>
      <c r="C37" t="s">
        <v>200</v>
      </c>
      <c r="D37" t="s">
        <v>221</v>
      </c>
      <c r="AV37">
        <v>2.8</v>
      </c>
      <c r="AZ37">
        <v>2.7</v>
      </c>
      <c r="BE37">
        <v>2.7</v>
      </c>
      <c r="BJ37">
        <v>2.7</v>
      </c>
      <c r="BO37">
        <v>3.6</v>
      </c>
    </row>
    <row r="38" spans="1:68" x14ac:dyDescent="0.35">
      <c r="A38" t="s">
        <v>51</v>
      </c>
      <c r="B38" t="s">
        <v>402</v>
      </c>
      <c r="C38" t="s">
        <v>200</v>
      </c>
      <c r="D38" t="s">
        <v>221</v>
      </c>
      <c r="AD38">
        <v>1.4</v>
      </c>
      <c r="AL38">
        <v>1.2</v>
      </c>
      <c r="AU38">
        <v>1</v>
      </c>
      <c r="BB38">
        <v>1.2</v>
      </c>
      <c r="BH38">
        <v>1.4</v>
      </c>
    </row>
    <row r="39" spans="1:68" x14ac:dyDescent="0.35">
      <c r="A39" t="s">
        <v>188</v>
      </c>
      <c r="B39" t="s">
        <v>492</v>
      </c>
      <c r="C39" t="s">
        <v>200</v>
      </c>
      <c r="D39" t="s">
        <v>221</v>
      </c>
      <c r="AK39">
        <v>1.5</v>
      </c>
      <c r="BA39">
        <v>1.2</v>
      </c>
      <c r="BN39">
        <v>2.1</v>
      </c>
    </row>
    <row r="40" spans="1:68" x14ac:dyDescent="0.35">
      <c r="A40" t="s">
        <v>203</v>
      </c>
      <c r="B40" t="s">
        <v>564</v>
      </c>
      <c r="C40" t="s">
        <v>200</v>
      </c>
      <c r="D40" t="s">
        <v>221</v>
      </c>
      <c r="P40">
        <v>1.8</v>
      </c>
      <c r="R40">
        <v>2.1</v>
      </c>
      <c r="T40">
        <v>2.2999999999999998</v>
      </c>
      <c r="V40">
        <v>2.2999999999999998</v>
      </c>
      <c r="X40">
        <v>2.2999999999999998</v>
      </c>
      <c r="Z40">
        <v>2.5</v>
      </c>
      <c r="AA40">
        <v>2.6</v>
      </c>
      <c r="AC40">
        <v>2.4</v>
      </c>
      <c r="AD40">
        <v>2.6</v>
      </c>
      <c r="AE40">
        <v>2.7</v>
      </c>
      <c r="AF40">
        <v>2.8</v>
      </c>
      <c r="AG40">
        <v>2.9</v>
      </c>
      <c r="AH40">
        <v>2.8</v>
      </c>
      <c r="AI40">
        <v>2.6</v>
      </c>
      <c r="AJ40">
        <v>2.6</v>
      </c>
      <c r="AK40">
        <v>2.8</v>
      </c>
      <c r="AL40">
        <v>2.7</v>
      </c>
      <c r="AM40">
        <v>2.8</v>
      </c>
      <c r="AN40">
        <v>2.8</v>
      </c>
      <c r="AO40">
        <v>2.9</v>
      </c>
      <c r="AP40">
        <v>2.9</v>
      </c>
      <c r="AQ40">
        <v>2.8</v>
      </c>
      <c r="AR40">
        <v>2.8</v>
      </c>
      <c r="AS40">
        <v>2.8</v>
      </c>
      <c r="AT40">
        <v>2.8</v>
      </c>
      <c r="AU40">
        <v>2.7</v>
      </c>
      <c r="AV40">
        <v>2.7</v>
      </c>
      <c r="AW40">
        <v>2.7</v>
      </c>
      <c r="AX40">
        <v>2.7</v>
      </c>
      <c r="AY40">
        <v>2.8</v>
      </c>
      <c r="AZ40">
        <v>2.8</v>
      </c>
      <c r="BA40">
        <v>2.7</v>
      </c>
      <c r="BB40">
        <v>2.7</v>
      </c>
      <c r="BC40">
        <v>2.8</v>
      </c>
      <c r="BD40">
        <v>2.9</v>
      </c>
      <c r="BE40">
        <v>2.6</v>
      </c>
      <c r="BF40">
        <v>2.5</v>
      </c>
      <c r="BG40">
        <v>2.7</v>
      </c>
      <c r="BH40">
        <v>2.6</v>
      </c>
      <c r="BI40">
        <v>2.9</v>
      </c>
      <c r="BJ40">
        <v>2.8</v>
      </c>
      <c r="BK40">
        <v>2.9</v>
      </c>
      <c r="BL40">
        <v>3</v>
      </c>
      <c r="BM40">
        <v>3.5</v>
      </c>
      <c r="BN40">
        <v>3.3</v>
      </c>
    </row>
    <row r="41" spans="1:68" x14ac:dyDescent="0.35">
      <c r="A41" t="s">
        <v>444</v>
      </c>
      <c r="B41" t="s">
        <v>239</v>
      </c>
      <c r="C41" t="s">
        <v>200</v>
      </c>
      <c r="D41" t="s">
        <v>221</v>
      </c>
    </row>
    <row r="42" spans="1:68" x14ac:dyDescent="0.35">
      <c r="A42" t="s">
        <v>191</v>
      </c>
      <c r="B42" t="s">
        <v>648</v>
      </c>
      <c r="C42" t="s">
        <v>200</v>
      </c>
      <c r="D42" t="s">
        <v>221</v>
      </c>
      <c r="AA42">
        <v>3</v>
      </c>
      <c r="AK42">
        <v>2.9</v>
      </c>
      <c r="AS42">
        <v>3.2</v>
      </c>
      <c r="AU42">
        <v>3.4</v>
      </c>
      <c r="AW42">
        <v>3.4</v>
      </c>
      <c r="AY42">
        <v>2.9</v>
      </c>
      <c r="AZ42">
        <v>2.9</v>
      </c>
      <c r="BA42">
        <v>3</v>
      </c>
      <c r="BB42">
        <v>3.1</v>
      </c>
      <c r="BC42">
        <v>3.1</v>
      </c>
      <c r="BD42">
        <v>3.2</v>
      </c>
      <c r="BE42">
        <v>3.3</v>
      </c>
      <c r="BF42">
        <v>3.3</v>
      </c>
      <c r="BG42">
        <v>3.2</v>
      </c>
      <c r="BH42">
        <v>3.2</v>
      </c>
      <c r="BI42">
        <v>3</v>
      </c>
      <c r="BJ42">
        <v>3.1</v>
      </c>
      <c r="BK42">
        <v>3</v>
      </c>
      <c r="BL42">
        <v>2.9</v>
      </c>
      <c r="BM42">
        <v>3</v>
      </c>
      <c r="BN42">
        <v>3</v>
      </c>
      <c r="BO42">
        <v>2.9</v>
      </c>
    </row>
    <row r="43" spans="1:68" x14ac:dyDescent="0.35">
      <c r="A43" t="s">
        <v>396</v>
      </c>
      <c r="B43" t="s">
        <v>320</v>
      </c>
      <c r="C43" t="s">
        <v>200</v>
      </c>
      <c r="D43" t="s">
        <v>221</v>
      </c>
    </row>
    <row r="44" spans="1:68" x14ac:dyDescent="0.35">
      <c r="A44" t="s">
        <v>167</v>
      </c>
      <c r="B44" t="s">
        <v>655</v>
      </c>
      <c r="C44" t="s">
        <v>200</v>
      </c>
      <c r="D44" t="s">
        <v>221</v>
      </c>
      <c r="AF44">
        <v>1.2</v>
      </c>
      <c r="AI44">
        <v>1.2</v>
      </c>
      <c r="AK44">
        <v>1.4</v>
      </c>
      <c r="AM44">
        <v>1.2</v>
      </c>
      <c r="AO44">
        <v>1.3</v>
      </c>
      <c r="AQ44">
        <v>1.3</v>
      </c>
      <c r="AS44">
        <v>1.3</v>
      </c>
      <c r="AV44">
        <v>1.4</v>
      </c>
      <c r="AY44">
        <v>1.8</v>
      </c>
      <c r="BB44">
        <v>1.9</v>
      </c>
      <c r="BD44">
        <v>2</v>
      </c>
      <c r="BF44">
        <v>2.1</v>
      </c>
      <c r="BH44">
        <v>2.2000000000000002</v>
      </c>
      <c r="BJ44">
        <v>2.2000000000000002</v>
      </c>
      <c r="BM44">
        <v>1.7</v>
      </c>
      <c r="BO44">
        <v>2.2999999999999998</v>
      </c>
    </row>
    <row r="45" spans="1:68" x14ac:dyDescent="0.35">
      <c r="A45" t="s">
        <v>506</v>
      </c>
      <c r="B45" t="s">
        <v>189</v>
      </c>
      <c r="C45" t="s">
        <v>200</v>
      </c>
      <c r="D45" t="s">
        <v>221</v>
      </c>
      <c r="Z45">
        <v>3.7</v>
      </c>
      <c r="AC45">
        <v>3.8</v>
      </c>
      <c r="AF45">
        <v>3.3</v>
      </c>
      <c r="AI45">
        <v>3.5</v>
      </c>
      <c r="AL45">
        <v>3.3</v>
      </c>
      <c r="AO45">
        <v>3.1</v>
      </c>
      <c r="AR45">
        <v>2.7</v>
      </c>
      <c r="AU45">
        <v>2.2999999999999998</v>
      </c>
      <c r="AX45">
        <v>2.4</v>
      </c>
      <c r="BA45">
        <v>2.1</v>
      </c>
      <c r="BC45">
        <v>2</v>
      </c>
      <c r="BD45">
        <v>2.1</v>
      </c>
      <c r="BE45">
        <v>2.1</v>
      </c>
      <c r="BF45">
        <v>2.5</v>
      </c>
      <c r="BG45">
        <v>2.5</v>
      </c>
      <c r="BH45">
        <v>2.6</v>
      </c>
      <c r="BI45">
        <v>2.7</v>
      </c>
      <c r="BJ45">
        <v>2.6</v>
      </c>
      <c r="BK45">
        <v>2.7</v>
      </c>
      <c r="BL45">
        <v>2.8</v>
      </c>
      <c r="BM45">
        <v>3.1</v>
      </c>
      <c r="BN45">
        <v>3.2</v>
      </c>
      <c r="BO45">
        <v>3.1</v>
      </c>
    </row>
    <row r="46" spans="1:68" x14ac:dyDescent="0.35">
      <c r="A46" t="s">
        <v>688</v>
      </c>
      <c r="B46" t="s">
        <v>338</v>
      </c>
      <c r="C46" t="s">
        <v>200</v>
      </c>
      <c r="D46" t="s">
        <v>221</v>
      </c>
      <c r="AD46">
        <v>1.8</v>
      </c>
      <c r="AE46">
        <v>2.8</v>
      </c>
      <c r="AF46">
        <v>2.5</v>
      </c>
      <c r="AG46">
        <v>2.7</v>
      </c>
      <c r="AK46">
        <v>2.2999999999999998</v>
      </c>
      <c r="AN46">
        <v>2.7</v>
      </c>
      <c r="AQ46">
        <v>2.6</v>
      </c>
      <c r="AU46">
        <v>2.2999999999999998</v>
      </c>
      <c r="BA46">
        <v>1.8</v>
      </c>
      <c r="BH46">
        <v>2.1</v>
      </c>
      <c r="BK46">
        <v>2.9</v>
      </c>
      <c r="BN46">
        <v>3.1</v>
      </c>
    </row>
    <row r="47" spans="1:68" x14ac:dyDescent="0.35">
      <c r="A47" t="s">
        <v>742</v>
      </c>
      <c r="B47" t="s">
        <v>79</v>
      </c>
      <c r="C47" t="s">
        <v>200</v>
      </c>
      <c r="D47" t="s">
        <v>221</v>
      </c>
      <c r="AO47">
        <v>2.5</v>
      </c>
      <c r="AT47">
        <v>2.5</v>
      </c>
      <c r="AZ47">
        <v>2.5</v>
      </c>
      <c r="BG47">
        <v>1.7</v>
      </c>
      <c r="BN47">
        <v>2.1</v>
      </c>
    </row>
    <row r="48" spans="1:68" x14ac:dyDescent="0.35">
      <c r="A48" t="s">
        <v>498</v>
      </c>
      <c r="B48" t="s">
        <v>230</v>
      </c>
      <c r="C48" t="s">
        <v>200</v>
      </c>
      <c r="D48" t="s">
        <v>221</v>
      </c>
      <c r="AW48">
        <v>2.6</v>
      </c>
      <c r="BE48">
        <v>2.1</v>
      </c>
      <c r="BM48">
        <v>2.1</v>
      </c>
    </row>
    <row r="49" spans="1:69" x14ac:dyDescent="0.35">
      <c r="A49" t="s">
        <v>394</v>
      </c>
      <c r="B49" t="s">
        <v>411</v>
      </c>
      <c r="C49" t="s">
        <v>200</v>
      </c>
      <c r="D49" t="s">
        <v>221</v>
      </c>
      <c r="AX49">
        <v>2</v>
      </c>
      <c r="BD49">
        <v>1.6</v>
      </c>
    </row>
    <row r="50" spans="1:69" x14ac:dyDescent="0.35">
      <c r="A50" t="s">
        <v>559</v>
      </c>
      <c r="B50" t="s">
        <v>305</v>
      </c>
      <c r="C50" t="s">
        <v>200</v>
      </c>
      <c r="D50" t="s">
        <v>221</v>
      </c>
      <c r="Y50">
        <v>1</v>
      </c>
      <c r="AG50">
        <v>1.2</v>
      </c>
      <c r="AH50">
        <v>1.4</v>
      </c>
      <c r="AJ50">
        <v>1.3</v>
      </c>
      <c r="AK50">
        <v>1.1000000000000001</v>
      </c>
      <c r="AO50">
        <v>0.6</v>
      </c>
      <c r="AR50">
        <v>0.5</v>
      </c>
      <c r="AS50">
        <v>0.3</v>
      </c>
      <c r="AT50">
        <v>0.6</v>
      </c>
      <c r="AU50">
        <v>1.1000000000000001</v>
      </c>
      <c r="AV50">
        <v>1.2</v>
      </c>
      <c r="AW50">
        <v>1.2</v>
      </c>
      <c r="AX50">
        <v>1.2</v>
      </c>
      <c r="BA50">
        <v>1</v>
      </c>
      <c r="BB50">
        <v>1.1000000000000001</v>
      </c>
      <c r="BC50">
        <v>1.1000000000000001</v>
      </c>
      <c r="BD50">
        <v>1.2</v>
      </c>
      <c r="BE50">
        <v>1.2</v>
      </c>
      <c r="BF50">
        <v>1.2</v>
      </c>
      <c r="BG50">
        <v>1.2</v>
      </c>
      <c r="BH50">
        <v>1.3</v>
      </c>
      <c r="BI50">
        <v>1.3</v>
      </c>
      <c r="BJ50">
        <v>1.4</v>
      </c>
      <c r="BK50">
        <v>1.4</v>
      </c>
      <c r="BL50">
        <v>1.2</v>
      </c>
      <c r="BM50">
        <v>0.9</v>
      </c>
      <c r="BN50">
        <v>1</v>
      </c>
      <c r="BO50">
        <v>1</v>
      </c>
      <c r="BP50">
        <v>1.1000000000000001</v>
      </c>
    </row>
    <row r="51" spans="1:69" x14ac:dyDescent="0.35">
      <c r="A51" t="s">
        <v>362</v>
      </c>
      <c r="B51" t="s">
        <v>358</v>
      </c>
      <c r="C51" t="s">
        <v>200</v>
      </c>
      <c r="D51" t="s">
        <v>221</v>
      </c>
      <c r="AW51">
        <v>1.5</v>
      </c>
      <c r="BG51">
        <v>1.6</v>
      </c>
    </row>
    <row r="52" spans="1:69" x14ac:dyDescent="0.35">
      <c r="A52" t="s">
        <v>496</v>
      </c>
      <c r="B52" t="s">
        <v>568</v>
      </c>
      <c r="C52" t="s">
        <v>200</v>
      </c>
      <c r="D52" t="s">
        <v>221</v>
      </c>
      <c r="AT52">
        <v>1.6</v>
      </c>
      <c r="AZ52">
        <v>2</v>
      </c>
      <c r="BH52">
        <v>2.2000000000000002</v>
      </c>
    </row>
    <row r="53" spans="1:69" x14ac:dyDescent="0.35">
      <c r="A53" t="s">
        <v>346</v>
      </c>
      <c r="B53" t="s">
        <v>11</v>
      </c>
      <c r="C53" t="s">
        <v>200</v>
      </c>
      <c r="D53" t="s">
        <v>221</v>
      </c>
      <c r="Z53">
        <v>1.1000000000000001</v>
      </c>
      <c r="AE53">
        <v>1.5</v>
      </c>
      <c r="AH53">
        <v>1</v>
      </c>
      <c r="AI53">
        <v>1</v>
      </c>
      <c r="AJ53">
        <v>1</v>
      </c>
      <c r="AK53">
        <v>1.1000000000000001</v>
      </c>
      <c r="AL53">
        <v>1.1000000000000001</v>
      </c>
      <c r="AM53">
        <v>1.2</v>
      </c>
      <c r="AN53">
        <v>1.2</v>
      </c>
      <c r="AO53">
        <v>1.1000000000000001</v>
      </c>
      <c r="AP53">
        <v>1.3</v>
      </c>
      <c r="AQ53">
        <v>1.4</v>
      </c>
      <c r="AR53">
        <v>1.2</v>
      </c>
      <c r="AS53">
        <v>1.2</v>
      </c>
      <c r="AT53">
        <v>1.1000000000000001</v>
      </c>
      <c r="AU53">
        <v>1.1000000000000001</v>
      </c>
      <c r="AV53">
        <v>1.1000000000000001</v>
      </c>
      <c r="AW53">
        <v>1.3</v>
      </c>
      <c r="AX53">
        <v>1.4</v>
      </c>
      <c r="AY53">
        <v>1.4</v>
      </c>
      <c r="AZ53">
        <v>1.5</v>
      </c>
      <c r="BA53">
        <v>1.5</v>
      </c>
      <c r="BB53">
        <v>1.3</v>
      </c>
      <c r="BC53">
        <v>1.6</v>
      </c>
      <c r="BD53">
        <v>1.5</v>
      </c>
      <c r="BE53">
        <v>1.5</v>
      </c>
      <c r="BF53">
        <v>1.4</v>
      </c>
      <c r="BG53">
        <v>1.5</v>
      </c>
      <c r="BH53">
        <v>1.5</v>
      </c>
      <c r="BI53">
        <v>1.5</v>
      </c>
      <c r="BJ53">
        <v>1.6</v>
      </c>
      <c r="BK53">
        <v>1.5</v>
      </c>
      <c r="BL53">
        <v>1.6</v>
      </c>
      <c r="BM53">
        <v>1.4</v>
      </c>
      <c r="BN53">
        <v>1.6</v>
      </c>
      <c r="BO53">
        <v>1.7</v>
      </c>
      <c r="BP53">
        <v>1.6</v>
      </c>
      <c r="BQ53">
        <v>1.7</v>
      </c>
    </row>
    <row r="54" spans="1:69" x14ac:dyDescent="0.35">
      <c r="A54" t="s">
        <v>347</v>
      </c>
      <c r="B54" t="s">
        <v>300</v>
      </c>
      <c r="C54" t="s">
        <v>200</v>
      </c>
      <c r="D54" t="s">
        <v>221</v>
      </c>
    </row>
    <row r="55" spans="1:69" x14ac:dyDescent="0.35">
      <c r="A55" t="s">
        <v>99</v>
      </c>
      <c r="B55" t="s">
        <v>257</v>
      </c>
      <c r="C55" t="s">
        <v>200</v>
      </c>
      <c r="D55" t="s">
        <v>221</v>
      </c>
    </row>
    <row r="56" spans="1:69" x14ac:dyDescent="0.35">
      <c r="A56" t="s">
        <v>375</v>
      </c>
      <c r="B56" t="s">
        <v>100</v>
      </c>
      <c r="C56" t="s">
        <v>200</v>
      </c>
      <c r="D56" t="s">
        <v>221</v>
      </c>
    </row>
    <row r="57" spans="1:69" x14ac:dyDescent="0.35">
      <c r="A57" t="s">
        <v>482</v>
      </c>
      <c r="B57" t="s">
        <v>651</v>
      </c>
      <c r="C57" t="s">
        <v>200</v>
      </c>
      <c r="D57" t="s">
        <v>221</v>
      </c>
    </row>
    <row r="58" spans="1:69" x14ac:dyDescent="0.35">
      <c r="A58" t="s">
        <v>448</v>
      </c>
      <c r="B58" t="s">
        <v>258</v>
      </c>
      <c r="C58" t="s">
        <v>200</v>
      </c>
      <c r="D58" t="s">
        <v>221</v>
      </c>
      <c r="AW58">
        <v>3.7</v>
      </c>
      <c r="AX58">
        <v>3.8</v>
      </c>
      <c r="AY58">
        <v>3.7</v>
      </c>
      <c r="AZ58">
        <v>3.7</v>
      </c>
      <c r="BA58">
        <v>3.7</v>
      </c>
      <c r="BB58">
        <v>3.5</v>
      </c>
      <c r="BC58">
        <v>3.6</v>
      </c>
      <c r="BD58">
        <v>3.4</v>
      </c>
      <c r="BE58">
        <v>3.3</v>
      </c>
      <c r="BF58">
        <v>3.1</v>
      </c>
      <c r="BG58">
        <v>3</v>
      </c>
      <c r="BH58">
        <v>3.2</v>
      </c>
      <c r="BI58">
        <v>3.4</v>
      </c>
      <c r="BJ58">
        <v>3.4</v>
      </c>
      <c r="BK58">
        <v>3.5</v>
      </c>
      <c r="BL58">
        <v>3.5</v>
      </c>
      <c r="BM58">
        <v>3.6</v>
      </c>
      <c r="BN58">
        <v>3.5</v>
      </c>
      <c r="BO58">
        <v>3.6</v>
      </c>
      <c r="BP58">
        <v>3.6</v>
      </c>
    </row>
    <row r="59" spans="1:69" x14ac:dyDescent="0.35">
      <c r="A59" t="s">
        <v>354</v>
      </c>
      <c r="B59" t="s">
        <v>668</v>
      </c>
      <c r="C59" t="s">
        <v>200</v>
      </c>
      <c r="D59" t="s">
        <v>221</v>
      </c>
      <c r="AK59">
        <v>5.3</v>
      </c>
      <c r="AL59">
        <v>4.8</v>
      </c>
      <c r="AO59">
        <v>4.2</v>
      </c>
      <c r="AU59">
        <v>4.0999999999999996</v>
      </c>
      <c r="AW59">
        <v>3.6</v>
      </c>
      <c r="AX59">
        <v>3.8</v>
      </c>
      <c r="AY59">
        <v>3.7</v>
      </c>
      <c r="AZ59">
        <v>3.9</v>
      </c>
      <c r="BA59">
        <v>3.9</v>
      </c>
      <c r="BB59">
        <v>3.8</v>
      </c>
      <c r="BC59">
        <v>3.7</v>
      </c>
      <c r="BD59">
        <v>3.7</v>
      </c>
      <c r="BE59">
        <v>3.9</v>
      </c>
      <c r="BF59">
        <v>3.8</v>
      </c>
      <c r="BG59">
        <v>3.9</v>
      </c>
      <c r="BH59">
        <v>3.9</v>
      </c>
      <c r="BI59">
        <v>4</v>
      </c>
      <c r="BJ59">
        <v>4.2</v>
      </c>
      <c r="BK59">
        <v>4.2</v>
      </c>
      <c r="BL59">
        <v>4.2</v>
      </c>
      <c r="BM59">
        <v>4</v>
      </c>
      <c r="BN59">
        <v>3.9</v>
      </c>
      <c r="BO59">
        <v>3.8</v>
      </c>
      <c r="BP59">
        <v>3.8</v>
      </c>
    </row>
    <row r="60" spans="1:69" x14ac:dyDescent="0.35">
      <c r="A60" t="s">
        <v>485</v>
      </c>
      <c r="B60" t="s">
        <v>488</v>
      </c>
      <c r="C60" t="s">
        <v>200</v>
      </c>
      <c r="D60" t="s">
        <v>221</v>
      </c>
      <c r="AJ60">
        <v>3.8</v>
      </c>
      <c r="AK60">
        <v>3.7</v>
      </c>
      <c r="AL60">
        <v>3.8</v>
      </c>
      <c r="AM60">
        <v>3.5</v>
      </c>
      <c r="AN60">
        <v>3.5</v>
      </c>
      <c r="AO60">
        <v>3.8</v>
      </c>
      <c r="AP60">
        <v>3.7</v>
      </c>
      <c r="AQ60">
        <v>3.7</v>
      </c>
      <c r="AR60">
        <v>3.6</v>
      </c>
      <c r="AS60">
        <v>3.6</v>
      </c>
      <c r="AT60">
        <v>3.6</v>
      </c>
      <c r="AU60">
        <v>3.5</v>
      </c>
      <c r="AV60">
        <v>3.5</v>
      </c>
      <c r="AW60">
        <v>3.5</v>
      </c>
      <c r="AX60">
        <v>3.4</v>
      </c>
      <c r="AY60">
        <v>3.4</v>
      </c>
      <c r="AZ60">
        <v>3.5</v>
      </c>
      <c r="BA60">
        <v>3.5</v>
      </c>
      <c r="BB60">
        <v>3.4</v>
      </c>
      <c r="BC60">
        <v>3.5</v>
      </c>
      <c r="BD60">
        <v>3.5</v>
      </c>
      <c r="BE60">
        <v>3.3</v>
      </c>
      <c r="BF60">
        <v>3.4</v>
      </c>
      <c r="BG60">
        <v>3.2</v>
      </c>
      <c r="BH60">
        <v>3.2</v>
      </c>
      <c r="BI60">
        <v>3.2</v>
      </c>
      <c r="BJ60">
        <v>3.1</v>
      </c>
      <c r="BK60">
        <v>3.1</v>
      </c>
      <c r="BL60">
        <v>3.1</v>
      </c>
      <c r="BM60">
        <v>2.9</v>
      </c>
    </row>
    <row r="61" spans="1:69" x14ac:dyDescent="0.35">
      <c r="A61" t="s">
        <v>22</v>
      </c>
      <c r="B61" t="s">
        <v>250</v>
      </c>
      <c r="C61" t="s">
        <v>200</v>
      </c>
      <c r="D61" t="s">
        <v>221</v>
      </c>
      <c r="AU61">
        <v>2.2999999999999998</v>
      </c>
      <c r="BE61">
        <v>1.3</v>
      </c>
      <c r="BF61">
        <v>1.7</v>
      </c>
      <c r="BJ61">
        <v>1.9</v>
      </c>
    </row>
    <row r="62" spans="1:69" x14ac:dyDescent="0.35">
      <c r="A62" t="s">
        <v>690</v>
      </c>
      <c r="B62" t="s">
        <v>265</v>
      </c>
      <c r="C62" t="s">
        <v>200</v>
      </c>
      <c r="D62" t="s">
        <v>221</v>
      </c>
    </row>
    <row r="63" spans="1:69" x14ac:dyDescent="0.35">
      <c r="A63" t="s">
        <v>312</v>
      </c>
      <c r="B63" t="s">
        <v>531</v>
      </c>
      <c r="C63" t="s">
        <v>200</v>
      </c>
      <c r="D63" t="s">
        <v>221</v>
      </c>
      <c r="AF63">
        <v>3.8</v>
      </c>
      <c r="AK63">
        <v>3.9</v>
      </c>
      <c r="AN63">
        <v>4.5999999999999996</v>
      </c>
      <c r="AS63">
        <v>4.5</v>
      </c>
      <c r="AV63">
        <v>4</v>
      </c>
      <c r="AW63">
        <v>4</v>
      </c>
      <c r="AX63">
        <v>4</v>
      </c>
      <c r="AY63">
        <v>4</v>
      </c>
      <c r="AZ63">
        <v>3.9</v>
      </c>
      <c r="BA63">
        <v>3.9</v>
      </c>
      <c r="BB63">
        <v>3.5</v>
      </c>
      <c r="BC63">
        <v>3.7</v>
      </c>
      <c r="BD63">
        <v>3.7</v>
      </c>
      <c r="BE63">
        <v>3.7</v>
      </c>
      <c r="BF63">
        <v>3.6</v>
      </c>
      <c r="BG63">
        <v>3.5</v>
      </c>
      <c r="BH63">
        <v>3.7</v>
      </c>
      <c r="BI63">
        <v>3.7</v>
      </c>
      <c r="BJ63">
        <v>3.7</v>
      </c>
      <c r="BK63">
        <v>3.7</v>
      </c>
      <c r="BL63">
        <v>3.8</v>
      </c>
      <c r="BM63">
        <v>3.7</v>
      </c>
      <c r="BN63">
        <v>3.7</v>
      </c>
      <c r="BO63">
        <v>3.6</v>
      </c>
      <c r="BP63">
        <v>3.6</v>
      </c>
    </row>
    <row r="64" spans="1:69" x14ac:dyDescent="0.35">
      <c r="A64" t="s">
        <v>422</v>
      </c>
      <c r="B64" t="s">
        <v>715</v>
      </c>
      <c r="C64" t="s">
        <v>200</v>
      </c>
      <c r="D64" t="s">
        <v>221</v>
      </c>
      <c r="AE64">
        <v>1.4</v>
      </c>
      <c r="AH64">
        <v>1.7</v>
      </c>
      <c r="AK64">
        <v>1.6</v>
      </c>
      <c r="AO64">
        <v>1.5</v>
      </c>
      <c r="AP64">
        <v>1.3</v>
      </c>
      <c r="AS64">
        <v>1.2</v>
      </c>
      <c r="AT64">
        <v>1.5</v>
      </c>
      <c r="AU64">
        <v>1.3</v>
      </c>
      <c r="AV64">
        <v>1.3</v>
      </c>
      <c r="AW64">
        <v>1.4</v>
      </c>
      <c r="AX64">
        <v>1.5</v>
      </c>
      <c r="AY64">
        <v>1.4</v>
      </c>
      <c r="AZ64">
        <v>1.6</v>
      </c>
      <c r="BA64">
        <v>1.7</v>
      </c>
      <c r="BB64">
        <v>1.7</v>
      </c>
      <c r="BC64">
        <v>1.8</v>
      </c>
      <c r="BD64">
        <v>1.8</v>
      </c>
      <c r="BE64">
        <v>1.9</v>
      </c>
      <c r="BF64">
        <v>1.9</v>
      </c>
      <c r="BG64">
        <v>1.9</v>
      </c>
      <c r="BH64">
        <v>1.9</v>
      </c>
      <c r="BI64">
        <v>1.8</v>
      </c>
      <c r="BJ64">
        <v>2.2999999999999998</v>
      </c>
      <c r="BK64">
        <v>2.2999999999999998</v>
      </c>
      <c r="BL64">
        <v>2.2999999999999998</v>
      </c>
      <c r="BM64">
        <v>2.4</v>
      </c>
      <c r="BN64">
        <v>2.6</v>
      </c>
      <c r="BO64">
        <v>2.6</v>
      </c>
      <c r="BP64">
        <v>2.2999999999999998</v>
      </c>
      <c r="BQ64">
        <v>2.2999999999999998</v>
      </c>
    </row>
    <row r="65" spans="1:69" x14ac:dyDescent="0.35">
      <c r="A65" t="s">
        <v>689</v>
      </c>
      <c r="B65" t="s">
        <v>31</v>
      </c>
      <c r="C65" t="s">
        <v>200</v>
      </c>
      <c r="D65" t="s">
        <v>221</v>
      </c>
      <c r="AG65">
        <v>2.8</v>
      </c>
      <c r="AN65">
        <v>2.9</v>
      </c>
      <c r="BD65">
        <v>4</v>
      </c>
    </row>
    <row r="66" spans="1:69" x14ac:dyDescent="0.35">
      <c r="A66" t="s">
        <v>213</v>
      </c>
      <c r="B66" t="s">
        <v>241</v>
      </c>
      <c r="C66" t="s">
        <v>200</v>
      </c>
      <c r="D66" t="s">
        <v>221</v>
      </c>
    </row>
    <row r="67" spans="1:69" x14ac:dyDescent="0.35">
      <c r="A67" t="s">
        <v>693</v>
      </c>
      <c r="B67" t="s">
        <v>363</v>
      </c>
      <c r="C67" t="s">
        <v>200</v>
      </c>
      <c r="D67" t="s">
        <v>221</v>
      </c>
    </row>
    <row r="68" spans="1:69" x14ac:dyDescent="0.35">
      <c r="A68" t="s">
        <v>490</v>
      </c>
      <c r="B68" t="s">
        <v>586</v>
      </c>
      <c r="C68" t="s">
        <v>200</v>
      </c>
      <c r="D68" t="s">
        <v>221</v>
      </c>
    </row>
    <row r="69" spans="1:69" x14ac:dyDescent="0.35">
      <c r="A69" t="s">
        <v>279</v>
      </c>
      <c r="B69" t="s">
        <v>328</v>
      </c>
      <c r="C69" t="s">
        <v>200</v>
      </c>
      <c r="D69" t="s">
        <v>221</v>
      </c>
    </row>
    <row r="70" spans="1:69" x14ac:dyDescent="0.35">
      <c r="A70" t="s">
        <v>400</v>
      </c>
      <c r="B70" t="s">
        <v>585</v>
      </c>
      <c r="C70" t="s">
        <v>200</v>
      </c>
      <c r="D70" t="s">
        <v>221</v>
      </c>
    </row>
    <row r="71" spans="1:69" x14ac:dyDescent="0.35">
      <c r="A71" t="s">
        <v>251</v>
      </c>
      <c r="B71" t="s">
        <v>111</v>
      </c>
      <c r="C71" t="s">
        <v>200</v>
      </c>
      <c r="D71" t="s">
        <v>221</v>
      </c>
      <c r="AF71">
        <v>1</v>
      </c>
      <c r="AM71">
        <v>0.9</v>
      </c>
      <c r="AN71">
        <v>1.1000000000000001</v>
      </c>
      <c r="AQ71">
        <v>1.3</v>
      </c>
      <c r="AR71">
        <v>0.8</v>
      </c>
      <c r="AS71">
        <v>1</v>
      </c>
      <c r="AV71">
        <v>1</v>
      </c>
      <c r="AW71">
        <v>1</v>
      </c>
      <c r="AX71">
        <v>1.1000000000000001</v>
      </c>
      <c r="AY71">
        <v>1.3</v>
      </c>
      <c r="AZ71">
        <v>1.1000000000000001</v>
      </c>
      <c r="BA71">
        <v>1.3</v>
      </c>
      <c r="BB71">
        <v>1.4</v>
      </c>
      <c r="BC71">
        <v>1.4</v>
      </c>
      <c r="BD71">
        <v>1.5</v>
      </c>
      <c r="BE71">
        <v>1.5</v>
      </c>
      <c r="BF71">
        <v>1.6</v>
      </c>
      <c r="BG71">
        <v>1.7</v>
      </c>
      <c r="BH71">
        <v>1.6</v>
      </c>
      <c r="BI71">
        <v>1.6</v>
      </c>
      <c r="BJ71">
        <v>1.6</v>
      </c>
      <c r="BK71">
        <v>1.6</v>
      </c>
      <c r="BL71">
        <v>1.6</v>
      </c>
      <c r="BM71">
        <v>1.3</v>
      </c>
      <c r="BN71">
        <v>1.6</v>
      </c>
      <c r="BO71">
        <v>1.7</v>
      </c>
      <c r="BP71">
        <v>1.6</v>
      </c>
      <c r="BQ71">
        <v>1.5</v>
      </c>
    </row>
    <row r="72" spans="1:69" x14ac:dyDescent="0.35">
      <c r="A72" t="s">
        <v>263</v>
      </c>
      <c r="B72" t="s">
        <v>672</v>
      </c>
      <c r="C72" t="s">
        <v>200</v>
      </c>
      <c r="D72" t="s">
        <v>221</v>
      </c>
      <c r="AI72">
        <v>3.8</v>
      </c>
      <c r="AN72">
        <v>4.3</v>
      </c>
      <c r="AR72">
        <v>4.0999999999999996</v>
      </c>
      <c r="AW72">
        <v>3.9</v>
      </c>
      <c r="BA72">
        <v>3.9</v>
      </c>
      <c r="BC72">
        <v>4.0999999999999996</v>
      </c>
      <c r="BE72">
        <v>4.3</v>
      </c>
      <c r="BH72">
        <v>3.9</v>
      </c>
      <c r="BJ72">
        <v>3.8</v>
      </c>
      <c r="BL72">
        <v>3.8</v>
      </c>
      <c r="BN72">
        <v>4.2</v>
      </c>
    </row>
    <row r="73" spans="1:69" x14ac:dyDescent="0.35">
      <c r="A73" t="s">
        <v>144</v>
      </c>
      <c r="B73" t="s">
        <v>410</v>
      </c>
      <c r="C73" t="s">
        <v>200</v>
      </c>
      <c r="D73" t="s">
        <v>221</v>
      </c>
    </row>
    <row r="74" spans="1:69" x14ac:dyDescent="0.35">
      <c r="A74" t="s">
        <v>725</v>
      </c>
      <c r="B74" t="s">
        <v>172</v>
      </c>
      <c r="C74" t="s">
        <v>200</v>
      </c>
      <c r="D74" t="s">
        <v>221</v>
      </c>
    </row>
    <row r="75" spans="1:69" x14ac:dyDescent="0.35">
      <c r="A75" t="s">
        <v>82</v>
      </c>
      <c r="B75" t="s">
        <v>256</v>
      </c>
      <c r="C75" t="s">
        <v>200</v>
      </c>
      <c r="D75" t="s">
        <v>221</v>
      </c>
      <c r="Y75">
        <v>2.7</v>
      </c>
      <c r="AD75">
        <v>2.8</v>
      </c>
      <c r="AI75">
        <v>3</v>
      </c>
      <c r="AL75">
        <v>2.2999999999999998</v>
      </c>
      <c r="AM75">
        <v>2.2999999999999998</v>
      </c>
      <c r="AN75">
        <v>2.2999999999999998</v>
      </c>
      <c r="AO75">
        <v>2</v>
      </c>
      <c r="AP75">
        <v>2.2999999999999998</v>
      </c>
      <c r="AQ75">
        <v>2.4</v>
      </c>
      <c r="AR75">
        <v>2.7</v>
      </c>
      <c r="AS75">
        <v>2.6</v>
      </c>
      <c r="AV75">
        <v>2.6</v>
      </c>
      <c r="AW75">
        <v>2.5</v>
      </c>
      <c r="AX75">
        <v>2.5</v>
      </c>
      <c r="AY75">
        <v>2.2999999999999998</v>
      </c>
      <c r="AZ75">
        <v>2.4</v>
      </c>
      <c r="BA75">
        <v>2.2999999999999998</v>
      </c>
      <c r="BB75">
        <v>2.1</v>
      </c>
      <c r="BC75">
        <v>2.1</v>
      </c>
      <c r="BD75">
        <v>1.9</v>
      </c>
      <c r="BE75">
        <v>2</v>
      </c>
      <c r="BF75">
        <v>1.8</v>
      </c>
      <c r="BG75">
        <v>1.8</v>
      </c>
      <c r="BH75">
        <v>1.9</v>
      </c>
      <c r="BI75">
        <v>1.8</v>
      </c>
      <c r="BJ75">
        <v>2.1</v>
      </c>
      <c r="BK75">
        <v>2.1</v>
      </c>
      <c r="BL75">
        <v>2</v>
      </c>
      <c r="BM75">
        <v>1.9</v>
      </c>
      <c r="BN75">
        <v>2.2000000000000002</v>
      </c>
      <c r="BO75">
        <v>2.2999999999999998</v>
      </c>
      <c r="BP75">
        <v>2.2000000000000002</v>
      </c>
    </row>
    <row r="76" spans="1:69" x14ac:dyDescent="0.35">
      <c r="A76" t="s">
        <v>516</v>
      </c>
      <c r="B76" t="s">
        <v>657</v>
      </c>
      <c r="C76" t="s">
        <v>200</v>
      </c>
      <c r="D76" t="s">
        <v>221</v>
      </c>
      <c r="AL76">
        <v>2.7</v>
      </c>
      <c r="AN76">
        <v>3.4</v>
      </c>
      <c r="AQ76">
        <v>3</v>
      </c>
      <c r="AS76">
        <v>2.7</v>
      </c>
      <c r="AT76">
        <v>2.7</v>
      </c>
      <c r="AU76">
        <v>2.7</v>
      </c>
      <c r="AV76">
        <v>2</v>
      </c>
      <c r="AW76">
        <v>2.5</v>
      </c>
      <c r="AX76">
        <v>2.7</v>
      </c>
      <c r="AY76">
        <v>2.8</v>
      </c>
      <c r="AZ76">
        <v>3</v>
      </c>
      <c r="BA76">
        <v>2.9</v>
      </c>
      <c r="BB76">
        <v>2.8</v>
      </c>
      <c r="BC76">
        <v>2.5</v>
      </c>
      <c r="BD76">
        <v>2.6</v>
      </c>
      <c r="BE76">
        <v>2.6</v>
      </c>
      <c r="BF76">
        <v>2.4</v>
      </c>
      <c r="BG76">
        <v>2.4</v>
      </c>
      <c r="BH76">
        <v>2.7</v>
      </c>
      <c r="BI76">
        <v>2.9</v>
      </c>
      <c r="BJ76">
        <v>3</v>
      </c>
      <c r="BK76">
        <v>3.1</v>
      </c>
      <c r="BL76">
        <v>3</v>
      </c>
      <c r="BM76">
        <v>3</v>
      </c>
      <c r="BN76">
        <v>3.1</v>
      </c>
      <c r="BO76">
        <v>2.8</v>
      </c>
      <c r="BP76">
        <v>3.1</v>
      </c>
    </row>
    <row r="77" spans="1:69" x14ac:dyDescent="0.35">
      <c r="A77" t="s">
        <v>159</v>
      </c>
      <c r="B77" t="s">
        <v>102</v>
      </c>
      <c r="C77" t="s">
        <v>200</v>
      </c>
      <c r="D77" t="s">
        <v>221</v>
      </c>
      <c r="AN77">
        <v>2.6</v>
      </c>
      <c r="AR77">
        <v>3.9</v>
      </c>
      <c r="AW77">
        <v>4.0999999999999996</v>
      </c>
      <c r="BC77">
        <v>3.2</v>
      </c>
      <c r="BH77">
        <v>2.9</v>
      </c>
      <c r="BN77">
        <v>3.5</v>
      </c>
    </row>
    <row r="78" spans="1:69" x14ac:dyDescent="0.35">
      <c r="A78" t="s">
        <v>42</v>
      </c>
      <c r="B78" t="s">
        <v>704</v>
      </c>
      <c r="C78" t="s">
        <v>200</v>
      </c>
      <c r="D78" t="s">
        <v>221</v>
      </c>
    </row>
    <row r="79" spans="1:69" x14ac:dyDescent="0.35">
      <c r="A79" t="s">
        <v>222</v>
      </c>
      <c r="B79" t="s">
        <v>359</v>
      </c>
      <c r="C79" t="s">
        <v>200</v>
      </c>
      <c r="D79" t="s">
        <v>221</v>
      </c>
    </row>
    <row r="80" spans="1:69" x14ac:dyDescent="0.35">
      <c r="A80" t="s">
        <v>54</v>
      </c>
      <c r="B80" t="s">
        <v>27</v>
      </c>
      <c r="C80" t="s">
        <v>200</v>
      </c>
      <c r="D80" t="s">
        <v>221</v>
      </c>
      <c r="AF80">
        <v>4.7</v>
      </c>
      <c r="AJ80">
        <v>4.7</v>
      </c>
      <c r="AN80">
        <v>4.8</v>
      </c>
      <c r="AS80">
        <v>4.0999999999999996</v>
      </c>
      <c r="AV80">
        <v>3.9</v>
      </c>
      <c r="AW80">
        <v>3.9</v>
      </c>
      <c r="AX80">
        <v>4</v>
      </c>
      <c r="AY80">
        <v>3.8</v>
      </c>
      <c r="AZ80">
        <v>3.8</v>
      </c>
      <c r="BA80">
        <v>3.8</v>
      </c>
      <c r="BB80">
        <v>3.8</v>
      </c>
      <c r="BC80">
        <v>3.7</v>
      </c>
      <c r="BD80">
        <v>3.8</v>
      </c>
      <c r="BE80">
        <v>3.9</v>
      </c>
      <c r="BF80">
        <v>3.8</v>
      </c>
      <c r="BG80">
        <v>3.9</v>
      </c>
      <c r="BH80">
        <v>3.8</v>
      </c>
      <c r="BI80">
        <v>3.9</v>
      </c>
      <c r="BJ80">
        <v>3.8</v>
      </c>
      <c r="BK80">
        <v>3.8</v>
      </c>
      <c r="BL80">
        <v>3.8</v>
      </c>
      <c r="BM80">
        <v>3.9</v>
      </c>
      <c r="BN80">
        <v>3.8</v>
      </c>
      <c r="BO80">
        <v>3.8</v>
      </c>
      <c r="BP80">
        <v>3.7</v>
      </c>
    </row>
    <row r="81" spans="1:69" x14ac:dyDescent="0.35">
      <c r="A81" t="s">
        <v>149</v>
      </c>
      <c r="B81" t="s">
        <v>392</v>
      </c>
      <c r="C81" t="s">
        <v>200</v>
      </c>
      <c r="D81" t="s">
        <v>221</v>
      </c>
      <c r="AU81">
        <v>2.7</v>
      </c>
      <c r="BA81">
        <v>2.7</v>
      </c>
      <c r="BF81">
        <v>3.1</v>
      </c>
      <c r="BL81">
        <v>3.5</v>
      </c>
    </row>
    <row r="82" spans="1:69" x14ac:dyDescent="0.35">
      <c r="A82" t="s">
        <v>381</v>
      </c>
      <c r="B82" t="s">
        <v>626</v>
      </c>
      <c r="C82" t="s">
        <v>200</v>
      </c>
      <c r="D82" t="s">
        <v>221</v>
      </c>
      <c r="O82">
        <v>2.9</v>
      </c>
      <c r="T82">
        <v>2.8</v>
      </c>
      <c r="X82">
        <v>3</v>
      </c>
      <c r="AC82">
        <v>3</v>
      </c>
      <c r="AI82">
        <v>3.3</v>
      </c>
      <c r="AO82">
        <v>3</v>
      </c>
      <c r="AP82">
        <v>3.1</v>
      </c>
      <c r="AQ82">
        <v>3.2</v>
      </c>
      <c r="AR82">
        <v>3.1</v>
      </c>
      <c r="AS82">
        <v>3.1</v>
      </c>
      <c r="AT82">
        <v>3.1</v>
      </c>
      <c r="AU82">
        <v>3.3</v>
      </c>
      <c r="AV82">
        <v>3.3</v>
      </c>
      <c r="AW82">
        <v>3.4</v>
      </c>
      <c r="AX82">
        <v>3.5</v>
      </c>
      <c r="AY82">
        <v>3.4</v>
      </c>
      <c r="AZ82">
        <v>3.3</v>
      </c>
      <c r="BA82">
        <v>3.2</v>
      </c>
      <c r="BB82">
        <v>3</v>
      </c>
      <c r="BC82">
        <v>3.1</v>
      </c>
      <c r="BD82">
        <v>3.1</v>
      </c>
      <c r="BE82">
        <v>3.1</v>
      </c>
      <c r="BF82">
        <v>3.2</v>
      </c>
      <c r="BG82">
        <v>3.2</v>
      </c>
      <c r="BH82">
        <v>3.1</v>
      </c>
      <c r="BI82">
        <v>3.2</v>
      </c>
      <c r="BJ82">
        <v>3.2</v>
      </c>
      <c r="BK82">
        <v>3.2</v>
      </c>
      <c r="BL82">
        <v>3.1</v>
      </c>
      <c r="BM82">
        <v>3.1</v>
      </c>
      <c r="BN82">
        <v>2.9</v>
      </c>
      <c r="BO82">
        <v>3</v>
      </c>
      <c r="BP82">
        <v>3</v>
      </c>
    </row>
    <row r="83" spans="1:69" x14ac:dyDescent="0.35">
      <c r="A83" t="s">
        <v>345</v>
      </c>
      <c r="B83" t="s">
        <v>473</v>
      </c>
      <c r="C83" t="s">
        <v>200</v>
      </c>
      <c r="D83" t="s">
        <v>221</v>
      </c>
    </row>
    <row r="84" spans="1:69" x14ac:dyDescent="0.35">
      <c r="A84" t="s">
        <v>389</v>
      </c>
      <c r="B84" t="s">
        <v>286</v>
      </c>
      <c r="C84" t="s">
        <v>200</v>
      </c>
      <c r="D84" t="s">
        <v>221</v>
      </c>
      <c r="AX84">
        <v>2.2999999999999998</v>
      </c>
      <c r="BF84">
        <v>1.9</v>
      </c>
    </row>
    <row r="85" spans="1:69" x14ac:dyDescent="0.35">
      <c r="A85" t="s">
        <v>501</v>
      </c>
      <c r="B85" t="s">
        <v>373</v>
      </c>
      <c r="C85" t="s">
        <v>200</v>
      </c>
      <c r="D85" t="s">
        <v>221</v>
      </c>
      <c r="AX85">
        <v>2.2999999999999998</v>
      </c>
      <c r="BJ85">
        <v>2.2000000000000002</v>
      </c>
    </row>
    <row r="86" spans="1:69" x14ac:dyDescent="0.35">
      <c r="A86" t="s">
        <v>669</v>
      </c>
      <c r="B86" t="s">
        <v>587</v>
      </c>
      <c r="C86" t="s">
        <v>200</v>
      </c>
      <c r="D86" t="s">
        <v>221</v>
      </c>
      <c r="M86">
        <v>4.3</v>
      </c>
      <c r="N86">
        <v>4.0999999999999996</v>
      </c>
      <c r="O86">
        <v>4.2</v>
      </c>
      <c r="P86">
        <v>4</v>
      </c>
      <c r="Q86">
        <v>3.8</v>
      </c>
      <c r="R86">
        <v>4.0999999999999996</v>
      </c>
      <c r="S86">
        <v>3.9</v>
      </c>
      <c r="T86">
        <v>4</v>
      </c>
      <c r="U86">
        <v>4.0999999999999996</v>
      </c>
      <c r="V86">
        <v>4.0999999999999996</v>
      </c>
      <c r="W86">
        <v>4</v>
      </c>
      <c r="X86">
        <v>4.0999999999999996</v>
      </c>
      <c r="Y86">
        <v>3.9</v>
      </c>
      <c r="Z86">
        <v>3.7</v>
      </c>
      <c r="AA86">
        <v>3.7</v>
      </c>
      <c r="AB86">
        <v>3.7</v>
      </c>
      <c r="AC86">
        <v>3.7</v>
      </c>
      <c r="AD86">
        <v>3.6</v>
      </c>
      <c r="AE86">
        <v>3.4</v>
      </c>
      <c r="AF86">
        <v>3.3</v>
      </c>
      <c r="AG86">
        <v>3.2</v>
      </c>
      <c r="AH86">
        <v>3.1</v>
      </c>
      <c r="AI86">
        <v>2.9</v>
      </c>
      <c r="AJ86">
        <v>2.9</v>
      </c>
      <c r="AK86">
        <v>2.9</v>
      </c>
      <c r="AL86">
        <v>2.9</v>
      </c>
      <c r="AM86">
        <v>2.9</v>
      </c>
      <c r="AN86">
        <v>2.9</v>
      </c>
      <c r="AO86">
        <v>2.9</v>
      </c>
      <c r="AP86">
        <v>2.9</v>
      </c>
      <c r="AQ86">
        <v>2.8</v>
      </c>
      <c r="AR86">
        <v>2.8</v>
      </c>
      <c r="AS86">
        <v>2.7</v>
      </c>
      <c r="AT86">
        <v>2.8</v>
      </c>
      <c r="AU86">
        <v>2.9</v>
      </c>
      <c r="AV86">
        <v>2.9</v>
      </c>
      <c r="AW86">
        <v>3</v>
      </c>
      <c r="AX86">
        <v>2.9</v>
      </c>
      <c r="AY86">
        <v>2.9</v>
      </c>
      <c r="AZ86">
        <v>2.9</v>
      </c>
      <c r="BA86">
        <v>2.8</v>
      </c>
      <c r="BB86">
        <v>2.9</v>
      </c>
      <c r="BC86">
        <v>3.1</v>
      </c>
      <c r="BD86">
        <v>3.2</v>
      </c>
      <c r="BE86">
        <v>3.1</v>
      </c>
      <c r="BF86">
        <v>3.2</v>
      </c>
      <c r="BG86">
        <v>3.1</v>
      </c>
      <c r="BH86">
        <v>3.1</v>
      </c>
      <c r="BI86">
        <v>3</v>
      </c>
      <c r="BJ86">
        <v>3</v>
      </c>
      <c r="BK86">
        <v>2.9</v>
      </c>
      <c r="BL86">
        <v>2.9</v>
      </c>
      <c r="BM86">
        <v>3.1</v>
      </c>
      <c r="BN86">
        <v>3</v>
      </c>
    </row>
    <row r="87" spans="1:69" x14ac:dyDescent="0.35">
      <c r="A87" t="s">
        <v>620</v>
      </c>
      <c r="B87" t="s">
        <v>468</v>
      </c>
      <c r="C87" t="s">
        <v>200</v>
      </c>
      <c r="D87" t="s">
        <v>221</v>
      </c>
      <c r="AO87">
        <v>2.2999999999999998</v>
      </c>
      <c r="AP87">
        <v>1.8</v>
      </c>
      <c r="AQ87">
        <v>1.7</v>
      </c>
      <c r="AR87">
        <v>1.9</v>
      </c>
      <c r="AS87">
        <v>1.8</v>
      </c>
      <c r="AT87">
        <v>2</v>
      </c>
      <c r="AU87">
        <v>2.2999999999999998</v>
      </c>
      <c r="AV87">
        <v>2.2999999999999998</v>
      </c>
      <c r="AW87">
        <v>2.2999999999999998</v>
      </c>
      <c r="AX87">
        <v>2.2999999999999998</v>
      </c>
      <c r="AY87">
        <v>2.2999999999999998</v>
      </c>
      <c r="AZ87">
        <v>2.2999999999999998</v>
      </c>
      <c r="BA87">
        <v>2.2999999999999998</v>
      </c>
      <c r="BB87">
        <v>2.2999999999999998</v>
      </c>
      <c r="BC87">
        <v>2.1</v>
      </c>
      <c r="BD87">
        <v>2</v>
      </c>
      <c r="BE87">
        <v>2.2000000000000002</v>
      </c>
      <c r="BF87">
        <v>2.2999999999999998</v>
      </c>
      <c r="BG87">
        <v>2.4</v>
      </c>
      <c r="BH87">
        <v>2.6</v>
      </c>
      <c r="BI87">
        <v>2.6</v>
      </c>
      <c r="BJ87">
        <v>2.2999999999999998</v>
      </c>
      <c r="BK87">
        <v>2.4</v>
      </c>
      <c r="BL87">
        <v>2.6</v>
      </c>
      <c r="BM87">
        <v>2.7</v>
      </c>
      <c r="BN87">
        <v>2.7</v>
      </c>
      <c r="BO87">
        <v>2.6</v>
      </c>
      <c r="BP87">
        <v>2.7</v>
      </c>
      <c r="BQ87">
        <v>2.9</v>
      </c>
    </row>
    <row r="88" spans="1:69" x14ac:dyDescent="0.35">
      <c r="A88" t="s">
        <v>170</v>
      </c>
      <c r="B88" t="s">
        <v>551</v>
      </c>
      <c r="C88" t="s">
        <v>200</v>
      </c>
      <c r="D88" t="s">
        <v>221</v>
      </c>
      <c r="AF88">
        <v>2.8</v>
      </c>
      <c r="AG88">
        <v>2.9</v>
      </c>
      <c r="AJ88">
        <v>2.6</v>
      </c>
      <c r="AQ88">
        <v>2.2000000000000002</v>
      </c>
      <c r="AX88">
        <v>1.9</v>
      </c>
      <c r="BE88">
        <v>2</v>
      </c>
      <c r="BI88">
        <v>1.6</v>
      </c>
    </row>
    <row r="89" spans="1:69" x14ac:dyDescent="0.35">
      <c r="A89" t="s">
        <v>132</v>
      </c>
      <c r="B89" t="s">
        <v>683</v>
      </c>
      <c r="C89" t="s">
        <v>200</v>
      </c>
      <c r="D89" t="s">
        <v>221</v>
      </c>
    </row>
    <row r="90" spans="1:69" x14ac:dyDescent="0.35">
      <c r="A90" t="s">
        <v>576</v>
      </c>
      <c r="B90" t="s">
        <v>571</v>
      </c>
      <c r="C90" t="s">
        <v>200</v>
      </c>
      <c r="D90" t="s">
        <v>221</v>
      </c>
      <c r="AJ90">
        <v>1.8</v>
      </c>
      <c r="AM90">
        <v>2.1</v>
      </c>
      <c r="AU90">
        <v>2.2999999999999998</v>
      </c>
      <c r="AZ90">
        <v>2.5</v>
      </c>
      <c r="BE90">
        <v>3</v>
      </c>
      <c r="BK90">
        <v>3.5</v>
      </c>
    </row>
    <row r="91" spans="1:69" x14ac:dyDescent="0.35">
      <c r="A91" t="s">
        <v>26</v>
      </c>
      <c r="B91" t="s">
        <v>86</v>
      </c>
      <c r="C91" t="s">
        <v>200</v>
      </c>
      <c r="D91" t="s">
        <v>221</v>
      </c>
      <c r="AQ91">
        <v>1.6</v>
      </c>
      <c r="AV91">
        <v>1.8</v>
      </c>
      <c r="BC91">
        <v>2.2000000000000002</v>
      </c>
      <c r="BH91">
        <v>3</v>
      </c>
      <c r="BM91">
        <v>2.6</v>
      </c>
    </row>
    <row r="92" spans="1:69" x14ac:dyDescent="0.35">
      <c r="A92" t="s">
        <v>581</v>
      </c>
      <c r="B92" t="s">
        <v>163</v>
      </c>
      <c r="C92" t="s">
        <v>200</v>
      </c>
      <c r="D92" t="s">
        <v>221</v>
      </c>
      <c r="AJ92">
        <v>0.6</v>
      </c>
      <c r="AL92">
        <v>2.2000000000000002</v>
      </c>
      <c r="AU92">
        <v>2.9</v>
      </c>
      <c r="BC92">
        <v>1.7</v>
      </c>
      <c r="BK92">
        <v>3.3</v>
      </c>
      <c r="BN92">
        <v>3.4</v>
      </c>
    </row>
    <row r="93" spans="1:69" x14ac:dyDescent="0.35">
      <c r="A93" t="s">
        <v>645</v>
      </c>
      <c r="B93" t="s">
        <v>234</v>
      </c>
      <c r="C93" t="s">
        <v>200</v>
      </c>
      <c r="D93" t="s">
        <v>221</v>
      </c>
      <c r="BO93">
        <v>2.6</v>
      </c>
    </row>
    <row r="94" spans="1:69" x14ac:dyDescent="0.35">
      <c r="A94" t="s">
        <v>691</v>
      </c>
      <c r="B94" t="s">
        <v>545</v>
      </c>
      <c r="C94" t="s">
        <v>200</v>
      </c>
      <c r="D94" t="s">
        <v>221</v>
      </c>
      <c r="AN94">
        <v>2.1</v>
      </c>
      <c r="AS94">
        <v>2.7</v>
      </c>
      <c r="AU94">
        <v>2.6</v>
      </c>
      <c r="AV94">
        <v>2.8</v>
      </c>
      <c r="AW94">
        <v>2.6</v>
      </c>
      <c r="AX94">
        <v>2.6</v>
      </c>
      <c r="AY94">
        <v>2.5</v>
      </c>
      <c r="AZ94">
        <v>2.6</v>
      </c>
      <c r="BA94">
        <v>2.6</v>
      </c>
      <c r="BB94">
        <v>2.6</v>
      </c>
      <c r="BC94">
        <v>2.4</v>
      </c>
      <c r="BD94">
        <v>2</v>
      </c>
      <c r="BE94">
        <v>1.9</v>
      </c>
      <c r="BF94">
        <v>2</v>
      </c>
      <c r="BG94">
        <v>2</v>
      </c>
      <c r="BH94">
        <v>1.9</v>
      </c>
      <c r="BI94">
        <v>2.2000000000000002</v>
      </c>
      <c r="BJ94">
        <v>2.4</v>
      </c>
      <c r="BK94">
        <v>2.7</v>
      </c>
      <c r="BL94">
        <v>2.5</v>
      </c>
      <c r="BM94">
        <v>2.4</v>
      </c>
      <c r="BN94">
        <v>2.6</v>
      </c>
      <c r="BO94">
        <v>2.7</v>
      </c>
      <c r="BP94">
        <v>2.7</v>
      </c>
    </row>
    <row r="95" spans="1:69" x14ac:dyDescent="0.35">
      <c r="A95" t="s">
        <v>76</v>
      </c>
      <c r="B95" t="s">
        <v>599</v>
      </c>
      <c r="C95" t="s">
        <v>200</v>
      </c>
      <c r="D95" t="s">
        <v>221</v>
      </c>
      <c r="BK95">
        <v>2.1</v>
      </c>
    </row>
    <row r="96" spans="1:69" x14ac:dyDescent="0.35">
      <c r="A96" t="s">
        <v>526</v>
      </c>
      <c r="B96" t="s">
        <v>663</v>
      </c>
      <c r="C96" t="s">
        <v>200</v>
      </c>
      <c r="D96" t="s">
        <v>221</v>
      </c>
    </row>
    <row r="97" spans="1:69" x14ac:dyDescent="0.35">
      <c r="A97" t="s">
        <v>268</v>
      </c>
      <c r="B97" t="s">
        <v>140</v>
      </c>
      <c r="C97" t="s">
        <v>200</v>
      </c>
      <c r="D97" t="s">
        <v>221</v>
      </c>
      <c r="AE97">
        <v>1.1000000000000001</v>
      </c>
      <c r="AH97">
        <v>0.7</v>
      </c>
      <c r="AQ97">
        <v>1.3</v>
      </c>
      <c r="AS97">
        <v>1.2</v>
      </c>
      <c r="AY97">
        <v>1.1000000000000001</v>
      </c>
      <c r="BG97">
        <v>1.7</v>
      </c>
      <c r="BP97">
        <v>1.6</v>
      </c>
    </row>
    <row r="98" spans="1:69" x14ac:dyDescent="0.35">
      <c r="A98" t="s">
        <v>735</v>
      </c>
      <c r="B98" t="s">
        <v>41</v>
      </c>
      <c r="C98" t="s">
        <v>200</v>
      </c>
      <c r="D98" t="s">
        <v>221</v>
      </c>
    </row>
    <row r="99" spans="1:69" x14ac:dyDescent="0.35">
      <c r="A99" t="s">
        <v>365</v>
      </c>
      <c r="B99" t="s">
        <v>533</v>
      </c>
      <c r="C99" t="s">
        <v>200</v>
      </c>
      <c r="D99" t="s">
        <v>221</v>
      </c>
      <c r="AK99">
        <v>2</v>
      </c>
      <c r="AQ99">
        <v>1.1000000000000001</v>
      </c>
    </row>
    <row r="100" spans="1:69" x14ac:dyDescent="0.35">
      <c r="A100" t="s">
        <v>353</v>
      </c>
      <c r="B100" t="s">
        <v>534</v>
      </c>
      <c r="C100" t="s">
        <v>200</v>
      </c>
      <c r="D100" t="s">
        <v>221</v>
      </c>
    </row>
    <row r="101" spans="1:69" x14ac:dyDescent="0.35">
      <c r="A101" t="s">
        <v>274</v>
      </c>
      <c r="B101" t="s">
        <v>342</v>
      </c>
      <c r="C101" t="s">
        <v>200</v>
      </c>
      <c r="D101" t="s">
        <v>221</v>
      </c>
    </row>
    <row r="102" spans="1:69" x14ac:dyDescent="0.35">
      <c r="A102" t="s">
        <v>552</v>
      </c>
      <c r="B102" t="s">
        <v>65</v>
      </c>
      <c r="C102" t="s">
        <v>200</v>
      </c>
      <c r="D102" t="s">
        <v>221</v>
      </c>
      <c r="AH102">
        <v>1.1000000000000001</v>
      </c>
      <c r="AI102">
        <v>1.1000000000000001</v>
      </c>
      <c r="AJ102">
        <v>1.3</v>
      </c>
      <c r="AK102">
        <v>1.4</v>
      </c>
      <c r="AL102">
        <v>1.2</v>
      </c>
      <c r="AM102">
        <v>1</v>
      </c>
      <c r="AN102">
        <v>1</v>
      </c>
      <c r="AO102">
        <v>0.9</v>
      </c>
      <c r="AP102">
        <v>1.2</v>
      </c>
      <c r="AQ102">
        <v>0.6</v>
      </c>
      <c r="AR102">
        <v>0.6</v>
      </c>
      <c r="AT102">
        <v>0.8</v>
      </c>
      <c r="AU102">
        <v>0.8</v>
      </c>
      <c r="AV102">
        <v>0.7</v>
      </c>
      <c r="AW102">
        <v>0.7</v>
      </c>
      <c r="AX102">
        <v>0.5</v>
      </c>
      <c r="AY102">
        <v>0.6</v>
      </c>
      <c r="AZ102">
        <v>0.9</v>
      </c>
      <c r="BA102">
        <v>0.9</v>
      </c>
      <c r="BB102">
        <v>1.1000000000000001</v>
      </c>
      <c r="BC102">
        <v>1.1000000000000001</v>
      </c>
      <c r="BD102">
        <v>1</v>
      </c>
      <c r="BE102">
        <v>1</v>
      </c>
      <c r="BF102">
        <v>1.2</v>
      </c>
      <c r="BG102">
        <v>1.3</v>
      </c>
      <c r="BH102">
        <v>1.3</v>
      </c>
      <c r="BI102">
        <v>1.1000000000000001</v>
      </c>
      <c r="BJ102">
        <v>1.2</v>
      </c>
      <c r="BK102">
        <v>1.1000000000000001</v>
      </c>
      <c r="BL102">
        <v>1.2</v>
      </c>
      <c r="BP102">
        <v>1.1000000000000001</v>
      </c>
      <c r="BQ102">
        <v>1.2</v>
      </c>
    </row>
    <row r="103" spans="1:69" x14ac:dyDescent="0.35">
      <c r="A103" t="s">
        <v>684</v>
      </c>
      <c r="B103" t="s">
        <v>160</v>
      </c>
      <c r="C103" t="s">
        <v>200</v>
      </c>
      <c r="D103" t="s">
        <v>221</v>
      </c>
    </row>
    <row r="104" spans="1:69" x14ac:dyDescent="0.35">
      <c r="A104" t="s">
        <v>521</v>
      </c>
      <c r="B104" t="s">
        <v>625</v>
      </c>
      <c r="C104" t="s">
        <v>200</v>
      </c>
      <c r="D104" t="s">
        <v>221</v>
      </c>
      <c r="AG104">
        <v>4.3</v>
      </c>
      <c r="AQ104">
        <v>3.5</v>
      </c>
      <c r="AR104">
        <v>3.9</v>
      </c>
      <c r="AS104">
        <v>3.5</v>
      </c>
      <c r="AT104">
        <v>3.5</v>
      </c>
      <c r="AW104">
        <v>3.5</v>
      </c>
      <c r="BA104">
        <v>3.3</v>
      </c>
      <c r="BB104">
        <v>2.5</v>
      </c>
      <c r="BC104">
        <v>2.4</v>
      </c>
      <c r="BD104">
        <v>2.5</v>
      </c>
      <c r="BE104">
        <v>2.5</v>
      </c>
      <c r="BF104">
        <v>2.5</v>
      </c>
      <c r="BG104">
        <v>2.6</v>
      </c>
      <c r="BH104">
        <v>2.7</v>
      </c>
      <c r="BI104">
        <v>2.7</v>
      </c>
      <c r="BJ104">
        <v>2.7</v>
      </c>
      <c r="BK104">
        <v>2.9</v>
      </c>
      <c r="BL104">
        <v>3</v>
      </c>
      <c r="BM104">
        <v>2.9</v>
      </c>
      <c r="BN104">
        <v>3.1</v>
      </c>
      <c r="BO104">
        <v>2.9</v>
      </c>
      <c r="BP104">
        <v>2.9</v>
      </c>
    </row>
    <row r="105" spans="1:69" x14ac:dyDescent="0.35">
      <c r="A105" t="s">
        <v>5</v>
      </c>
      <c r="B105" t="s">
        <v>93</v>
      </c>
      <c r="C105" t="s">
        <v>200</v>
      </c>
      <c r="D105" t="s">
        <v>221</v>
      </c>
      <c r="AT105">
        <v>1</v>
      </c>
      <c r="BE105">
        <v>2.1</v>
      </c>
    </row>
    <row r="106" spans="1:69" x14ac:dyDescent="0.35">
      <c r="A106" t="s">
        <v>53</v>
      </c>
      <c r="B106" t="s">
        <v>637</v>
      </c>
      <c r="C106" t="s">
        <v>200</v>
      </c>
      <c r="D106" t="s">
        <v>221</v>
      </c>
      <c r="AF106">
        <v>5.0999999999999996</v>
      </c>
      <c r="AH106">
        <v>4.5999999999999996</v>
      </c>
      <c r="AJ106">
        <v>2.8</v>
      </c>
      <c r="AL106">
        <v>4.3</v>
      </c>
      <c r="AM106">
        <v>2.7</v>
      </c>
      <c r="AQ106">
        <v>4</v>
      </c>
      <c r="AR106">
        <v>3.5</v>
      </c>
      <c r="AS106">
        <v>4</v>
      </c>
      <c r="AT106">
        <v>3.9</v>
      </c>
      <c r="AU106">
        <v>4</v>
      </c>
      <c r="AV106">
        <v>3.3</v>
      </c>
      <c r="AW106">
        <v>3.3</v>
      </c>
      <c r="AX106">
        <v>2.6</v>
      </c>
      <c r="AY106">
        <v>3.4</v>
      </c>
      <c r="AZ106">
        <v>3.5</v>
      </c>
      <c r="BA106">
        <v>3.6</v>
      </c>
      <c r="BB106">
        <v>3.6</v>
      </c>
      <c r="BC106">
        <v>3.2</v>
      </c>
      <c r="BD106">
        <v>3.1</v>
      </c>
      <c r="BE106">
        <v>2.9</v>
      </c>
      <c r="BF106">
        <v>2.9</v>
      </c>
      <c r="BG106">
        <v>2.9</v>
      </c>
      <c r="BH106">
        <v>3</v>
      </c>
      <c r="BI106">
        <v>3.1</v>
      </c>
      <c r="BJ106">
        <v>3</v>
      </c>
    </row>
    <row r="107" spans="1:69" x14ac:dyDescent="0.35">
      <c r="A107" t="s">
        <v>716</v>
      </c>
      <c r="B107" t="s">
        <v>145</v>
      </c>
      <c r="C107" t="s">
        <v>200</v>
      </c>
      <c r="D107" t="s">
        <v>221</v>
      </c>
    </row>
    <row r="108" spans="1:69" x14ac:dyDescent="0.35">
      <c r="A108" t="s">
        <v>80</v>
      </c>
      <c r="B108" t="s">
        <v>278</v>
      </c>
      <c r="C108" t="s">
        <v>200</v>
      </c>
      <c r="D108" t="s">
        <v>221</v>
      </c>
    </row>
    <row r="109" spans="1:69" x14ac:dyDescent="0.35">
      <c r="A109" t="s">
        <v>737</v>
      </c>
      <c r="B109" t="s">
        <v>549</v>
      </c>
      <c r="C109" t="s">
        <v>200</v>
      </c>
      <c r="D109" t="s">
        <v>221</v>
      </c>
    </row>
    <row r="110" spans="1:69" x14ac:dyDescent="0.35">
      <c r="A110" t="s">
        <v>503</v>
      </c>
      <c r="B110" t="s">
        <v>1</v>
      </c>
      <c r="C110" t="s">
        <v>200</v>
      </c>
      <c r="D110" t="s">
        <v>221</v>
      </c>
    </row>
    <row r="111" spans="1:69" x14ac:dyDescent="0.35">
      <c r="A111" t="s">
        <v>472</v>
      </c>
      <c r="B111" t="s">
        <v>479</v>
      </c>
      <c r="C111" t="s">
        <v>200</v>
      </c>
      <c r="D111" t="s">
        <v>221</v>
      </c>
      <c r="AC111">
        <v>3.6</v>
      </c>
      <c r="AF111">
        <v>4</v>
      </c>
      <c r="AI111">
        <v>4</v>
      </c>
      <c r="AL111">
        <v>3.9</v>
      </c>
      <c r="AO111">
        <v>3.6</v>
      </c>
      <c r="AQ111">
        <v>3.9</v>
      </c>
      <c r="AR111">
        <v>4</v>
      </c>
      <c r="AS111">
        <v>4</v>
      </c>
      <c r="AT111">
        <v>3.9</v>
      </c>
      <c r="AU111">
        <v>4.2</v>
      </c>
      <c r="AV111">
        <v>4.0999999999999996</v>
      </c>
      <c r="AW111">
        <v>3.9</v>
      </c>
      <c r="AX111">
        <v>3.9</v>
      </c>
      <c r="AY111">
        <v>3.7</v>
      </c>
      <c r="AZ111">
        <v>3.6</v>
      </c>
      <c r="BA111">
        <v>3.7</v>
      </c>
      <c r="BB111">
        <v>3.6</v>
      </c>
      <c r="BC111">
        <v>3.5</v>
      </c>
      <c r="BD111">
        <v>3.2</v>
      </c>
      <c r="BE111">
        <v>3.3</v>
      </c>
      <c r="BF111">
        <v>3.2</v>
      </c>
      <c r="BG111">
        <v>3.2</v>
      </c>
      <c r="BH111">
        <v>3.1</v>
      </c>
      <c r="BI111">
        <v>3.1</v>
      </c>
      <c r="BJ111">
        <v>3.1</v>
      </c>
      <c r="BK111">
        <v>3.1</v>
      </c>
      <c r="BL111">
        <v>3.2</v>
      </c>
      <c r="BM111">
        <v>3.2</v>
      </c>
      <c r="BN111">
        <v>3.2</v>
      </c>
      <c r="BO111">
        <v>3.3</v>
      </c>
      <c r="BP111">
        <v>3.3</v>
      </c>
      <c r="BQ111">
        <v>3.5</v>
      </c>
    </row>
    <row r="112" spans="1:69" x14ac:dyDescent="0.35">
      <c r="A112" t="s">
        <v>731</v>
      </c>
      <c r="B112" t="s">
        <v>675</v>
      </c>
      <c r="C112" t="s">
        <v>200</v>
      </c>
      <c r="D112" t="s">
        <v>221</v>
      </c>
    </row>
    <row r="113" spans="1:68" x14ac:dyDescent="0.35">
      <c r="A113" t="s">
        <v>303</v>
      </c>
      <c r="B113" t="s">
        <v>117</v>
      </c>
      <c r="C113" t="s">
        <v>200</v>
      </c>
      <c r="D113" t="s">
        <v>221</v>
      </c>
    </row>
    <row r="114" spans="1:68" x14ac:dyDescent="0.35">
      <c r="A114" t="s">
        <v>208</v>
      </c>
      <c r="B114" t="s">
        <v>596</v>
      </c>
      <c r="C114" t="s">
        <v>200</v>
      </c>
      <c r="D114" t="s">
        <v>221</v>
      </c>
      <c r="V114">
        <v>3.9</v>
      </c>
      <c r="AB114">
        <v>4.2</v>
      </c>
      <c r="AF114">
        <v>4.3</v>
      </c>
      <c r="AL114">
        <v>4.4000000000000004</v>
      </c>
      <c r="AW114">
        <v>4.4000000000000004</v>
      </c>
      <c r="BB114">
        <v>4.4000000000000004</v>
      </c>
      <c r="BD114">
        <v>4.2</v>
      </c>
      <c r="BO114">
        <v>4.5</v>
      </c>
    </row>
    <row r="115" spans="1:68" x14ac:dyDescent="0.35">
      <c r="A115" t="s">
        <v>520</v>
      </c>
      <c r="B115" t="s">
        <v>376</v>
      </c>
      <c r="C115" t="s">
        <v>200</v>
      </c>
      <c r="D115" t="s">
        <v>221</v>
      </c>
    </row>
    <row r="116" spans="1:68" x14ac:dyDescent="0.35">
      <c r="A116" t="s">
        <v>106</v>
      </c>
      <c r="B116" t="s">
        <v>58</v>
      </c>
      <c r="C116" t="s">
        <v>200</v>
      </c>
      <c r="D116" t="s">
        <v>221</v>
      </c>
      <c r="AF116">
        <v>2.8</v>
      </c>
      <c r="AM116">
        <v>2.9</v>
      </c>
      <c r="AN116">
        <v>2.8</v>
      </c>
      <c r="AO116">
        <v>2.9</v>
      </c>
      <c r="AS116">
        <v>3.2</v>
      </c>
      <c r="AU116">
        <v>3</v>
      </c>
      <c r="AV116">
        <v>3.1</v>
      </c>
      <c r="AW116">
        <v>3</v>
      </c>
      <c r="AX116">
        <v>3.1</v>
      </c>
      <c r="AY116">
        <v>3.1</v>
      </c>
      <c r="AZ116">
        <v>3.3</v>
      </c>
      <c r="BA116">
        <v>3.3</v>
      </c>
      <c r="BB116">
        <v>3</v>
      </c>
      <c r="BC116">
        <v>2.9</v>
      </c>
      <c r="BD116">
        <v>2.8</v>
      </c>
      <c r="BE116">
        <v>3</v>
      </c>
      <c r="BF116">
        <v>2.8</v>
      </c>
      <c r="BG116">
        <v>3.1</v>
      </c>
      <c r="BH116">
        <v>3.1</v>
      </c>
      <c r="BI116">
        <v>3.1</v>
      </c>
      <c r="BJ116">
        <v>3.4</v>
      </c>
      <c r="BK116">
        <v>3.6</v>
      </c>
      <c r="BL116">
        <v>3.6</v>
      </c>
      <c r="BM116">
        <v>3.7</v>
      </c>
      <c r="BN116">
        <v>3.7</v>
      </c>
      <c r="BO116">
        <v>3.6</v>
      </c>
      <c r="BP116">
        <v>3.7</v>
      </c>
    </row>
    <row r="117" spans="1:68" x14ac:dyDescent="0.35">
      <c r="A117" t="s">
        <v>420</v>
      </c>
      <c r="B117" t="s">
        <v>182</v>
      </c>
      <c r="C117" t="s">
        <v>200</v>
      </c>
      <c r="D117" t="s">
        <v>221</v>
      </c>
      <c r="AE117">
        <v>1.8</v>
      </c>
      <c r="AI117">
        <v>2.1</v>
      </c>
      <c r="AM117">
        <v>2.2000000000000002</v>
      </c>
      <c r="AQ117">
        <v>2.1</v>
      </c>
      <c r="AX117">
        <v>2</v>
      </c>
      <c r="AY117">
        <v>2</v>
      </c>
      <c r="BB117">
        <v>2</v>
      </c>
      <c r="BD117">
        <v>2.9</v>
      </c>
      <c r="BE117">
        <v>3</v>
      </c>
      <c r="BF117">
        <v>3.1</v>
      </c>
      <c r="BG117">
        <v>2.8</v>
      </c>
      <c r="BH117">
        <v>2.9</v>
      </c>
      <c r="BI117">
        <v>2.8</v>
      </c>
      <c r="BJ117">
        <v>2.7</v>
      </c>
      <c r="BK117">
        <v>2.7</v>
      </c>
      <c r="BL117">
        <v>2.8</v>
      </c>
      <c r="BM117">
        <v>2.8</v>
      </c>
      <c r="BN117">
        <v>2.7</v>
      </c>
      <c r="BO117">
        <v>2.8</v>
      </c>
      <c r="BP117">
        <v>2.8</v>
      </c>
    </row>
    <row r="118" spans="1:68" x14ac:dyDescent="0.35">
      <c r="A118" t="s">
        <v>0</v>
      </c>
      <c r="B118" t="s">
        <v>539</v>
      </c>
      <c r="C118" t="s">
        <v>200</v>
      </c>
      <c r="D118" t="s">
        <v>221</v>
      </c>
      <c r="AY118">
        <v>3.9</v>
      </c>
      <c r="BE118">
        <v>3.7</v>
      </c>
      <c r="BP118">
        <v>3.7</v>
      </c>
    </row>
    <row r="119" spans="1:68" x14ac:dyDescent="0.35">
      <c r="A119" t="s">
        <v>29</v>
      </c>
      <c r="B119" t="s">
        <v>146</v>
      </c>
      <c r="C119" t="s">
        <v>200</v>
      </c>
      <c r="D119" t="s">
        <v>221</v>
      </c>
      <c r="AV119">
        <v>3.8</v>
      </c>
      <c r="AW119">
        <v>3.8</v>
      </c>
      <c r="AX119">
        <v>3.7</v>
      </c>
      <c r="AY119">
        <v>3.6</v>
      </c>
      <c r="AZ119">
        <v>3.7</v>
      </c>
      <c r="BA119">
        <v>3.6</v>
      </c>
      <c r="BB119">
        <v>3.7</v>
      </c>
      <c r="BC119">
        <v>3.9</v>
      </c>
      <c r="BD119">
        <v>3.7</v>
      </c>
      <c r="BE119">
        <v>3.8</v>
      </c>
      <c r="BF119">
        <v>4.0999999999999996</v>
      </c>
      <c r="BG119">
        <v>3.8</v>
      </c>
      <c r="BH119">
        <v>3.9</v>
      </c>
      <c r="BI119">
        <v>3.8</v>
      </c>
      <c r="BJ119">
        <v>4</v>
      </c>
      <c r="BK119">
        <v>3.7</v>
      </c>
      <c r="BL119">
        <v>3.7</v>
      </c>
    </row>
    <row r="120" spans="1:68" x14ac:dyDescent="0.35">
      <c r="A120" t="s">
        <v>486</v>
      </c>
      <c r="B120" t="s">
        <v>671</v>
      </c>
      <c r="C120" t="s">
        <v>200</v>
      </c>
      <c r="D120" t="s">
        <v>221</v>
      </c>
      <c r="X120">
        <v>2.8</v>
      </c>
      <c r="AE120">
        <v>2.6</v>
      </c>
      <c r="AK120">
        <v>2.9</v>
      </c>
      <c r="AP120">
        <v>2.5</v>
      </c>
      <c r="AT120">
        <v>2.4</v>
      </c>
      <c r="AU120">
        <v>2.1</v>
      </c>
      <c r="AV120">
        <v>2</v>
      </c>
      <c r="AW120">
        <v>1.8</v>
      </c>
      <c r="AX120">
        <v>1.8</v>
      </c>
      <c r="AY120">
        <v>1.8</v>
      </c>
      <c r="AZ120">
        <v>1.9</v>
      </c>
      <c r="BA120">
        <v>1.8</v>
      </c>
      <c r="BB120">
        <v>1.7</v>
      </c>
      <c r="BC120">
        <v>1.8</v>
      </c>
      <c r="BD120">
        <v>1.8</v>
      </c>
      <c r="BE120">
        <v>1.7</v>
      </c>
      <c r="BF120">
        <v>1.9</v>
      </c>
      <c r="BG120">
        <v>1.8</v>
      </c>
      <c r="BH120">
        <v>1.8</v>
      </c>
      <c r="BI120">
        <v>1.9</v>
      </c>
      <c r="BJ120">
        <v>1.8</v>
      </c>
      <c r="BK120">
        <v>1.9</v>
      </c>
      <c r="BL120">
        <v>1.9</v>
      </c>
      <c r="BM120">
        <v>2</v>
      </c>
      <c r="BN120">
        <v>2</v>
      </c>
    </row>
    <row r="121" spans="1:68" x14ac:dyDescent="0.35">
      <c r="A121" t="s">
        <v>175</v>
      </c>
      <c r="B121" t="s">
        <v>565</v>
      </c>
      <c r="C121" t="s">
        <v>200</v>
      </c>
      <c r="D121" t="s">
        <v>221</v>
      </c>
      <c r="V121">
        <v>2.9</v>
      </c>
      <c r="W121">
        <v>2.7</v>
      </c>
      <c r="X121">
        <v>2.7</v>
      </c>
      <c r="Y121">
        <v>3.1</v>
      </c>
      <c r="Z121">
        <v>3.2</v>
      </c>
      <c r="AA121">
        <v>3.5</v>
      </c>
      <c r="AB121">
        <v>3.3</v>
      </c>
      <c r="AC121">
        <v>3.1</v>
      </c>
      <c r="AE121">
        <v>3.1</v>
      </c>
      <c r="AF121">
        <v>2.5</v>
      </c>
      <c r="AH121">
        <v>3.2</v>
      </c>
      <c r="AJ121">
        <v>3.1</v>
      </c>
      <c r="AL121">
        <v>2.1</v>
      </c>
      <c r="AN121">
        <v>2.2000000000000002</v>
      </c>
      <c r="AQ121">
        <v>1.9</v>
      </c>
      <c r="AS121">
        <v>2.2000000000000002</v>
      </c>
      <c r="AU121">
        <v>2.2000000000000002</v>
      </c>
      <c r="AV121">
        <v>2.2999999999999998</v>
      </c>
      <c r="AW121">
        <v>2.4</v>
      </c>
      <c r="AX121">
        <v>2.4</v>
      </c>
      <c r="AY121">
        <v>2.5</v>
      </c>
      <c r="AZ121">
        <v>2.5</v>
      </c>
      <c r="BA121">
        <v>2.4</v>
      </c>
      <c r="BB121">
        <v>2.2999999999999998</v>
      </c>
      <c r="BC121">
        <v>2.1</v>
      </c>
      <c r="BD121">
        <v>2.1</v>
      </c>
      <c r="BE121">
        <v>2</v>
      </c>
      <c r="BF121">
        <v>2</v>
      </c>
      <c r="BG121">
        <v>2</v>
      </c>
      <c r="BH121">
        <v>1.8</v>
      </c>
      <c r="BI121">
        <v>1.9</v>
      </c>
      <c r="BJ121">
        <v>1.9</v>
      </c>
      <c r="BK121">
        <v>1.9</v>
      </c>
      <c r="BL121">
        <v>2.1</v>
      </c>
      <c r="BM121">
        <v>2.1</v>
      </c>
      <c r="BN121">
        <v>2.2999999999999998</v>
      </c>
      <c r="BO121">
        <v>2.5</v>
      </c>
      <c r="BP121">
        <v>2.2999999999999998</v>
      </c>
    </row>
    <row r="122" spans="1:68" x14ac:dyDescent="0.35">
      <c r="A122" t="s">
        <v>127</v>
      </c>
      <c r="B122" t="s">
        <v>702</v>
      </c>
      <c r="C122" t="s">
        <v>200</v>
      </c>
      <c r="D122" t="s">
        <v>221</v>
      </c>
      <c r="AG122">
        <v>2.1</v>
      </c>
      <c r="AI122">
        <v>2.5</v>
      </c>
      <c r="AL122">
        <v>2.7</v>
      </c>
      <c r="AO122">
        <v>2.5</v>
      </c>
      <c r="AR122">
        <v>2.1</v>
      </c>
      <c r="AU122">
        <v>1.8</v>
      </c>
      <c r="AW122">
        <v>2.1</v>
      </c>
      <c r="BK122">
        <v>2.9</v>
      </c>
      <c r="BN122">
        <v>2.2000000000000002</v>
      </c>
    </row>
    <row r="123" spans="1:68" x14ac:dyDescent="0.35">
      <c r="A123" t="s">
        <v>575</v>
      </c>
      <c r="B123" t="s">
        <v>311</v>
      </c>
      <c r="C123" t="s">
        <v>200</v>
      </c>
      <c r="D123" t="s">
        <v>221</v>
      </c>
      <c r="AE123">
        <v>3.1</v>
      </c>
      <c r="AK123">
        <v>2.6</v>
      </c>
      <c r="AP123">
        <v>3.3</v>
      </c>
      <c r="AU123">
        <v>3</v>
      </c>
      <c r="AY123">
        <v>3.3</v>
      </c>
      <c r="BA123">
        <v>3.6</v>
      </c>
      <c r="BC123">
        <v>3.5</v>
      </c>
    </row>
    <row r="124" spans="1:68" x14ac:dyDescent="0.35">
      <c r="A124" t="s">
        <v>734</v>
      </c>
      <c r="B124" t="s">
        <v>566</v>
      </c>
      <c r="C124" t="s">
        <v>200</v>
      </c>
      <c r="D124" t="s">
        <v>221</v>
      </c>
      <c r="BA124">
        <v>2.1</v>
      </c>
      <c r="BB124">
        <v>2.4</v>
      </c>
      <c r="BC124">
        <v>2.7</v>
      </c>
      <c r="BD124">
        <v>2.5</v>
      </c>
      <c r="BE124">
        <v>2.6</v>
      </c>
      <c r="BF124">
        <v>2.5</v>
      </c>
      <c r="BG124">
        <v>2.9</v>
      </c>
      <c r="BH124">
        <v>3</v>
      </c>
      <c r="BI124">
        <v>2.6</v>
      </c>
      <c r="BJ124">
        <v>2.7</v>
      </c>
      <c r="BK124">
        <v>2.2999999999999998</v>
      </c>
      <c r="BL124">
        <v>2.2000000000000002</v>
      </c>
      <c r="BM124">
        <v>2.4</v>
      </c>
    </row>
    <row r="125" spans="1:68" x14ac:dyDescent="0.35">
      <c r="A125" t="s">
        <v>84</v>
      </c>
      <c r="B125" t="s">
        <v>292</v>
      </c>
      <c r="C125" t="s">
        <v>200</v>
      </c>
      <c r="D125" t="s">
        <v>221</v>
      </c>
      <c r="AL125">
        <v>3.1</v>
      </c>
      <c r="AO125">
        <v>2.7</v>
      </c>
      <c r="AT125">
        <v>2.6</v>
      </c>
      <c r="AU125">
        <v>3</v>
      </c>
      <c r="AV125">
        <v>3.1</v>
      </c>
      <c r="AW125">
        <v>3.4</v>
      </c>
      <c r="AX125">
        <v>2.2999999999999998</v>
      </c>
      <c r="AY125">
        <v>3.7</v>
      </c>
      <c r="AZ125">
        <v>3.8</v>
      </c>
      <c r="BA125">
        <v>4</v>
      </c>
      <c r="BB125">
        <v>4</v>
      </c>
      <c r="BC125">
        <v>4.0999999999999996</v>
      </c>
      <c r="BD125">
        <v>4.0999999999999996</v>
      </c>
      <c r="BE125">
        <v>4.0999999999999996</v>
      </c>
      <c r="BF125">
        <v>4.3</v>
      </c>
      <c r="BG125">
        <v>4.3</v>
      </c>
      <c r="BH125">
        <v>4.3</v>
      </c>
      <c r="BI125">
        <v>4.2</v>
      </c>
      <c r="BJ125">
        <v>4.3</v>
      </c>
      <c r="BK125">
        <v>4.3</v>
      </c>
      <c r="BL125">
        <v>4.3</v>
      </c>
      <c r="BM125">
        <v>4.3</v>
      </c>
      <c r="BN125">
        <v>4.3</v>
      </c>
    </row>
    <row r="126" spans="1:68" x14ac:dyDescent="0.35">
      <c r="A126" t="s">
        <v>739</v>
      </c>
      <c r="B126" t="s">
        <v>696</v>
      </c>
      <c r="C126" t="s">
        <v>200</v>
      </c>
      <c r="D126" t="s">
        <v>221</v>
      </c>
      <c r="AK126">
        <v>1.3</v>
      </c>
      <c r="AM126">
        <v>1.9</v>
      </c>
      <c r="AP126">
        <v>2.2999999999999998</v>
      </c>
      <c r="AX126">
        <v>1.8</v>
      </c>
      <c r="BH126">
        <v>2.4</v>
      </c>
      <c r="BM126">
        <v>3</v>
      </c>
      <c r="BN126">
        <v>2.9</v>
      </c>
      <c r="BO126">
        <v>2.9</v>
      </c>
    </row>
    <row r="127" spans="1:68" x14ac:dyDescent="0.35">
      <c r="A127" t="s">
        <v>470</v>
      </c>
      <c r="B127" t="s">
        <v>423</v>
      </c>
      <c r="C127" t="s">
        <v>200</v>
      </c>
      <c r="D127" t="s">
        <v>221</v>
      </c>
      <c r="AQ127">
        <v>1.5</v>
      </c>
      <c r="AS127">
        <v>3.7</v>
      </c>
      <c r="AT127">
        <v>3.7</v>
      </c>
      <c r="AU127">
        <v>3.6</v>
      </c>
      <c r="AV127">
        <v>3.9</v>
      </c>
      <c r="AW127">
        <v>3.2</v>
      </c>
      <c r="AX127">
        <v>3.5</v>
      </c>
      <c r="AY127">
        <v>3.1</v>
      </c>
      <c r="AZ127">
        <v>3.1</v>
      </c>
      <c r="BA127">
        <v>3.5</v>
      </c>
      <c r="BB127">
        <v>3.9</v>
      </c>
      <c r="BC127">
        <v>3.5</v>
      </c>
      <c r="BD127">
        <v>4.2</v>
      </c>
      <c r="BE127">
        <v>4</v>
      </c>
      <c r="BF127">
        <v>4</v>
      </c>
      <c r="BG127">
        <v>4.4000000000000004</v>
      </c>
      <c r="BH127">
        <v>4.0999999999999996</v>
      </c>
      <c r="BI127">
        <v>4.4000000000000004</v>
      </c>
      <c r="BJ127">
        <v>4.3</v>
      </c>
      <c r="BK127">
        <v>4.3</v>
      </c>
      <c r="BL127">
        <v>4.0999999999999996</v>
      </c>
      <c r="BM127">
        <v>4</v>
      </c>
      <c r="BN127">
        <v>4.0999999999999996</v>
      </c>
      <c r="BO127">
        <v>4.4000000000000004</v>
      </c>
      <c r="BP127">
        <v>4.3</v>
      </c>
    </row>
    <row r="128" spans="1:68" x14ac:dyDescent="0.35">
      <c r="A128" t="s">
        <v>674</v>
      </c>
      <c r="B128" t="s">
        <v>709</v>
      </c>
      <c r="C128" t="s">
        <v>200</v>
      </c>
      <c r="D128" t="s">
        <v>221</v>
      </c>
    </row>
    <row r="129" spans="1:67" x14ac:dyDescent="0.35">
      <c r="A129" t="s">
        <v>635</v>
      </c>
      <c r="B129" t="s">
        <v>527</v>
      </c>
      <c r="C129" t="s">
        <v>200</v>
      </c>
      <c r="D129" t="s">
        <v>221</v>
      </c>
      <c r="AY129">
        <v>2.6</v>
      </c>
      <c r="BL129">
        <v>4</v>
      </c>
    </row>
    <row r="130" spans="1:67" x14ac:dyDescent="0.35">
      <c r="A130" t="s">
        <v>168</v>
      </c>
      <c r="B130" t="s">
        <v>393</v>
      </c>
      <c r="C130" t="s">
        <v>200</v>
      </c>
      <c r="D130" t="s">
        <v>221</v>
      </c>
    </row>
    <row r="131" spans="1:67" x14ac:dyDescent="0.35">
      <c r="A131" t="s">
        <v>197</v>
      </c>
      <c r="B131" t="s">
        <v>667</v>
      </c>
      <c r="C131" t="s">
        <v>200</v>
      </c>
      <c r="D131" t="s">
        <v>221</v>
      </c>
      <c r="AY131">
        <v>2.8</v>
      </c>
      <c r="BA131">
        <v>2.7</v>
      </c>
      <c r="BC131">
        <v>2.7</v>
      </c>
      <c r="BE131">
        <v>2.7</v>
      </c>
      <c r="BG131">
        <v>2.8</v>
      </c>
      <c r="BI131">
        <v>2.5</v>
      </c>
      <c r="BJ131">
        <v>2.5</v>
      </c>
      <c r="BK131">
        <v>2.7</v>
      </c>
      <c r="BL131">
        <v>2.9</v>
      </c>
      <c r="BM131">
        <v>3.1</v>
      </c>
      <c r="BN131">
        <v>2.9</v>
      </c>
    </row>
    <row r="132" spans="1:67" x14ac:dyDescent="0.35">
      <c r="A132" t="s">
        <v>724</v>
      </c>
      <c r="B132" t="s">
        <v>509</v>
      </c>
      <c r="C132" t="s">
        <v>200</v>
      </c>
      <c r="D132" t="s">
        <v>221</v>
      </c>
    </row>
    <row r="133" spans="1:67" x14ac:dyDescent="0.35">
      <c r="A133" t="s">
        <v>287</v>
      </c>
      <c r="B133" t="s">
        <v>522</v>
      </c>
      <c r="C133" t="s">
        <v>200</v>
      </c>
      <c r="D133" t="s">
        <v>221</v>
      </c>
    </row>
    <row r="134" spans="1:67" x14ac:dyDescent="0.35">
      <c r="A134" t="s">
        <v>574</v>
      </c>
      <c r="B134" t="s">
        <v>245</v>
      </c>
      <c r="C134" t="s">
        <v>200</v>
      </c>
      <c r="D134" t="s">
        <v>221</v>
      </c>
      <c r="AK134">
        <v>3.5</v>
      </c>
      <c r="AP134">
        <v>3.4</v>
      </c>
      <c r="AU134">
        <v>3.7</v>
      </c>
      <c r="AZ134">
        <v>3.3</v>
      </c>
      <c r="BE134">
        <v>3.2</v>
      </c>
      <c r="BK134">
        <v>3</v>
      </c>
    </row>
    <row r="135" spans="1:67" x14ac:dyDescent="0.35">
      <c r="A135" t="s">
        <v>446</v>
      </c>
      <c r="B135" t="s">
        <v>264</v>
      </c>
      <c r="C135" t="s">
        <v>200</v>
      </c>
      <c r="D135" t="s">
        <v>221</v>
      </c>
      <c r="BD135">
        <v>3.1</v>
      </c>
      <c r="BO135">
        <v>2.8</v>
      </c>
    </row>
    <row r="136" spans="1:67" x14ac:dyDescent="0.35">
      <c r="A136" t="s">
        <v>248</v>
      </c>
      <c r="B136" t="s">
        <v>662</v>
      </c>
      <c r="C136" t="s">
        <v>200</v>
      </c>
      <c r="D136" t="s">
        <v>221</v>
      </c>
      <c r="AZ136">
        <v>2.4</v>
      </c>
      <c r="BG136">
        <v>3.2</v>
      </c>
      <c r="BI136">
        <v>2.9</v>
      </c>
    </row>
    <row r="137" spans="1:67" x14ac:dyDescent="0.35">
      <c r="A137" t="s">
        <v>555</v>
      </c>
      <c r="B137" t="s">
        <v>666</v>
      </c>
      <c r="C137" t="s">
        <v>200</v>
      </c>
      <c r="D137" t="s">
        <v>221</v>
      </c>
    </row>
    <row r="138" spans="1:67" x14ac:dyDescent="0.35">
      <c r="A138" t="s">
        <v>515</v>
      </c>
      <c r="B138" t="s">
        <v>383</v>
      </c>
      <c r="C138" t="s">
        <v>200</v>
      </c>
      <c r="D138" t="s">
        <v>221</v>
      </c>
      <c r="AN138">
        <v>2</v>
      </c>
      <c r="BH138">
        <v>2.1</v>
      </c>
    </row>
    <row r="139" spans="1:67" x14ac:dyDescent="0.35">
      <c r="A139" t="s">
        <v>605</v>
      </c>
      <c r="B139" t="s">
        <v>178</v>
      </c>
      <c r="C139" t="s">
        <v>200</v>
      </c>
      <c r="D139" t="s">
        <v>221</v>
      </c>
    </row>
    <row r="140" spans="1:67" x14ac:dyDescent="0.35">
      <c r="A140" t="s">
        <v>284</v>
      </c>
      <c r="B140" t="s">
        <v>589</v>
      </c>
      <c r="C140" t="s">
        <v>200</v>
      </c>
      <c r="D140" t="s">
        <v>221</v>
      </c>
    </row>
    <row r="141" spans="1:67" x14ac:dyDescent="0.35">
      <c r="A141" t="s">
        <v>649</v>
      </c>
      <c r="B141" t="s">
        <v>70</v>
      </c>
      <c r="C141" t="s">
        <v>200</v>
      </c>
      <c r="D141" t="s">
        <v>221</v>
      </c>
    </row>
    <row r="142" spans="1:67" x14ac:dyDescent="0.35">
      <c r="A142" t="s">
        <v>615</v>
      </c>
      <c r="B142" t="s">
        <v>356</v>
      </c>
      <c r="C142" t="s">
        <v>200</v>
      </c>
      <c r="D142" t="s">
        <v>221</v>
      </c>
    </row>
    <row r="143" spans="1:67" x14ac:dyDescent="0.35">
      <c r="A143" t="s">
        <v>3</v>
      </c>
      <c r="B143" t="s">
        <v>687</v>
      </c>
      <c r="C143" t="s">
        <v>200</v>
      </c>
      <c r="D143" t="s">
        <v>221</v>
      </c>
      <c r="AD143">
        <v>3.6</v>
      </c>
      <c r="AI143">
        <v>3.7</v>
      </c>
      <c r="AN143">
        <v>3.4</v>
      </c>
      <c r="AU143">
        <v>3</v>
      </c>
      <c r="AY143">
        <v>3</v>
      </c>
      <c r="BB143">
        <v>3.3</v>
      </c>
      <c r="BE143">
        <v>3</v>
      </c>
      <c r="BI143">
        <v>3</v>
      </c>
      <c r="BL143">
        <v>3.1</v>
      </c>
    </row>
    <row r="144" spans="1:67" x14ac:dyDescent="0.35">
      <c r="A144" t="s">
        <v>374</v>
      </c>
      <c r="B144" t="s">
        <v>225</v>
      </c>
      <c r="C144" t="s">
        <v>200</v>
      </c>
      <c r="D144" t="s">
        <v>221</v>
      </c>
    </row>
    <row r="145" spans="1:68" x14ac:dyDescent="0.35">
      <c r="A145" t="s">
        <v>329</v>
      </c>
      <c r="B145" t="s">
        <v>306</v>
      </c>
      <c r="C145" t="s">
        <v>200</v>
      </c>
      <c r="D145" t="s">
        <v>221</v>
      </c>
    </row>
    <row r="146" spans="1:68" x14ac:dyDescent="0.35">
      <c r="A146" t="s">
        <v>502</v>
      </c>
      <c r="B146" t="s">
        <v>259</v>
      </c>
      <c r="C146" t="s">
        <v>200</v>
      </c>
      <c r="D146" t="s">
        <v>221</v>
      </c>
      <c r="AE146">
        <v>1</v>
      </c>
      <c r="AM146">
        <v>0.6</v>
      </c>
      <c r="AU146">
        <v>1.2</v>
      </c>
      <c r="BJ146">
        <v>1.7</v>
      </c>
    </row>
    <row r="147" spans="1:68" x14ac:dyDescent="0.35">
      <c r="A147" t="s">
        <v>416</v>
      </c>
      <c r="B147" t="s">
        <v>722</v>
      </c>
      <c r="C147" t="s">
        <v>200</v>
      </c>
      <c r="D147" t="s">
        <v>221</v>
      </c>
    </row>
    <row r="148" spans="1:68" x14ac:dyDescent="0.35">
      <c r="A148" t="s">
        <v>424</v>
      </c>
      <c r="B148" t="s">
        <v>114</v>
      </c>
      <c r="C148" t="s">
        <v>200</v>
      </c>
      <c r="D148" t="s">
        <v>221</v>
      </c>
      <c r="AL148">
        <v>3.5</v>
      </c>
      <c r="AO148">
        <v>3.2</v>
      </c>
      <c r="AQ148">
        <v>3.1</v>
      </c>
      <c r="AR148">
        <v>3.1</v>
      </c>
      <c r="AS148">
        <v>3.2</v>
      </c>
      <c r="AT148">
        <v>3.1</v>
      </c>
      <c r="AU148">
        <v>3.1</v>
      </c>
      <c r="AV148">
        <v>2.9</v>
      </c>
      <c r="AW148">
        <v>2</v>
      </c>
      <c r="AX148">
        <v>2.2000000000000002</v>
      </c>
      <c r="AY148">
        <v>2.2999999999999998</v>
      </c>
      <c r="AZ148">
        <v>2.4</v>
      </c>
      <c r="BA148">
        <v>2.2999999999999998</v>
      </c>
      <c r="BB148">
        <v>1.8</v>
      </c>
      <c r="BC148">
        <v>2.2999999999999998</v>
      </c>
      <c r="BD148">
        <v>2.6</v>
      </c>
      <c r="BE148">
        <v>2.4</v>
      </c>
      <c r="BF148">
        <v>2.5</v>
      </c>
      <c r="BG148">
        <v>2.1</v>
      </c>
      <c r="BH148">
        <v>2.1</v>
      </c>
      <c r="BI148">
        <v>2</v>
      </c>
      <c r="BJ148">
        <v>2.1</v>
      </c>
      <c r="BK148">
        <v>2.2999999999999998</v>
      </c>
      <c r="BL148">
        <v>2.7</v>
      </c>
      <c r="BM148">
        <v>2.7</v>
      </c>
      <c r="BN148">
        <v>2.6</v>
      </c>
      <c r="BO148">
        <v>2.5</v>
      </c>
      <c r="BP148">
        <v>2.2000000000000002</v>
      </c>
    </row>
    <row r="149" spans="1:68" x14ac:dyDescent="0.35">
      <c r="A149" t="s">
        <v>301</v>
      </c>
      <c r="B149" t="s">
        <v>546</v>
      </c>
      <c r="C149" t="s">
        <v>200</v>
      </c>
      <c r="D149" t="s">
        <v>221</v>
      </c>
      <c r="AD149">
        <v>4.0999999999999996</v>
      </c>
      <c r="AE149">
        <v>3.9</v>
      </c>
      <c r="AF149">
        <v>3.9</v>
      </c>
      <c r="AG149">
        <v>4</v>
      </c>
      <c r="AH149">
        <v>4</v>
      </c>
      <c r="AI149">
        <v>4.0999999999999996</v>
      </c>
      <c r="AJ149">
        <v>4</v>
      </c>
      <c r="AK149">
        <v>4.0999999999999996</v>
      </c>
      <c r="AL149">
        <v>4.2</v>
      </c>
      <c r="AM149">
        <v>3.8</v>
      </c>
      <c r="AN149">
        <v>3.8</v>
      </c>
      <c r="AO149">
        <v>3.6</v>
      </c>
      <c r="AP149">
        <v>3.6</v>
      </c>
      <c r="AQ149">
        <v>3.5</v>
      </c>
      <c r="AR149">
        <v>3.5</v>
      </c>
      <c r="AS149">
        <v>3.6</v>
      </c>
      <c r="AT149">
        <v>3.5</v>
      </c>
      <c r="AU149">
        <v>3.6</v>
      </c>
      <c r="AV149">
        <v>3.3</v>
      </c>
      <c r="AW149">
        <v>3.3</v>
      </c>
      <c r="AX149">
        <v>3.3</v>
      </c>
      <c r="AY149">
        <v>3.3</v>
      </c>
      <c r="AZ149">
        <v>3.4</v>
      </c>
      <c r="BA149">
        <v>3.2</v>
      </c>
      <c r="BB149">
        <v>3.3</v>
      </c>
      <c r="BC149">
        <v>3.3</v>
      </c>
      <c r="BD149">
        <v>3.2</v>
      </c>
      <c r="BE149">
        <v>3</v>
      </c>
      <c r="BF149">
        <v>3.1</v>
      </c>
      <c r="BG149">
        <v>3.2</v>
      </c>
      <c r="BH149">
        <v>2.9</v>
      </c>
      <c r="BI149">
        <v>2.9</v>
      </c>
      <c r="BJ149">
        <v>2.5</v>
      </c>
      <c r="BK149">
        <v>2.5</v>
      </c>
      <c r="BL149">
        <v>2.9</v>
      </c>
      <c r="BM149">
        <v>2.8</v>
      </c>
      <c r="BN149">
        <v>2.8</v>
      </c>
      <c r="BO149">
        <v>2.9</v>
      </c>
      <c r="BP149">
        <v>2.8</v>
      </c>
    </row>
    <row r="150" spans="1:68" x14ac:dyDescent="0.35">
      <c r="A150" t="s">
        <v>277</v>
      </c>
      <c r="B150" t="s">
        <v>471</v>
      </c>
      <c r="C150" t="s">
        <v>200</v>
      </c>
      <c r="D150" t="s">
        <v>221</v>
      </c>
      <c r="AL150">
        <v>4.2</v>
      </c>
      <c r="AN150">
        <v>3.2</v>
      </c>
      <c r="AO150">
        <v>2.9</v>
      </c>
      <c r="AP150">
        <v>2.8</v>
      </c>
      <c r="AQ150">
        <v>2.9</v>
      </c>
      <c r="AU150">
        <v>2.8</v>
      </c>
      <c r="AV150">
        <v>2.6</v>
      </c>
      <c r="AW150">
        <v>2.2000000000000002</v>
      </c>
      <c r="AX150">
        <v>2</v>
      </c>
      <c r="AY150">
        <v>2.4</v>
      </c>
      <c r="AZ150">
        <v>2.2999999999999998</v>
      </c>
      <c r="BA150">
        <v>2.1</v>
      </c>
      <c r="BB150">
        <v>2</v>
      </c>
      <c r="BC150">
        <v>2.1</v>
      </c>
      <c r="BD150">
        <v>2.2999999999999998</v>
      </c>
      <c r="BE150">
        <v>2.2999999999999998</v>
      </c>
      <c r="BF150">
        <v>2.2999999999999998</v>
      </c>
      <c r="BG150">
        <v>2.2999999999999998</v>
      </c>
      <c r="BH150">
        <v>2.5</v>
      </c>
      <c r="BI150">
        <v>2.5</v>
      </c>
      <c r="BJ150">
        <v>2.2999999999999998</v>
      </c>
      <c r="BK150">
        <v>2.5</v>
      </c>
      <c r="BL150">
        <v>2.6</v>
      </c>
      <c r="BM150">
        <v>2.5</v>
      </c>
      <c r="BN150">
        <v>2.6</v>
      </c>
      <c r="BO150">
        <v>2.6</v>
      </c>
      <c r="BP150">
        <v>2.6</v>
      </c>
    </row>
    <row r="151" spans="1:68" x14ac:dyDescent="0.35">
      <c r="A151" t="s">
        <v>578</v>
      </c>
      <c r="B151" t="s">
        <v>307</v>
      </c>
      <c r="C151" t="s">
        <v>200</v>
      </c>
      <c r="D151" t="s">
        <v>221</v>
      </c>
    </row>
    <row r="152" spans="1:68" x14ac:dyDescent="0.35">
      <c r="A152" t="s">
        <v>406</v>
      </c>
      <c r="B152" t="s">
        <v>475</v>
      </c>
      <c r="C152" t="s">
        <v>200</v>
      </c>
      <c r="D152" t="s">
        <v>221</v>
      </c>
    </row>
    <row r="153" spans="1:68" x14ac:dyDescent="0.35">
      <c r="A153" t="s">
        <v>37</v>
      </c>
      <c r="B153" t="s">
        <v>205</v>
      </c>
      <c r="C153" t="s">
        <v>200</v>
      </c>
      <c r="D153" t="s">
        <v>221</v>
      </c>
      <c r="AC153">
        <v>2.8</v>
      </c>
      <c r="AI153">
        <v>2.7</v>
      </c>
      <c r="AQ153">
        <v>2.6</v>
      </c>
      <c r="AS153">
        <v>2.6</v>
      </c>
      <c r="AY153">
        <v>2.6</v>
      </c>
      <c r="BF153">
        <v>2.7</v>
      </c>
    </row>
    <row r="154" spans="1:68" x14ac:dyDescent="0.35">
      <c r="A154" t="s">
        <v>414</v>
      </c>
      <c r="B154" t="s">
        <v>6</v>
      </c>
      <c r="C154" t="s">
        <v>200</v>
      </c>
      <c r="D154" t="s">
        <v>221</v>
      </c>
    </row>
    <row r="155" spans="1:68" x14ac:dyDescent="0.35">
      <c r="A155" t="s">
        <v>484</v>
      </c>
      <c r="B155" t="s">
        <v>88</v>
      </c>
      <c r="C155" t="s">
        <v>200</v>
      </c>
      <c r="D155" t="s">
        <v>221</v>
      </c>
      <c r="AP155">
        <v>2.4</v>
      </c>
      <c r="AQ155">
        <v>2.2000000000000002</v>
      </c>
      <c r="AR155">
        <v>2.2999999999999998</v>
      </c>
      <c r="AS155">
        <v>2.7</v>
      </c>
      <c r="AT155">
        <v>2.6</v>
      </c>
      <c r="AU155">
        <v>2.8</v>
      </c>
      <c r="AV155">
        <v>3.1</v>
      </c>
      <c r="AW155">
        <v>3</v>
      </c>
      <c r="AX155">
        <v>2.8</v>
      </c>
      <c r="AY155">
        <v>2.8</v>
      </c>
      <c r="AZ155">
        <v>3</v>
      </c>
      <c r="BA155">
        <v>2.9</v>
      </c>
      <c r="BB155">
        <v>3.1</v>
      </c>
      <c r="BC155">
        <v>3.3</v>
      </c>
      <c r="BD155">
        <v>3.5</v>
      </c>
      <c r="BE155">
        <v>3.8</v>
      </c>
      <c r="BF155">
        <v>3.9</v>
      </c>
      <c r="BG155">
        <v>4.2</v>
      </c>
      <c r="BH155">
        <v>4.0999999999999996</v>
      </c>
      <c r="BI155">
        <v>4.3</v>
      </c>
      <c r="BJ155">
        <v>4.3</v>
      </c>
      <c r="BK155">
        <v>4.4000000000000004</v>
      </c>
      <c r="BL155">
        <v>4.3</v>
      </c>
      <c r="BM155">
        <v>4.5</v>
      </c>
      <c r="BN155">
        <v>4.3</v>
      </c>
      <c r="BO155">
        <v>4.5</v>
      </c>
      <c r="BP155">
        <v>4.3</v>
      </c>
    </row>
    <row r="156" spans="1:68" x14ac:dyDescent="0.35">
      <c r="A156" t="s">
        <v>427</v>
      </c>
      <c r="B156" t="s">
        <v>17</v>
      </c>
      <c r="C156" t="s">
        <v>200</v>
      </c>
      <c r="D156" t="s">
        <v>221</v>
      </c>
      <c r="Y156">
        <v>2</v>
      </c>
      <c r="AL156">
        <v>2</v>
      </c>
      <c r="AP156">
        <v>2.4</v>
      </c>
      <c r="AR156">
        <v>2.5</v>
      </c>
      <c r="AT156">
        <v>1.9</v>
      </c>
      <c r="AX156">
        <v>2.7</v>
      </c>
      <c r="BC156">
        <v>2.4</v>
      </c>
      <c r="BE156">
        <v>2.2000000000000002</v>
      </c>
      <c r="BN156">
        <v>2.9</v>
      </c>
    </row>
    <row r="157" spans="1:68" x14ac:dyDescent="0.35">
      <c r="A157" t="s">
        <v>228</v>
      </c>
      <c r="B157" t="s">
        <v>97</v>
      </c>
      <c r="C157" t="s">
        <v>200</v>
      </c>
      <c r="D157" t="s">
        <v>221</v>
      </c>
      <c r="AU157">
        <v>2.7</v>
      </c>
      <c r="BB157">
        <v>2.5</v>
      </c>
      <c r="BI157">
        <v>3.4</v>
      </c>
      <c r="BL157">
        <v>3.8</v>
      </c>
    </row>
    <row r="158" spans="1:68" x14ac:dyDescent="0.35">
      <c r="A158" t="s">
        <v>583</v>
      </c>
      <c r="B158" t="s">
        <v>164</v>
      </c>
      <c r="C158" t="s">
        <v>200</v>
      </c>
      <c r="D158" t="s">
        <v>221</v>
      </c>
    </row>
    <row r="159" spans="1:68" x14ac:dyDescent="0.35">
      <c r="A159" t="s">
        <v>246</v>
      </c>
      <c r="B159" t="s">
        <v>310</v>
      </c>
      <c r="C159" t="s">
        <v>200</v>
      </c>
      <c r="D159" t="s">
        <v>221</v>
      </c>
      <c r="AC159">
        <v>1.7</v>
      </c>
      <c r="AH159">
        <v>1.5</v>
      </c>
      <c r="AK159">
        <v>1.4</v>
      </c>
      <c r="AM159">
        <v>1.3</v>
      </c>
      <c r="AO159">
        <v>1.4</v>
      </c>
      <c r="AQ159">
        <v>1.2</v>
      </c>
      <c r="AS159">
        <v>1.2</v>
      </c>
      <c r="AU159">
        <v>1.5</v>
      </c>
      <c r="AW159">
        <v>1.4</v>
      </c>
      <c r="AX159">
        <v>1.3</v>
      </c>
      <c r="AY159">
        <v>1.5</v>
      </c>
      <c r="BA159">
        <v>1.4</v>
      </c>
      <c r="BC159">
        <v>1.6</v>
      </c>
      <c r="BE159">
        <v>1.6</v>
      </c>
      <c r="BG159">
        <v>1.7</v>
      </c>
      <c r="BI159">
        <v>1.9</v>
      </c>
      <c r="BK159">
        <v>1.9</v>
      </c>
      <c r="BM159">
        <v>2</v>
      </c>
      <c r="BO159">
        <v>2.1</v>
      </c>
    </row>
    <row r="160" spans="1:68" x14ac:dyDescent="0.35">
      <c r="A160" t="s">
        <v>707</v>
      </c>
      <c r="B160" t="s">
        <v>641</v>
      </c>
      <c r="C160" t="s">
        <v>200</v>
      </c>
      <c r="D160" t="s">
        <v>221</v>
      </c>
      <c r="BL160">
        <v>2.8</v>
      </c>
    </row>
    <row r="161" spans="1:67" x14ac:dyDescent="0.35">
      <c r="A161" t="s">
        <v>458</v>
      </c>
      <c r="B161" t="s">
        <v>600</v>
      </c>
      <c r="C161" t="s">
        <v>200</v>
      </c>
      <c r="D161" t="s">
        <v>221</v>
      </c>
    </row>
    <row r="162" spans="1:67" x14ac:dyDescent="0.35">
      <c r="A162" t="s">
        <v>123</v>
      </c>
      <c r="B162" t="s">
        <v>654</v>
      </c>
      <c r="C162" t="s">
        <v>200</v>
      </c>
      <c r="D162" t="s">
        <v>221</v>
      </c>
      <c r="AQ162">
        <v>3.4</v>
      </c>
      <c r="AS162">
        <v>2.6</v>
      </c>
      <c r="AU162">
        <v>2.4</v>
      </c>
      <c r="AV162">
        <v>2.4</v>
      </c>
      <c r="AW162">
        <v>2.4</v>
      </c>
      <c r="AX162">
        <v>2.2000000000000002</v>
      </c>
      <c r="AY162">
        <v>1.9</v>
      </c>
      <c r="BA162">
        <v>1.9</v>
      </c>
      <c r="BB162">
        <v>1.2</v>
      </c>
      <c r="BC162">
        <v>0.9</v>
      </c>
      <c r="BD162">
        <v>1.2</v>
      </c>
      <c r="BE162">
        <v>1.5</v>
      </c>
      <c r="BF162">
        <v>1.9</v>
      </c>
      <c r="BG162">
        <v>1.9</v>
      </c>
      <c r="BH162">
        <v>1.7</v>
      </c>
      <c r="BI162">
        <v>1.8</v>
      </c>
      <c r="BJ162">
        <v>1.7</v>
      </c>
      <c r="BK162">
        <v>2</v>
      </c>
      <c r="BL162">
        <v>1.9</v>
      </c>
    </row>
    <row r="163" spans="1:67" x14ac:dyDescent="0.35">
      <c r="A163" t="s">
        <v>357</v>
      </c>
      <c r="B163" t="s">
        <v>612</v>
      </c>
      <c r="C163" t="s">
        <v>200</v>
      </c>
      <c r="D163" t="s">
        <v>221</v>
      </c>
      <c r="AM163">
        <v>2</v>
      </c>
      <c r="AT163">
        <v>2.5</v>
      </c>
      <c r="AY163">
        <v>2.5</v>
      </c>
      <c r="BB163">
        <v>3.3</v>
      </c>
      <c r="BK163">
        <v>3.2</v>
      </c>
      <c r="BN163">
        <v>3.2</v>
      </c>
    </row>
    <row r="164" spans="1:67" x14ac:dyDescent="0.35">
      <c r="A164" t="s">
        <v>407</v>
      </c>
      <c r="B164" t="s">
        <v>119</v>
      </c>
      <c r="C164" t="s">
        <v>200</v>
      </c>
      <c r="D164" t="s">
        <v>221</v>
      </c>
      <c r="AY164">
        <v>3.4</v>
      </c>
      <c r="AZ164">
        <v>3.2</v>
      </c>
      <c r="BA164">
        <v>3.5</v>
      </c>
      <c r="BB164">
        <v>3.3</v>
      </c>
      <c r="BC164">
        <v>3.4</v>
      </c>
      <c r="BD164">
        <v>3.5</v>
      </c>
      <c r="BE164">
        <v>3.4</v>
      </c>
      <c r="BF164">
        <v>3.5</v>
      </c>
      <c r="BG164">
        <v>3.5</v>
      </c>
      <c r="BH164">
        <v>3.4</v>
      </c>
      <c r="BI164">
        <v>3.5</v>
      </c>
      <c r="BJ164">
        <v>3.4</v>
      </c>
      <c r="BK164">
        <v>3.5</v>
      </c>
      <c r="BL164">
        <v>3.2</v>
      </c>
      <c r="BM164">
        <v>3.1</v>
      </c>
      <c r="BN164">
        <v>3.3</v>
      </c>
      <c r="BO164">
        <v>2.7</v>
      </c>
    </row>
    <row r="165" spans="1:67" x14ac:dyDescent="0.35">
      <c r="A165" t="s">
        <v>433</v>
      </c>
      <c r="B165" t="s">
        <v>69</v>
      </c>
      <c r="C165" t="s">
        <v>200</v>
      </c>
      <c r="D165" t="s">
        <v>221</v>
      </c>
      <c r="BH165">
        <v>3</v>
      </c>
      <c r="BJ165">
        <v>3.8</v>
      </c>
    </row>
    <row r="166" spans="1:67" x14ac:dyDescent="0.35">
      <c r="A166" t="s">
        <v>660</v>
      </c>
      <c r="B166" t="s">
        <v>553</v>
      </c>
      <c r="C166" t="s">
        <v>200</v>
      </c>
      <c r="D166" t="s">
        <v>221</v>
      </c>
    </row>
    <row r="167" spans="1:67" x14ac:dyDescent="0.35">
      <c r="A167" t="s">
        <v>412</v>
      </c>
      <c r="B167" t="s">
        <v>201</v>
      </c>
      <c r="C167" t="s">
        <v>200</v>
      </c>
      <c r="D167" t="s">
        <v>221</v>
      </c>
      <c r="AX167">
        <v>3.5</v>
      </c>
      <c r="AY167">
        <v>3.5</v>
      </c>
      <c r="AZ167">
        <v>3.2</v>
      </c>
      <c r="BA167">
        <v>3.5</v>
      </c>
      <c r="BB167">
        <v>3.3</v>
      </c>
      <c r="BC167">
        <v>3.6</v>
      </c>
      <c r="BD167">
        <v>3.3</v>
      </c>
      <c r="BE167">
        <v>1.6</v>
      </c>
      <c r="BF167">
        <v>1.7</v>
      </c>
      <c r="BG167">
        <v>1.8</v>
      </c>
      <c r="BH167">
        <v>1.8</v>
      </c>
      <c r="BI167">
        <v>1.7</v>
      </c>
      <c r="BJ167">
        <v>1.6</v>
      </c>
      <c r="BK167">
        <v>1.8</v>
      </c>
      <c r="BL167">
        <v>2.1</v>
      </c>
      <c r="BM167">
        <v>2.1</v>
      </c>
      <c r="BN167">
        <v>2.1</v>
      </c>
    </row>
    <row r="168" spans="1:67" x14ac:dyDescent="0.35">
      <c r="A168" t="s">
        <v>405</v>
      </c>
      <c r="B168" t="s">
        <v>481</v>
      </c>
      <c r="C168" t="s">
        <v>200</v>
      </c>
      <c r="D168" t="s">
        <v>221</v>
      </c>
      <c r="AN168">
        <v>3.1</v>
      </c>
      <c r="AQ168">
        <v>3</v>
      </c>
      <c r="AU168">
        <v>3</v>
      </c>
      <c r="AZ168">
        <v>3</v>
      </c>
      <c r="BC168">
        <v>3.2</v>
      </c>
      <c r="BD168">
        <v>3.2</v>
      </c>
      <c r="BE168">
        <v>3.1</v>
      </c>
      <c r="BG168">
        <v>3.3</v>
      </c>
      <c r="BI168">
        <v>3.3</v>
      </c>
      <c r="BK168">
        <v>3.3</v>
      </c>
      <c r="BO168">
        <v>3.4</v>
      </c>
    </row>
    <row r="169" spans="1:67" x14ac:dyDescent="0.35">
      <c r="A169" t="s">
        <v>184</v>
      </c>
      <c r="B169" t="s">
        <v>613</v>
      </c>
      <c r="C169" t="s">
        <v>200</v>
      </c>
      <c r="D169" t="s">
        <v>221</v>
      </c>
    </row>
    <row r="170" spans="1:67" x14ac:dyDescent="0.35">
      <c r="A170" t="s">
        <v>606</v>
      </c>
      <c r="B170" t="s">
        <v>141</v>
      </c>
      <c r="C170" t="s">
        <v>200</v>
      </c>
      <c r="D170" t="s">
        <v>221</v>
      </c>
      <c r="AO170">
        <v>1.7</v>
      </c>
      <c r="AU170">
        <v>2.2000000000000002</v>
      </c>
      <c r="BA170">
        <v>2</v>
      </c>
      <c r="BG170">
        <v>1.6</v>
      </c>
      <c r="BL170">
        <v>1.7</v>
      </c>
      <c r="BO170">
        <v>1.7</v>
      </c>
    </row>
    <row r="171" spans="1:67" x14ac:dyDescent="0.35">
      <c r="A171" t="s">
        <v>59</v>
      </c>
      <c r="B171" t="s">
        <v>419</v>
      </c>
      <c r="C171" t="s">
        <v>200</v>
      </c>
      <c r="D171" t="s">
        <v>221</v>
      </c>
      <c r="AF171">
        <v>1.4</v>
      </c>
      <c r="AL171">
        <v>2.1</v>
      </c>
      <c r="AN171">
        <v>2.4</v>
      </c>
      <c r="AS171">
        <v>2.5</v>
      </c>
      <c r="AW171">
        <v>2.6</v>
      </c>
      <c r="BA171">
        <v>2.6</v>
      </c>
      <c r="BG171">
        <v>3</v>
      </c>
      <c r="BL171">
        <v>3.1</v>
      </c>
    </row>
    <row r="172" spans="1:67" x14ac:dyDescent="0.35">
      <c r="A172" t="s">
        <v>52</v>
      </c>
      <c r="B172" t="s">
        <v>429</v>
      </c>
      <c r="C172" t="s">
        <v>200</v>
      </c>
      <c r="D172" t="s">
        <v>221</v>
      </c>
      <c r="AY172">
        <v>3.1</v>
      </c>
      <c r="BE172">
        <v>2.8</v>
      </c>
      <c r="BJ172">
        <v>2.9</v>
      </c>
    </row>
    <row r="173" spans="1:67" x14ac:dyDescent="0.35">
      <c r="A173" t="s">
        <v>543</v>
      </c>
      <c r="B173" t="s">
        <v>247</v>
      </c>
      <c r="C173" t="s">
        <v>200</v>
      </c>
      <c r="D173" t="s">
        <v>221</v>
      </c>
      <c r="AP173">
        <v>1.6</v>
      </c>
      <c r="AW173">
        <v>2.9</v>
      </c>
      <c r="BC173">
        <v>2.2000000000000002</v>
      </c>
      <c r="BI173">
        <v>2.6</v>
      </c>
      <c r="BL173">
        <v>2.9</v>
      </c>
    </row>
    <row r="174" spans="1:67" x14ac:dyDescent="0.35">
      <c r="A174" t="s">
        <v>452</v>
      </c>
      <c r="B174" t="s">
        <v>588</v>
      </c>
      <c r="C174" t="s">
        <v>200</v>
      </c>
      <c r="D174" t="s">
        <v>221</v>
      </c>
      <c r="AC174">
        <v>1.8</v>
      </c>
      <c r="AF174">
        <v>2</v>
      </c>
      <c r="AH174">
        <v>2.1</v>
      </c>
      <c r="AK174">
        <v>1.9</v>
      </c>
      <c r="AN174">
        <v>1.8</v>
      </c>
      <c r="AP174">
        <v>1.7</v>
      </c>
      <c r="AV174">
        <v>1.8</v>
      </c>
      <c r="AY174">
        <v>1.9</v>
      </c>
      <c r="BA174">
        <v>1.8</v>
      </c>
      <c r="BD174">
        <v>2</v>
      </c>
      <c r="BF174">
        <v>2.2999999999999998</v>
      </c>
      <c r="BH174">
        <v>2.2999999999999998</v>
      </c>
      <c r="BK174">
        <v>2.2999999999999998</v>
      </c>
      <c r="BN174">
        <v>2.2999999999999998</v>
      </c>
    </row>
    <row r="175" spans="1:67" x14ac:dyDescent="0.35">
      <c r="A175" t="s">
        <v>227</v>
      </c>
      <c r="B175" t="s">
        <v>664</v>
      </c>
      <c r="C175" t="s">
        <v>200</v>
      </c>
      <c r="D175" t="s">
        <v>221</v>
      </c>
    </row>
    <row r="176" spans="1:67" x14ac:dyDescent="0.35">
      <c r="A176" t="s">
        <v>157</v>
      </c>
      <c r="B176" t="s">
        <v>270</v>
      </c>
      <c r="C176" t="s">
        <v>200</v>
      </c>
      <c r="D176" t="s">
        <v>221</v>
      </c>
      <c r="AL176">
        <v>0.7</v>
      </c>
      <c r="AV176">
        <v>1.1000000000000001</v>
      </c>
      <c r="BB176">
        <v>1.3</v>
      </c>
      <c r="BH176">
        <v>1</v>
      </c>
    </row>
    <row r="177" spans="1:69" x14ac:dyDescent="0.35">
      <c r="A177" t="s">
        <v>723</v>
      </c>
      <c r="B177" t="s">
        <v>198</v>
      </c>
      <c r="C177" t="s">
        <v>200</v>
      </c>
      <c r="D177" t="s">
        <v>221</v>
      </c>
    </row>
    <row r="178" spans="1:69" x14ac:dyDescent="0.35">
      <c r="A178" t="s">
        <v>181</v>
      </c>
      <c r="B178" t="s">
        <v>142</v>
      </c>
      <c r="C178" t="s">
        <v>200</v>
      </c>
      <c r="D178" t="s">
        <v>221</v>
      </c>
      <c r="AK178">
        <v>3.2</v>
      </c>
      <c r="AM178">
        <v>2.4</v>
      </c>
      <c r="AX178">
        <v>2.2999999999999998</v>
      </c>
      <c r="AZ178">
        <v>3.2</v>
      </c>
      <c r="BD178">
        <v>3.8</v>
      </c>
      <c r="BG178">
        <v>3.2</v>
      </c>
      <c r="BK178">
        <v>3.2</v>
      </c>
      <c r="BN178">
        <v>3.8</v>
      </c>
    </row>
    <row r="179" spans="1:69" x14ac:dyDescent="0.35">
      <c r="A179" t="s">
        <v>304</v>
      </c>
      <c r="B179" t="s">
        <v>685</v>
      </c>
      <c r="C179" t="s">
        <v>200</v>
      </c>
      <c r="D179" t="s">
        <v>221</v>
      </c>
      <c r="AD179">
        <v>2.5</v>
      </c>
      <c r="AK179">
        <v>1.4</v>
      </c>
      <c r="AO179">
        <v>1.3</v>
      </c>
      <c r="AV179">
        <v>2.1</v>
      </c>
      <c r="BC179">
        <v>2.9</v>
      </c>
      <c r="BE179">
        <v>2.9</v>
      </c>
      <c r="BH179">
        <v>2.8</v>
      </c>
      <c r="BK179">
        <v>2.9</v>
      </c>
      <c r="BO179">
        <v>3</v>
      </c>
    </row>
    <row r="180" spans="1:69" x14ac:dyDescent="0.35">
      <c r="A180" t="s">
        <v>604</v>
      </c>
      <c r="B180" t="s">
        <v>220</v>
      </c>
      <c r="C180" t="s">
        <v>200</v>
      </c>
      <c r="D180" t="s">
        <v>221</v>
      </c>
      <c r="AL180">
        <v>0.6</v>
      </c>
      <c r="AQ180">
        <v>1</v>
      </c>
      <c r="AT180">
        <v>1.4</v>
      </c>
      <c r="AX180">
        <v>1.9</v>
      </c>
      <c r="BB180">
        <v>2</v>
      </c>
      <c r="BG180">
        <v>2</v>
      </c>
    </row>
    <row r="181" spans="1:69" x14ac:dyDescent="0.35">
      <c r="A181" t="s">
        <v>14</v>
      </c>
      <c r="B181" t="s">
        <v>517</v>
      </c>
      <c r="C181" t="s">
        <v>200</v>
      </c>
      <c r="D181" t="s">
        <v>221</v>
      </c>
      <c r="AB181">
        <v>3.3</v>
      </c>
      <c r="AF181">
        <v>4.2</v>
      </c>
      <c r="AI181">
        <v>3.3</v>
      </c>
      <c r="AL181">
        <v>2.8</v>
      </c>
      <c r="AR181">
        <v>3.8</v>
      </c>
      <c r="AW181">
        <v>3.2</v>
      </c>
      <c r="AX181">
        <v>3.5</v>
      </c>
      <c r="AY181">
        <v>3.5</v>
      </c>
      <c r="AZ181">
        <v>3.5</v>
      </c>
      <c r="BA181">
        <v>3.4</v>
      </c>
      <c r="BB181">
        <v>3.6</v>
      </c>
      <c r="BC181">
        <v>3.6</v>
      </c>
      <c r="BD181">
        <v>3.6</v>
      </c>
      <c r="BE181">
        <v>3.7</v>
      </c>
      <c r="BF181">
        <v>3.5</v>
      </c>
      <c r="BG181">
        <v>3.5</v>
      </c>
      <c r="BH181">
        <v>3.5</v>
      </c>
      <c r="BI181">
        <v>3.5</v>
      </c>
      <c r="BJ181">
        <v>3.5</v>
      </c>
      <c r="BK181">
        <v>3.5</v>
      </c>
      <c r="BL181">
        <v>3.4</v>
      </c>
      <c r="BM181">
        <v>3.6</v>
      </c>
      <c r="BN181">
        <v>3.6</v>
      </c>
    </row>
    <row r="182" spans="1:69" x14ac:dyDescent="0.35">
      <c r="A182" t="s">
        <v>680</v>
      </c>
      <c r="B182" t="s">
        <v>597</v>
      </c>
      <c r="C182" t="s">
        <v>200</v>
      </c>
      <c r="D182" t="s">
        <v>221</v>
      </c>
      <c r="X182">
        <v>4</v>
      </c>
      <c r="AE182">
        <v>4.4000000000000004</v>
      </c>
      <c r="AJ182">
        <v>4.3</v>
      </c>
      <c r="AN182">
        <v>4</v>
      </c>
      <c r="AS182">
        <v>4.0999999999999996</v>
      </c>
      <c r="AV182">
        <v>3.8</v>
      </c>
      <c r="AW182">
        <v>3.5</v>
      </c>
      <c r="AX182">
        <v>3.5</v>
      </c>
      <c r="AY182">
        <v>3.5</v>
      </c>
      <c r="AZ182">
        <v>3.7</v>
      </c>
      <c r="BA182">
        <v>3.5</v>
      </c>
      <c r="BB182">
        <v>3.7</v>
      </c>
      <c r="BC182">
        <v>3.7</v>
      </c>
      <c r="BD182">
        <v>3.8</v>
      </c>
      <c r="BE182">
        <v>3.7</v>
      </c>
      <c r="BF182">
        <v>3.7</v>
      </c>
      <c r="BG182">
        <v>3.5</v>
      </c>
      <c r="BH182">
        <v>3.5</v>
      </c>
      <c r="BI182">
        <v>3.2</v>
      </c>
      <c r="BJ182">
        <v>3.3</v>
      </c>
      <c r="BK182">
        <v>3.4</v>
      </c>
      <c r="BL182">
        <v>3.4</v>
      </c>
      <c r="BM182">
        <v>3.3</v>
      </c>
      <c r="BN182">
        <v>3.4</v>
      </c>
      <c r="BO182">
        <v>3.5</v>
      </c>
      <c r="BP182">
        <v>3.6</v>
      </c>
    </row>
    <row r="183" spans="1:69" x14ac:dyDescent="0.35">
      <c r="A183" t="s">
        <v>216</v>
      </c>
      <c r="B183" t="s">
        <v>721</v>
      </c>
      <c r="C183" t="s">
        <v>200</v>
      </c>
      <c r="D183" t="s">
        <v>221</v>
      </c>
      <c r="AC183">
        <v>4</v>
      </c>
      <c r="AN183">
        <v>3.2</v>
      </c>
      <c r="AV183">
        <v>2.7</v>
      </c>
      <c r="BC183">
        <v>3.5</v>
      </c>
      <c r="BO183">
        <v>3.7</v>
      </c>
    </row>
    <row r="184" spans="1:69" x14ac:dyDescent="0.35">
      <c r="A184" t="s">
        <v>105</v>
      </c>
      <c r="B184" t="s">
        <v>272</v>
      </c>
      <c r="C184" t="s">
        <v>200</v>
      </c>
      <c r="D184" t="s">
        <v>221</v>
      </c>
      <c r="BE184">
        <v>3.4</v>
      </c>
    </row>
    <row r="185" spans="1:69" x14ac:dyDescent="0.35">
      <c r="A185" t="s">
        <v>561</v>
      </c>
      <c r="B185" t="s">
        <v>295</v>
      </c>
      <c r="C185" t="s">
        <v>200</v>
      </c>
      <c r="D185" t="s">
        <v>221</v>
      </c>
    </row>
    <row r="186" spans="1:69" x14ac:dyDescent="0.35">
      <c r="A186" t="s">
        <v>344</v>
      </c>
      <c r="B186" t="s">
        <v>653</v>
      </c>
      <c r="C186" t="s">
        <v>200</v>
      </c>
      <c r="D186" t="s">
        <v>221</v>
      </c>
    </row>
    <row r="187" spans="1:69" x14ac:dyDescent="0.35">
      <c r="A187" t="s">
        <v>697</v>
      </c>
      <c r="B187" t="s">
        <v>567</v>
      </c>
      <c r="C187" t="s">
        <v>200</v>
      </c>
      <c r="D187" t="s">
        <v>221</v>
      </c>
    </row>
    <row r="188" spans="1:69" x14ac:dyDescent="0.35">
      <c r="A188" t="s">
        <v>695</v>
      </c>
      <c r="B188" t="s">
        <v>421</v>
      </c>
      <c r="C188" t="s">
        <v>200</v>
      </c>
      <c r="D188" t="s">
        <v>221</v>
      </c>
    </row>
    <row r="189" spans="1:69" x14ac:dyDescent="0.35">
      <c r="A189" t="s">
        <v>740</v>
      </c>
      <c r="B189" t="s">
        <v>135</v>
      </c>
      <c r="C189" t="s">
        <v>200</v>
      </c>
      <c r="D189" t="s">
        <v>221</v>
      </c>
      <c r="AF189">
        <v>3.5</v>
      </c>
      <c r="AI189">
        <v>3.4</v>
      </c>
      <c r="AO189">
        <v>4.4000000000000004</v>
      </c>
      <c r="AQ189">
        <v>3.7</v>
      </c>
      <c r="AT189">
        <v>4.3</v>
      </c>
      <c r="AW189">
        <v>3.9</v>
      </c>
      <c r="AX189">
        <v>4.0999999999999996</v>
      </c>
      <c r="AZ189">
        <v>4.3</v>
      </c>
      <c r="BC189">
        <v>4.3</v>
      </c>
      <c r="BD189">
        <v>4.3</v>
      </c>
      <c r="BF189">
        <v>4.2</v>
      </c>
      <c r="BH189">
        <v>4.0999999999999996</v>
      </c>
      <c r="BK189">
        <v>4.2</v>
      </c>
    </row>
    <row r="190" spans="1:69" x14ac:dyDescent="0.35">
      <c r="A190" t="s">
        <v>541</v>
      </c>
      <c r="B190" t="s">
        <v>465</v>
      </c>
      <c r="C190" t="s">
        <v>200</v>
      </c>
      <c r="D190" t="s">
        <v>221</v>
      </c>
      <c r="X190">
        <v>1.5</v>
      </c>
      <c r="AH190">
        <v>0.3</v>
      </c>
      <c r="AJ190">
        <v>0.3</v>
      </c>
      <c r="AN190">
        <v>0.3</v>
      </c>
      <c r="AP190">
        <v>0.3</v>
      </c>
      <c r="AQ190">
        <v>0.3</v>
      </c>
      <c r="AR190">
        <v>0.4</v>
      </c>
      <c r="AS190">
        <v>0.5</v>
      </c>
      <c r="AT190">
        <v>0.5</v>
      </c>
      <c r="AU190">
        <v>0.8</v>
      </c>
      <c r="AV190">
        <v>0.7</v>
      </c>
      <c r="AW190">
        <v>0.8</v>
      </c>
      <c r="AX190">
        <v>0.8</v>
      </c>
      <c r="AY190">
        <v>0.7</v>
      </c>
      <c r="AZ190">
        <v>1</v>
      </c>
      <c r="BA190">
        <v>1</v>
      </c>
      <c r="BB190">
        <v>1.2</v>
      </c>
      <c r="BC190">
        <v>1.1000000000000001</v>
      </c>
      <c r="BD190">
        <v>1.1000000000000001</v>
      </c>
      <c r="BE190">
        <v>1</v>
      </c>
      <c r="BF190">
        <v>1.1000000000000001</v>
      </c>
      <c r="BG190">
        <v>1</v>
      </c>
      <c r="BH190">
        <v>1.1000000000000001</v>
      </c>
      <c r="BI190">
        <v>1.1000000000000001</v>
      </c>
      <c r="BJ190">
        <v>1.1000000000000001</v>
      </c>
      <c r="BK190">
        <v>1.2</v>
      </c>
      <c r="BL190">
        <v>1.2</v>
      </c>
      <c r="BN190">
        <v>1.2</v>
      </c>
      <c r="BP190">
        <v>1.2</v>
      </c>
      <c r="BQ190">
        <v>1.2</v>
      </c>
    </row>
    <row r="191" spans="1:69" x14ac:dyDescent="0.35">
      <c r="A191" t="s">
        <v>495</v>
      </c>
      <c r="B191" t="s">
        <v>296</v>
      </c>
      <c r="C191" t="s">
        <v>200</v>
      </c>
      <c r="D191" t="s">
        <v>221</v>
      </c>
      <c r="AD191">
        <v>1.8</v>
      </c>
      <c r="AM191">
        <v>1.8</v>
      </c>
      <c r="AP191">
        <v>1</v>
      </c>
      <c r="AQ191">
        <v>0.9</v>
      </c>
      <c r="AR191">
        <v>1</v>
      </c>
      <c r="AS191">
        <v>1.2</v>
      </c>
      <c r="AT191">
        <v>1.2</v>
      </c>
      <c r="AU191">
        <v>1.1000000000000001</v>
      </c>
      <c r="AV191">
        <v>1.3</v>
      </c>
      <c r="AW191">
        <v>1.3</v>
      </c>
      <c r="AX191">
        <v>1.2</v>
      </c>
      <c r="AY191">
        <v>1.2</v>
      </c>
      <c r="AZ191">
        <v>1.2</v>
      </c>
      <c r="BA191">
        <v>1.3</v>
      </c>
      <c r="BB191">
        <v>1.4</v>
      </c>
      <c r="BC191">
        <v>1.5</v>
      </c>
      <c r="BD191">
        <v>1.5</v>
      </c>
      <c r="BE191">
        <v>1.5</v>
      </c>
      <c r="BF191">
        <v>1.6</v>
      </c>
      <c r="BG191">
        <v>1.6</v>
      </c>
      <c r="BH191">
        <v>1.6</v>
      </c>
      <c r="BI191">
        <v>1.6</v>
      </c>
      <c r="BJ191">
        <v>1.7</v>
      </c>
      <c r="BK191">
        <v>1.8</v>
      </c>
      <c r="BL191">
        <v>1.9</v>
      </c>
      <c r="BM191">
        <v>1.7</v>
      </c>
      <c r="BN191">
        <v>2.1</v>
      </c>
      <c r="BO191">
        <v>2.1</v>
      </c>
      <c r="BP191">
        <v>2</v>
      </c>
      <c r="BQ191">
        <v>2</v>
      </c>
    </row>
    <row r="192" spans="1:69" x14ac:dyDescent="0.35">
      <c r="A192" t="s">
        <v>285</v>
      </c>
      <c r="B192" t="s">
        <v>580</v>
      </c>
      <c r="C192" t="s">
        <v>200</v>
      </c>
      <c r="D192" t="s">
        <v>221</v>
      </c>
      <c r="AD192">
        <v>2.8</v>
      </c>
      <c r="AG192">
        <v>2.7</v>
      </c>
      <c r="AJ192">
        <v>2.5</v>
      </c>
      <c r="AM192">
        <v>2.6</v>
      </c>
      <c r="AP192">
        <v>2.2000000000000002</v>
      </c>
      <c r="AS192">
        <v>2.1</v>
      </c>
      <c r="AV192">
        <v>2.1</v>
      </c>
      <c r="AY192">
        <v>2</v>
      </c>
      <c r="BB192">
        <v>2.2000000000000002</v>
      </c>
      <c r="BE192">
        <v>2.1</v>
      </c>
      <c r="BH192">
        <v>2.2999999999999998</v>
      </c>
      <c r="BK192">
        <v>2.5</v>
      </c>
      <c r="BN192">
        <v>2.7</v>
      </c>
      <c r="BP192">
        <v>2.9</v>
      </c>
    </row>
    <row r="193" spans="1:69" x14ac:dyDescent="0.35">
      <c r="A193" t="s">
        <v>679</v>
      </c>
      <c r="B193" t="s">
        <v>384</v>
      </c>
      <c r="C193" t="s">
        <v>200</v>
      </c>
      <c r="D193" t="s">
        <v>221</v>
      </c>
    </row>
    <row r="194" spans="1:69" x14ac:dyDescent="0.35">
      <c r="A194" t="s">
        <v>454</v>
      </c>
      <c r="B194" t="s">
        <v>262</v>
      </c>
      <c r="C194" t="s">
        <v>200</v>
      </c>
      <c r="D194" t="s">
        <v>221</v>
      </c>
      <c r="AO194">
        <v>2</v>
      </c>
      <c r="BB194">
        <v>1.9</v>
      </c>
    </row>
    <row r="195" spans="1:69" x14ac:dyDescent="0.35">
      <c r="A195" t="s">
        <v>75</v>
      </c>
      <c r="B195" t="s">
        <v>43</v>
      </c>
      <c r="C195" t="s">
        <v>200</v>
      </c>
      <c r="D195" t="s">
        <v>221</v>
      </c>
      <c r="AD195">
        <v>4.0999999999999996</v>
      </c>
      <c r="AE195">
        <v>3.5</v>
      </c>
      <c r="AF195">
        <v>4.0999999999999996</v>
      </c>
      <c r="AH195">
        <v>3.8</v>
      </c>
      <c r="AK195">
        <v>3.7</v>
      </c>
      <c r="AL195">
        <v>3.9</v>
      </c>
      <c r="AN195">
        <v>2.6</v>
      </c>
      <c r="AO195">
        <v>3.5</v>
      </c>
      <c r="AQ195">
        <v>3.4</v>
      </c>
      <c r="AR195">
        <v>3</v>
      </c>
      <c r="AS195">
        <v>3.2</v>
      </c>
      <c r="AT195">
        <v>3.2</v>
      </c>
      <c r="AU195">
        <v>3.1</v>
      </c>
      <c r="AV195">
        <v>3</v>
      </c>
      <c r="AW195">
        <v>1.9</v>
      </c>
      <c r="AX195">
        <v>2.4</v>
      </c>
      <c r="AY195">
        <v>2.6</v>
      </c>
      <c r="AZ195">
        <v>2.7</v>
      </c>
      <c r="BA195">
        <v>2.8</v>
      </c>
      <c r="BB195">
        <v>2.8</v>
      </c>
      <c r="BC195">
        <v>2.8</v>
      </c>
      <c r="BD195">
        <v>2.8</v>
      </c>
      <c r="BE195">
        <v>2.8</v>
      </c>
      <c r="BF195">
        <v>2.7</v>
      </c>
      <c r="BG195">
        <v>2.7</v>
      </c>
      <c r="BH195">
        <v>2.8</v>
      </c>
      <c r="BI195">
        <v>3</v>
      </c>
      <c r="BJ195">
        <v>3.2</v>
      </c>
      <c r="BK195">
        <v>3.2</v>
      </c>
      <c r="BL195">
        <v>3.4</v>
      </c>
      <c r="BM195">
        <v>3.4</v>
      </c>
      <c r="BN195">
        <v>3.4</v>
      </c>
      <c r="BO195">
        <v>3.3</v>
      </c>
      <c r="BP195">
        <v>3.3</v>
      </c>
    </row>
    <row r="196" spans="1:69" x14ac:dyDescent="0.35">
      <c r="A196" t="s">
        <v>237</v>
      </c>
      <c r="B196" t="s">
        <v>294</v>
      </c>
      <c r="C196" t="s">
        <v>200</v>
      </c>
      <c r="D196" t="s">
        <v>221</v>
      </c>
    </row>
    <row r="197" spans="1:69" x14ac:dyDescent="0.35">
      <c r="A197" t="s">
        <v>269</v>
      </c>
      <c r="B197" t="s">
        <v>686</v>
      </c>
      <c r="C197" t="s">
        <v>200</v>
      </c>
      <c r="D197" t="s">
        <v>221</v>
      </c>
    </row>
    <row r="198" spans="1:69" x14ac:dyDescent="0.35">
      <c r="A198" t="s">
        <v>525</v>
      </c>
      <c r="B198" t="s">
        <v>60</v>
      </c>
      <c r="C198" t="s">
        <v>200</v>
      </c>
      <c r="D198" t="s">
        <v>221</v>
      </c>
    </row>
    <row r="199" spans="1:69" x14ac:dyDescent="0.35">
      <c r="A199" t="s">
        <v>434</v>
      </c>
      <c r="B199" t="s">
        <v>192</v>
      </c>
      <c r="C199" t="s">
        <v>200</v>
      </c>
      <c r="D199" t="s">
        <v>221</v>
      </c>
      <c r="AV199">
        <v>2.2999999999999998</v>
      </c>
      <c r="AW199">
        <v>2.4</v>
      </c>
      <c r="AX199">
        <v>2.4</v>
      </c>
      <c r="AY199">
        <v>2.5</v>
      </c>
      <c r="AZ199">
        <v>2.6</v>
      </c>
      <c r="BA199">
        <v>2.6</v>
      </c>
      <c r="BB199">
        <v>2.7</v>
      </c>
      <c r="BC199">
        <v>2.7</v>
      </c>
      <c r="BD199">
        <v>2.5</v>
      </c>
      <c r="BE199">
        <v>2.2000000000000002</v>
      </c>
      <c r="BF199">
        <v>2.1</v>
      </c>
      <c r="BG199">
        <v>2.2999999999999998</v>
      </c>
      <c r="BH199">
        <v>2.4</v>
      </c>
      <c r="BI199">
        <v>2.4</v>
      </c>
      <c r="BJ199">
        <v>2.7</v>
      </c>
      <c r="BK199">
        <v>2.8</v>
      </c>
      <c r="BL199">
        <v>2.8</v>
      </c>
      <c r="BM199">
        <v>2.4</v>
      </c>
      <c r="BN199">
        <v>2.8</v>
      </c>
      <c r="BO199">
        <v>2.5</v>
      </c>
      <c r="BP199">
        <v>2.7</v>
      </c>
    </row>
    <row r="200" spans="1:69" x14ac:dyDescent="0.35">
      <c r="A200" t="s">
        <v>494</v>
      </c>
      <c r="B200" t="s">
        <v>72</v>
      </c>
      <c r="C200" t="s">
        <v>200</v>
      </c>
      <c r="D200" t="s">
        <v>221</v>
      </c>
      <c r="AI200">
        <v>2.2000000000000002</v>
      </c>
      <c r="AN200">
        <v>0.7</v>
      </c>
      <c r="AP200">
        <v>0.7</v>
      </c>
      <c r="AR200">
        <v>0.9</v>
      </c>
      <c r="AT200">
        <v>1</v>
      </c>
      <c r="AU200">
        <v>1</v>
      </c>
      <c r="AV200">
        <v>1.2</v>
      </c>
      <c r="AW200">
        <v>1.4</v>
      </c>
      <c r="AX200">
        <v>1.3</v>
      </c>
      <c r="AY200">
        <v>1.3</v>
      </c>
      <c r="AZ200">
        <v>1.2</v>
      </c>
      <c r="BA200">
        <v>1.5</v>
      </c>
      <c r="BB200">
        <v>1.4</v>
      </c>
      <c r="BC200">
        <v>1.3</v>
      </c>
      <c r="BD200">
        <v>1.2</v>
      </c>
      <c r="BE200">
        <v>1.5</v>
      </c>
      <c r="BF200">
        <v>1.6</v>
      </c>
      <c r="BG200">
        <v>1.4</v>
      </c>
      <c r="BH200">
        <v>1.6</v>
      </c>
      <c r="BI200">
        <v>1.6</v>
      </c>
      <c r="BJ200">
        <v>1.8</v>
      </c>
      <c r="BK200">
        <v>1.7</v>
      </c>
      <c r="BL200">
        <v>1.8</v>
      </c>
      <c r="BM200">
        <v>2</v>
      </c>
      <c r="BN200">
        <v>2.1</v>
      </c>
      <c r="BO200">
        <v>1.8</v>
      </c>
      <c r="BP200">
        <v>1.9</v>
      </c>
      <c r="BQ200">
        <v>2</v>
      </c>
    </row>
    <row r="201" spans="1:69" x14ac:dyDescent="0.35">
      <c r="A201" t="s">
        <v>87</v>
      </c>
      <c r="B201" t="s">
        <v>199</v>
      </c>
      <c r="C201" t="s">
        <v>200</v>
      </c>
      <c r="D201" t="s">
        <v>221</v>
      </c>
      <c r="AW201">
        <v>3</v>
      </c>
      <c r="AX201">
        <v>2.9</v>
      </c>
      <c r="AY201">
        <v>3.2</v>
      </c>
      <c r="AZ201">
        <v>2.8</v>
      </c>
      <c r="BB201">
        <v>3.2</v>
      </c>
      <c r="BC201">
        <v>3.1</v>
      </c>
      <c r="BD201">
        <v>3.1</v>
      </c>
      <c r="BI201">
        <v>2.9</v>
      </c>
      <c r="BP201">
        <v>2.5</v>
      </c>
    </row>
    <row r="202" spans="1:69" x14ac:dyDescent="0.35">
      <c r="A202" t="s">
        <v>131</v>
      </c>
      <c r="B202" t="s">
        <v>210</v>
      </c>
      <c r="C202" t="s">
        <v>200</v>
      </c>
      <c r="D202" t="s">
        <v>221</v>
      </c>
    </row>
    <row r="203" spans="1:69" x14ac:dyDescent="0.35">
      <c r="A203" t="s">
        <v>592</v>
      </c>
      <c r="B203" t="s">
        <v>280</v>
      </c>
      <c r="C203" t="s">
        <v>200</v>
      </c>
      <c r="D203" t="s">
        <v>221</v>
      </c>
    </row>
    <row r="204" spans="1:69" x14ac:dyDescent="0.35">
      <c r="A204" t="s">
        <v>364</v>
      </c>
      <c r="B204" t="s">
        <v>577</v>
      </c>
      <c r="C204" t="s">
        <v>200</v>
      </c>
      <c r="D204" t="s">
        <v>221</v>
      </c>
    </row>
    <row r="205" spans="1:69" x14ac:dyDescent="0.35">
      <c r="A205" t="s">
        <v>614</v>
      </c>
      <c r="B205" t="s">
        <v>25</v>
      </c>
      <c r="C205" t="s">
        <v>200</v>
      </c>
      <c r="D205" t="s">
        <v>221</v>
      </c>
      <c r="BJ205">
        <v>2.6</v>
      </c>
    </row>
    <row r="206" spans="1:69" x14ac:dyDescent="0.35">
      <c r="A206" t="s">
        <v>554</v>
      </c>
      <c r="B206" t="s">
        <v>333</v>
      </c>
      <c r="C206" t="s">
        <v>200</v>
      </c>
      <c r="D206" t="s">
        <v>221</v>
      </c>
      <c r="AH206">
        <v>4.0999999999999996</v>
      </c>
      <c r="AK206">
        <v>3.8</v>
      </c>
      <c r="AM206">
        <v>3.7</v>
      </c>
      <c r="AN206">
        <v>3.2</v>
      </c>
      <c r="AP206">
        <v>3.3</v>
      </c>
      <c r="AQ206">
        <v>3.2</v>
      </c>
      <c r="AR206">
        <v>3.5</v>
      </c>
      <c r="AS206">
        <v>3.4</v>
      </c>
      <c r="AT206">
        <v>3.4</v>
      </c>
      <c r="AU206">
        <v>3.3</v>
      </c>
      <c r="AV206">
        <v>3.4</v>
      </c>
      <c r="AW206">
        <v>3.4</v>
      </c>
      <c r="AX206">
        <v>3.4</v>
      </c>
      <c r="AY206">
        <v>1.7</v>
      </c>
      <c r="AZ206">
        <v>1.9</v>
      </c>
      <c r="BA206">
        <v>1.9</v>
      </c>
      <c r="BB206">
        <v>2.1</v>
      </c>
      <c r="BC206">
        <v>1.9</v>
      </c>
      <c r="BD206">
        <v>1.8</v>
      </c>
      <c r="BE206">
        <v>1.7</v>
      </c>
      <c r="BF206">
        <v>1.6</v>
      </c>
      <c r="BG206">
        <v>1.5</v>
      </c>
      <c r="BH206">
        <v>1.6</v>
      </c>
      <c r="BI206">
        <v>1.8</v>
      </c>
      <c r="BJ206">
        <v>1.6</v>
      </c>
      <c r="BK206">
        <v>1.6</v>
      </c>
      <c r="BL206">
        <v>1.7</v>
      </c>
      <c r="BM206">
        <v>1.7</v>
      </c>
      <c r="BN206">
        <v>1.9</v>
      </c>
      <c r="BO206">
        <v>1.9</v>
      </c>
      <c r="BP206">
        <v>2.4</v>
      </c>
    </row>
    <row r="207" spans="1:69" x14ac:dyDescent="0.35">
      <c r="A207" t="s">
        <v>2</v>
      </c>
      <c r="B207" t="s">
        <v>355</v>
      </c>
      <c r="C207" t="s">
        <v>200</v>
      </c>
      <c r="D207" t="s">
        <v>221</v>
      </c>
      <c r="AL207">
        <v>1.8</v>
      </c>
      <c r="AO207">
        <v>1.6</v>
      </c>
      <c r="AP207">
        <v>2.4</v>
      </c>
      <c r="AQ207">
        <v>2.4</v>
      </c>
      <c r="AR207">
        <v>2.4</v>
      </c>
      <c r="AS207">
        <v>2.5</v>
      </c>
      <c r="AT207">
        <v>2.6</v>
      </c>
      <c r="AU207">
        <v>2.6</v>
      </c>
      <c r="AV207">
        <v>2.4</v>
      </c>
      <c r="AW207">
        <v>2.2999999999999998</v>
      </c>
      <c r="AX207">
        <v>2.2999999999999998</v>
      </c>
      <c r="AY207">
        <v>2.2999999999999998</v>
      </c>
      <c r="AZ207">
        <v>2.2999999999999998</v>
      </c>
      <c r="BA207">
        <v>2.4</v>
      </c>
      <c r="BB207">
        <v>2.6</v>
      </c>
      <c r="BC207">
        <v>2.5</v>
      </c>
      <c r="BD207">
        <v>2.6</v>
      </c>
      <c r="BE207">
        <v>2.5</v>
      </c>
      <c r="BF207">
        <v>2.6</v>
      </c>
      <c r="BG207">
        <v>2.2000000000000002</v>
      </c>
      <c r="BH207">
        <v>2.2000000000000002</v>
      </c>
      <c r="BI207">
        <v>2.2999999999999998</v>
      </c>
      <c r="BJ207">
        <v>2.4</v>
      </c>
      <c r="BK207">
        <v>2.6</v>
      </c>
      <c r="BL207">
        <v>2.5</v>
      </c>
      <c r="BM207">
        <v>2.9</v>
      </c>
      <c r="BN207">
        <v>2.7</v>
      </c>
      <c r="BO207">
        <v>3</v>
      </c>
      <c r="BP207">
        <v>3.1</v>
      </c>
    </row>
    <row r="208" spans="1:69" x14ac:dyDescent="0.35">
      <c r="A208" t="s">
        <v>273</v>
      </c>
      <c r="B208" t="s">
        <v>94</v>
      </c>
      <c r="C208" t="s">
        <v>200</v>
      </c>
      <c r="D208" t="s">
        <v>221</v>
      </c>
      <c r="AS208">
        <v>2</v>
      </c>
      <c r="AX208">
        <v>1.7</v>
      </c>
      <c r="BC208">
        <v>2.2999999999999998</v>
      </c>
      <c r="BF208">
        <v>2.4</v>
      </c>
      <c r="BI208">
        <v>2.4</v>
      </c>
      <c r="BP208">
        <v>3.1</v>
      </c>
    </row>
    <row r="209" spans="1:68" x14ac:dyDescent="0.35">
      <c r="A209" t="s">
        <v>90</v>
      </c>
      <c r="B209" t="s">
        <v>126</v>
      </c>
      <c r="C209" t="s">
        <v>200</v>
      </c>
      <c r="D209" t="s">
        <v>221</v>
      </c>
    </row>
    <row r="210" spans="1:68" x14ac:dyDescent="0.35">
      <c r="A210" t="s">
        <v>480</v>
      </c>
      <c r="B210" t="s">
        <v>249</v>
      </c>
      <c r="C210" t="s">
        <v>200</v>
      </c>
      <c r="D210" t="s">
        <v>221</v>
      </c>
    </row>
    <row r="211" spans="1:68" x14ac:dyDescent="0.35">
      <c r="A211" t="s">
        <v>232</v>
      </c>
      <c r="B211" t="s">
        <v>466</v>
      </c>
      <c r="C211" t="s">
        <v>200</v>
      </c>
      <c r="D211" t="s">
        <v>221</v>
      </c>
      <c r="BB211">
        <v>2.6</v>
      </c>
      <c r="BG211">
        <v>3.2</v>
      </c>
    </row>
    <row r="212" spans="1:68" x14ac:dyDescent="0.35">
      <c r="A212" t="s">
        <v>35</v>
      </c>
      <c r="B212" t="s">
        <v>560</v>
      </c>
      <c r="C212" t="s">
        <v>200</v>
      </c>
      <c r="D212" t="s">
        <v>221</v>
      </c>
      <c r="AJ212">
        <v>1.4</v>
      </c>
      <c r="AM212">
        <v>2.9</v>
      </c>
      <c r="AT212">
        <v>2.7</v>
      </c>
      <c r="AX212">
        <v>2.4</v>
      </c>
      <c r="BD212">
        <v>2.2999999999999998</v>
      </c>
      <c r="BK212">
        <v>3</v>
      </c>
      <c r="BN212">
        <v>3</v>
      </c>
    </row>
    <row r="213" spans="1:68" x14ac:dyDescent="0.35">
      <c r="A213" t="s">
        <v>508</v>
      </c>
      <c r="B213" t="s">
        <v>83</v>
      </c>
      <c r="C213" t="s">
        <v>200</v>
      </c>
      <c r="D213" t="s">
        <v>221</v>
      </c>
    </row>
    <row r="214" spans="1:68" x14ac:dyDescent="0.35">
      <c r="A214" t="s">
        <v>101</v>
      </c>
      <c r="B214" t="s">
        <v>316</v>
      </c>
      <c r="C214" t="s">
        <v>200</v>
      </c>
      <c r="D214" t="s">
        <v>221</v>
      </c>
      <c r="AX214">
        <v>1.9</v>
      </c>
      <c r="BE214">
        <v>2.8</v>
      </c>
    </row>
    <row r="215" spans="1:68" x14ac:dyDescent="0.35">
      <c r="A215" t="s">
        <v>703</v>
      </c>
      <c r="B215" t="s">
        <v>644</v>
      </c>
      <c r="C215" t="s">
        <v>200</v>
      </c>
      <c r="D215" t="s">
        <v>221</v>
      </c>
      <c r="AV215">
        <v>2.7</v>
      </c>
      <c r="BD215">
        <v>3.3</v>
      </c>
      <c r="BK215">
        <v>3.4</v>
      </c>
    </row>
    <row r="216" spans="1:68" x14ac:dyDescent="0.35">
      <c r="A216" t="s">
        <v>573</v>
      </c>
      <c r="B216" t="s">
        <v>95</v>
      </c>
      <c r="C216" t="s">
        <v>200</v>
      </c>
      <c r="D216" t="s">
        <v>221</v>
      </c>
      <c r="AH216">
        <v>0.6</v>
      </c>
      <c r="AJ216">
        <v>0.7</v>
      </c>
      <c r="AN216">
        <v>1.1000000000000001</v>
      </c>
      <c r="AO216">
        <v>1.1000000000000001</v>
      </c>
      <c r="AQ216">
        <v>0.5</v>
      </c>
      <c r="AR216">
        <v>0.6</v>
      </c>
      <c r="AS216">
        <v>1</v>
      </c>
      <c r="AT216">
        <v>0.9</v>
      </c>
      <c r="AU216">
        <v>0.9</v>
      </c>
      <c r="AV216">
        <v>0.7</v>
      </c>
      <c r="AW216">
        <v>1.1000000000000001</v>
      </c>
      <c r="AX216">
        <v>1.2</v>
      </c>
      <c r="AY216">
        <v>1.7</v>
      </c>
      <c r="AZ216">
        <v>1.9</v>
      </c>
      <c r="BA216">
        <v>1.7</v>
      </c>
      <c r="BB216">
        <v>1.8</v>
      </c>
      <c r="BC216">
        <v>1.9</v>
      </c>
      <c r="BD216">
        <v>2.1</v>
      </c>
      <c r="BE216">
        <v>2.2000000000000002</v>
      </c>
      <c r="BF216">
        <v>2.1</v>
      </c>
      <c r="BG216">
        <v>2.2000000000000002</v>
      </c>
      <c r="BH216">
        <v>2.4</v>
      </c>
      <c r="BI216">
        <v>2.2999999999999998</v>
      </c>
      <c r="BJ216">
        <v>2.5</v>
      </c>
      <c r="BK216">
        <v>2.4</v>
      </c>
      <c r="BL216">
        <v>2.4</v>
      </c>
      <c r="BN216">
        <v>1.9</v>
      </c>
      <c r="BO216">
        <v>1.9</v>
      </c>
      <c r="BP216">
        <v>1.9</v>
      </c>
    </row>
    <row r="217" spans="1:68" x14ac:dyDescent="0.35">
      <c r="A217" t="s">
        <v>457</v>
      </c>
      <c r="B217" t="s">
        <v>519</v>
      </c>
      <c r="C217" t="s">
        <v>200</v>
      </c>
      <c r="D217" t="s">
        <v>221</v>
      </c>
    </row>
    <row r="218" spans="1:68" x14ac:dyDescent="0.35">
      <c r="A218" t="s">
        <v>352</v>
      </c>
      <c r="B218" t="s">
        <v>32</v>
      </c>
      <c r="C218" t="s">
        <v>200</v>
      </c>
      <c r="D218" t="s">
        <v>221</v>
      </c>
    </row>
    <row r="219" spans="1:68" x14ac:dyDescent="0.35">
      <c r="A219" t="s">
        <v>321</v>
      </c>
      <c r="B219" t="s">
        <v>445</v>
      </c>
      <c r="C219" t="s">
        <v>200</v>
      </c>
      <c r="D219" t="s">
        <v>221</v>
      </c>
      <c r="AU219">
        <v>3.2</v>
      </c>
      <c r="AV219">
        <v>3.1</v>
      </c>
      <c r="AW219">
        <v>2.9</v>
      </c>
      <c r="AX219">
        <v>2.7</v>
      </c>
      <c r="AY219">
        <v>3.4</v>
      </c>
      <c r="AZ219">
        <v>3.6</v>
      </c>
      <c r="BA219">
        <v>3.9</v>
      </c>
      <c r="BB219">
        <v>3.7</v>
      </c>
      <c r="BC219">
        <v>3.5</v>
      </c>
      <c r="BE219">
        <v>1.3</v>
      </c>
      <c r="BF219">
        <v>1.3</v>
      </c>
      <c r="BG219">
        <v>1.1000000000000001</v>
      </c>
      <c r="BH219">
        <v>1.1000000000000001</v>
      </c>
      <c r="BI219">
        <v>1.1000000000000001</v>
      </c>
      <c r="BJ219">
        <v>1.4</v>
      </c>
      <c r="BK219">
        <v>1.9</v>
      </c>
      <c r="BL219">
        <v>2.1</v>
      </c>
      <c r="BM219">
        <v>2.2999999999999998</v>
      </c>
      <c r="BN219">
        <v>2.5</v>
      </c>
      <c r="BO219">
        <v>2.4</v>
      </c>
    </row>
    <row r="220" spans="1:68" x14ac:dyDescent="0.35">
      <c r="A220" t="s">
        <v>61</v>
      </c>
      <c r="B220" t="s">
        <v>460</v>
      </c>
      <c r="C220" t="s">
        <v>200</v>
      </c>
      <c r="D220" t="s">
        <v>221</v>
      </c>
    </row>
    <row r="221" spans="1:68" x14ac:dyDescent="0.35">
      <c r="A221" t="s">
        <v>288</v>
      </c>
      <c r="B221" t="s">
        <v>64</v>
      </c>
      <c r="C221" t="s">
        <v>200</v>
      </c>
      <c r="D221" t="s">
        <v>221</v>
      </c>
      <c r="BB221">
        <v>1.3</v>
      </c>
      <c r="BI221">
        <v>1.8</v>
      </c>
    </row>
    <row r="222" spans="1:68" x14ac:dyDescent="0.35">
      <c r="A222" t="s">
        <v>313</v>
      </c>
      <c r="B222" t="s">
        <v>187</v>
      </c>
      <c r="C222" t="s">
        <v>200</v>
      </c>
      <c r="D222" t="s">
        <v>221</v>
      </c>
    </row>
    <row r="223" spans="1:68" x14ac:dyDescent="0.35">
      <c r="A223" t="s">
        <v>44</v>
      </c>
      <c r="B223" t="s">
        <v>196</v>
      </c>
      <c r="C223" t="s">
        <v>200</v>
      </c>
      <c r="D223" t="s">
        <v>221</v>
      </c>
    </row>
    <row r="224" spans="1:68" x14ac:dyDescent="0.35">
      <c r="A224" t="s">
        <v>255</v>
      </c>
      <c r="B224" t="s">
        <v>449</v>
      </c>
      <c r="C224" t="s">
        <v>200</v>
      </c>
      <c r="D224" t="s">
        <v>221</v>
      </c>
      <c r="AS224">
        <v>3.3</v>
      </c>
      <c r="BC224">
        <v>3.5</v>
      </c>
      <c r="BJ224">
        <v>2.6</v>
      </c>
    </row>
    <row r="225" spans="1:69" x14ac:dyDescent="0.35">
      <c r="A225" t="s">
        <v>512</v>
      </c>
      <c r="B225" t="s">
        <v>68</v>
      </c>
      <c r="C225" t="s">
        <v>200</v>
      </c>
      <c r="D225" t="s">
        <v>221</v>
      </c>
      <c r="AR225">
        <v>0.2</v>
      </c>
      <c r="BO225">
        <v>2.2000000000000002</v>
      </c>
    </row>
    <row r="226" spans="1:69" x14ac:dyDescent="0.35">
      <c r="A226" t="s">
        <v>387</v>
      </c>
      <c r="B226" t="s">
        <v>151</v>
      </c>
      <c r="C226" t="s">
        <v>200</v>
      </c>
      <c r="D226" t="s">
        <v>221</v>
      </c>
      <c r="AK226">
        <v>5.0999999999999996</v>
      </c>
      <c r="AO226">
        <v>3.3</v>
      </c>
      <c r="AW226">
        <v>3.3</v>
      </c>
      <c r="AX226">
        <v>3.4</v>
      </c>
      <c r="AY226">
        <v>3.6</v>
      </c>
      <c r="AZ226">
        <v>3.6</v>
      </c>
      <c r="BA226">
        <v>3.4</v>
      </c>
      <c r="BB226">
        <v>3.2</v>
      </c>
      <c r="BC226">
        <v>3.1</v>
      </c>
      <c r="BD226">
        <v>3.2</v>
      </c>
      <c r="BE226">
        <v>3.1</v>
      </c>
      <c r="BF226">
        <v>3</v>
      </c>
      <c r="BG226">
        <v>2.9</v>
      </c>
      <c r="BH226">
        <v>3</v>
      </c>
      <c r="BI226">
        <v>3</v>
      </c>
      <c r="BJ226">
        <v>3.5</v>
      </c>
      <c r="BK226">
        <v>3.2</v>
      </c>
      <c r="BL226">
        <v>3.6</v>
      </c>
      <c r="BM226">
        <v>3.5</v>
      </c>
      <c r="BN226">
        <v>3.4</v>
      </c>
      <c r="BO226">
        <v>2.8</v>
      </c>
      <c r="BP226">
        <v>3.3</v>
      </c>
    </row>
    <row r="227" spans="1:69" x14ac:dyDescent="0.35">
      <c r="A227" t="s">
        <v>378</v>
      </c>
      <c r="B227" t="s">
        <v>335</v>
      </c>
      <c r="C227" t="s">
        <v>200</v>
      </c>
      <c r="D227" t="s">
        <v>221</v>
      </c>
      <c r="AF227">
        <v>4.5</v>
      </c>
      <c r="AL227">
        <v>4</v>
      </c>
      <c r="AP227">
        <v>4.0999999999999996</v>
      </c>
      <c r="AQ227">
        <v>3.9</v>
      </c>
      <c r="AR227">
        <v>4.2</v>
      </c>
      <c r="AU227">
        <v>3.5</v>
      </c>
      <c r="AV227">
        <v>3.4</v>
      </c>
      <c r="AW227">
        <v>4</v>
      </c>
      <c r="AX227">
        <v>4</v>
      </c>
      <c r="AY227">
        <v>4.0999999999999996</v>
      </c>
      <c r="AZ227">
        <v>4.0999999999999996</v>
      </c>
      <c r="BA227">
        <v>4.2</v>
      </c>
      <c r="BB227">
        <v>4</v>
      </c>
      <c r="BC227">
        <v>3.9</v>
      </c>
      <c r="BD227">
        <v>3.9</v>
      </c>
      <c r="BE227">
        <v>3.7</v>
      </c>
      <c r="BF227">
        <v>3.6</v>
      </c>
      <c r="BG227">
        <v>3.8</v>
      </c>
      <c r="BH227">
        <v>3.9</v>
      </c>
      <c r="BI227">
        <v>4</v>
      </c>
      <c r="BJ227">
        <v>4.0999999999999996</v>
      </c>
      <c r="BK227">
        <v>4.2</v>
      </c>
      <c r="BL227">
        <v>4.2</v>
      </c>
      <c r="BM227">
        <v>4.2</v>
      </c>
      <c r="BN227">
        <v>4.2</v>
      </c>
      <c r="BO227">
        <v>4.2</v>
      </c>
      <c r="BP227">
        <v>4.0999999999999996</v>
      </c>
    </row>
    <row r="228" spans="1:69" x14ac:dyDescent="0.35">
      <c r="A228" t="s">
        <v>73</v>
      </c>
      <c r="B228" t="s">
        <v>291</v>
      </c>
      <c r="C228" t="s">
        <v>200</v>
      </c>
      <c r="D228" t="s">
        <v>221</v>
      </c>
      <c r="T228">
        <v>4.2</v>
      </c>
      <c r="Z228">
        <v>4.0999999999999996</v>
      </c>
      <c r="AF228">
        <v>4.3</v>
      </c>
      <c r="AK228">
        <v>3.9</v>
      </c>
      <c r="AN228">
        <v>3.8</v>
      </c>
      <c r="AS228">
        <v>4</v>
      </c>
      <c r="AT228">
        <v>4</v>
      </c>
      <c r="AU228">
        <v>4</v>
      </c>
      <c r="AV228">
        <v>3.7</v>
      </c>
      <c r="AW228">
        <v>3.7</v>
      </c>
      <c r="AX228">
        <v>3.2</v>
      </c>
      <c r="AY228">
        <v>3.6</v>
      </c>
      <c r="AZ228">
        <v>3.4</v>
      </c>
      <c r="BA228">
        <v>3.2</v>
      </c>
      <c r="BB228">
        <v>3.2</v>
      </c>
      <c r="BC228">
        <v>3.2</v>
      </c>
      <c r="BD228">
        <v>3.1</v>
      </c>
      <c r="BE228">
        <v>3.1</v>
      </c>
      <c r="BF228">
        <v>2.9</v>
      </c>
      <c r="BG228">
        <v>3.1</v>
      </c>
      <c r="BH228">
        <v>2.9</v>
      </c>
      <c r="BI228">
        <v>3</v>
      </c>
      <c r="BJ228">
        <v>3</v>
      </c>
      <c r="BK228">
        <v>2.7</v>
      </c>
      <c r="BL228">
        <v>2.9</v>
      </c>
      <c r="BM228">
        <v>3</v>
      </c>
      <c r="BN228">
        <v>2.8</v>
      </c>
      <c r="BO228">
        <v>2.5</v>
      </c>
      <c r="BP228">
        <v>2.8</v>
      </c>
    </row>
    <row r="229" spans="1:69" x14ac:dyDescent="0.35">
      <c r="A229" t="s">
        <v>656</v>
      </c>
      <c r="B229" t="s">
        <v>139</v>
      </c>
      <c r="C229" t="s">
        <v>200</v>
      </c>
      <c r="D229" t="s">
        <v>221</v>
      </c>
      <c r="AM229">
        <v>1.7</v>
      </c>
      <c r="AS229">
        <v>1.8</v>
      </c>
      <c r="BB229">
        <v>1.5</v>
      </c>
      <c r="BI229">
        <v>1.4</v>
      </c>
    </row>
    <row r="230" spans="1:69" x14ac:dyDescent="0.35">
      <c r="A230" t="s">
        <v>368</v>
      </c>
      <c r="B230" t="s">
        <v>418</v>
      </c>
      <c r="C230" t="s">
        <v>200</v>
      </c>
      <c r="D230" t="s">
        <v>221</v>
      </c>
    </row>
    <row r="231" spans="1:69" x14ac:dyDescent="0.35">
      <c r="A231" t="s">
        <v>504</v>
      </c>
      <c r="B231" t="s">
        <v>155</v>
      </c>
      <c r="C231" t="s">
        <v>200</v>
      </c>
      <c r="D231" t="s">
        <v>221</v>
      </c>
      <c r="AR231">
        <v>2.1</v>
      </c>
      <c r="AY231">
        <v>2.4</v>
      </c>
      <c r="BF231">
        <v>1.9</v>
      </c>
      <c r="BK231">
        <v>2.6</v>
      </c>
    </row>
    <row r="232" spans="1:69" x14ac:dyDescent="0.35">
      <c r="A232" t="s">
        <v>179</v>
      </c>
      <c r="B232" t="s">
        <v>224</v>
      </c>
      <c r="C232" t="s">
        <v>200</v>
      </c>
      <c r="D232" t="s">
        <v>221</v>
      </c>
      <c r="AO232">
        <v>3.3</v>
      </c>
      <c r="AV232">
        <v>3</v>
      </c>
      <c r="AY232">
        <v>2.5</v>
      </c>
      <c r="BB232">
        <v>2.6</v>
      </c>
      <c r="BO232">
        <v>3.8</v>
      </c>
    </row>
    <row r="233" spans="1:69" x14ac:dyDescent="0.35">
      <c r="A233" t="s">
        <v>124</v>
      </c>
      <c r="B233" t="s">
        <v>233</v>
      </c>
      <c r="C233" t="s">
        <v>200</v>
      </c>
      <c r="D233" t="s">
        <v>221</v>
      </c>
    </row>
    <row r="234" spans="1:69" x14ac:dyDescent="0.35">
      <c r="A234" t="s">
        <v>609</v>
      </c>
      <c r="B234" t="s">
        <v>582</v>
      </c>
      <c r="C234" t="s">
        <v>200</v>
      </c>
      <c r="D234" t="s">
        <v>221</v>
      </c>
      <c r="AV234">
        <v>2.5</v>
      </c>
      <c r="BD234">
        <v>1.8</v>
      </c>
      <c r="BK234">
        <v>2.9</v>
      </c>
      <c r="BO234">
        <v>2.8</v>
      </c>
    </row>
    <row r="235" spans="1:69" x14ac:dyDescent="0.35">
      <c r="A235" t="s">
        <v>713</v>
      </c>
      <c r="B235" t="s">
        <v>379</v>
      </c>
      <c r="C235" t="s">
        <v>200</v>
      </c>
      <c r="D235" t="s">
        <v>221</v>
      </c>
    </row>
    <row r="236" spans="1:69" x14ac:dyDescent="0.35">
      <c r="A236" t="s">
        <v>489</v>
      </c>
      <c r="B236" t="s">
        <v>513</v>
      </c>
      <c r="C236" t="s">
        <v>200</v>
      </c>
      <c r="D236" t="s">
        <v>221</v>
      </c>
    </row>
    <row r="237" spans="1:69" x14ac:dyDescent="0.35">
      <c r="A237" t="s">
        <v>260</v>
      </c>
      <c r="B237" t="s">
        <v>388</v>
      </c>
      <c r="C237" t="s">
        <v>200</v>
      </c>
      <c r="D237" t="s">
        <v>221</v>
      </c>
      <c r="AY237">
        <v>2.5</v>
      </c>
      <c r="BD237">
        <v>1.9</v>
      </c>
      <c r="BH237">
        <v>1.9</v>
      </c>
      <c r="BK237">
        <v>2.2999999999999998</v>
      </c>
      <c r="BN237">
        <v>2.8</v>
      </c>
    </row>
    <row r="238" spans="1:69" x14ac:dyDescent="0.35">
      <c r="A238" t="s">
        <v>557</v>
      </c>
      <c r="B238" t="s">
        <v>450</v>
      </c>
      <c r="C238" t="s">
        <v>200</v>
      </c>
      <c r="D238" t="s">
        <v>221</v>
      </c>
      <c r="Z238">
        <v>2.2999999999999998</v>
      </c>
      <c r="AG238">
        <v>2.7</v>
      </c>
      <c r="AI238">
        <v>2.5</v>
      </c>
      <c r="AK238">
        <v>2.2999999999999998</v>
      </c>
      <c r="AM238">
        <v>2.5</v>
      </c>
      <c r="AO238">
        <v>2.6</v>
      </c>
      <c r="AQ238">
        <v>2.7</v>
      </c>
      <c r="AR238">
        <v>2.5</v>
      </c>
      <c r="AS238">
        <v>2.6</v>
      </c>
      <c r="AU238">
        <v>2.6</v>
      </c>
      <c r="AW238">
        <v>2.5</v>
      </c>
      <c r="AY238">
        <v>2.5</v>
      </c>
      <c r="AZ238">
        <v>2.7</v>
      </c>
      <c r="BA238">
        <v>2.7</v>
      </c>
      <c r="BB238">
        <v>2.7</v>
      </c>
      <c r="BC238">
        <v>2.7</v>
      </c>
      <c r="BD238">
        <v>3</v>
      </c>
      <c r="BE238">
        <v>2.8</v>
      </c>
      <c r="BF238">
        <v>2.9</v>
      </c>
      <c r="BG238">
        <v>3</v>
      </c>
      <c r="BH238">
        <v>3.2</v>
      </c>
      <c r="BI238">
        <v>3.1</v>
      </c>
      <c r="BJ238">
        <v>3.1</v>
      </c>
      <c r="BK238">
        <v>3</v>
      </c>
      <c r="BL238">
        <v>3.3</v>
      </c>
      <c r="BM238">
        <v>3.2</v>
      </c>
      <c r="BN238">
        <v>3.2</v>
      </c>
      <c r="BO238">
        <v>3.3</v>
      </c>
      <c r="BP238">
        <v>3.4</v>
      </c>
    </row>
    <row r="239" spans="1:69" x14ac:dyDescent="0.35">
      <c r="A239" t="s">
        <v>47</v>
      </c>
      <c r="B239" t="s">
        <v>49</v>
      </c>
      <c r="C239" t="s">
        <v>200</v>
      </c>
      <c r="D239" t="s">
        <v>221</v>
      </c>
      <c r="AR239">
        <v>3.3</v>
      </c>
      <c r="AV239">
        <v>3.3</v>
      </c>
      <c r="AW239">
        <v>3.2</v>
      </c>
      <c r="AZ239">
        <v>2.6</v>
      </c>
      <c r="BB239">
        <v>3.4</v>
      </c>
      <c r="BH239">
        <v>3</v>
      </c>
      <c r="BN239">
        <v>3.1</v>
      </c>
      <c r="BO239">
        <v>2.5</v>
      </c>
      <c r="BP239">
        <v>2.6</v>
      </c>
      <c r="BQ239">
        <v>2.9</v>
      </c>
    </row>
    <row r="240" spans="1:69" x14ac:dyDescent="0.35">
      <c r="A240" t="s">
        <v>524</v>
      </c>
      <c r="B240" t="s">
        <v>267</v>
      </c>
      <c r="C240" t="s">
        <v>200</v>
      </c>
      <c r="D240" t="s">
        <v>221</v>
      </c>
      <c r="AQ240">
        <v>2.4</v>
      </c>
    </row>
    <row r="241" spans="1:69" x14ac:dyDescent="0.35">
      <c r="A241" t="s">
        <v>147</v>
      </c>
      <c r="B241" t="s">
        <v>611</v>
      </c>
      <c r="C241" t="s">
        <v>200</v>
      </c>
      <c r="D241" t="s">
        <v>221</v>
      </c>
    </row>
    <row r="242" spans="1:69" x14ac:dyDescent="0.35">
      <c r="A242" t="s">
        <v>673</v>
      </c>
      <c r="B242" t="s">
        <v>289</v>
      </c>
      <c r="C242" t="s">
        <v>200</v>
      </c>
      <c r="D242" t="s">
        <v>221</v>
      </c>
      <c r="AT242">
        <v>3</v>
      </c>
      <c r="AZ242">
        <v>4.0999999999999996</v>
      </c>
      <c r="BG242">
        <v>4</v>
      </c>
    </row>
    <row r="243" spans="1:69" x14ac:dyDescent="0.35">
      <c r="A243" t="s">
        <v>718</v>
      </c>
      <c r="B243" t="s">
        <v>469</v>
      </c>
      <c r="C243" t="s">
        <v>200</v>
      </c>
      <c r="D243" t="s">
        <v>221</v>
      </c>
    </row>
    <row r="244" spans="1:69" x14ac:dyDescent="0.35">
      <c r="A244" t="s">
        <v>646</v>
      </c>
      <c r="B244" t="s">
        <v>624</v>
      </c>
      <c r="C244" t="s">
        <v>200</v>
      </c>
      <c r="D244" t="s">
        <v>221</v>
      </c>
      <c r="AS244">
        <v>2.4</v>
      </c>
      <c r="BB244">
        <v>2.7</v>
      </c>
      <c r="BH244">
        <v>3.2</v>
      </c>
      <c r="BN244">
        <v>4</v>
      </c>
    </row>
    <row r="245" spans="1:69" x14ac:dyDescent="0.35">
      <c r="A245" t="s">
        <v>8</v>
      </c>
      <c r="B245" t="s">
        <v>91</v>
      </c>
      <c r="C245" t="s">
        <v>200</v>
      </c>
      <c r="D245" t="s">
        <v>221</v>
      </c>
    </row>
    <row r="246" spans="1:69" x14ac:dyDescent="0.35">
      <c r="A246" t="s">
        <v>240</v>
      </c>
      <c r="B246" t="s">
        <v>505</v>
      </c>
      <c r="C246" t="s">
        <v>200</v>
      </c>
      <c r="D246" t="s">
        <v>221</v>
      </c>
    </row>
    <row r="247" spans="1:69" x14ac:dyDescent="0.35">
      <c r="A247" t="s">
        <v>665</v>
      </c>
      <c r="B247" t="s">
        <v>176</v>
      </c>
      <c r="C247" t="s">
        <v>200</v>
      </c>
      <c r="D247" t="s">
        <v>221</v>
      </c>
      <c r="AG247">
        <v>1.9</v>
      </c>
      <c r="AK247">
        <v>2.1</v>
      </c>
    </row>
    <row r="248" spans="1:69" x14ac:dyDescent="0.35">
      <c r="A248" t="s">
        <v>214</v>
      </c>
      <c r="B248" t="s">
        <v>21</v>
      </c>
      <c r="C248" t="s">
        <v>200</v>
      </c>
      <c r="D248" t="s">
        <v>221</v>
      </c>
      <c r="AD248">
        <v>2.2999999999999998</v>
      </c>
      <c r="AI248">
        <v>2.2999999999999998</v>
      </c>
      <c r="AN248">
        <v>2.2999999999999998</v>
      </c>
      <c r="AS248">
        <v>2.4</v>
      </c>
      <c r="AX248">
        <v>2.5</v>
      </c>
      <c r="BC248">
        <v>2.4</v>
      </c>
      <c r="BH248">
        <v>3.2</v>
      </c>
      <c r="BN248">
        <v>3.1</v>
      </c>
    </row>
    <row r="249" spans="1:69" x14ac:dyDescent="0.35">
      <c r="A249" t="s">
        <v>121</v>
      </c>
      <c r="B249" t="s">
        <v>432</v>
      </c>
      <c r="C249" t="s">
        <v>200</v>
      </c>
      <c r="D249" t="s">
        <v>221</v>
      </c>
      <c r="AF249">
        <v>2.5</v>
      </c>
      <c r="AM249">
        <v>2.2999999999999998</v>
      </c>
      <c r="AU249">
        <v>2.2999999999999998</v>
      </c>
      <c r="AV249">
        <v>2.1</v>
      </c>
      <c r="AW249">
        <v>2</v>
      </c>
      <c r="AX249">
        <v>1.9</v>
      </c>
      <c r="AY249">
        <v>2.1</v>
      </c>
      <c r="AZ249">
        <v>2.1</v>
      </c>
      <c r="BA249">
        <v>2.1</v>
      </c>
      <c r="BB249">
        <v>2.2000000000000002</v>
      </c>
      <c r="BC249">
        <v>2.2000000000000002</v>
      </c>
      <c r="BD249">
        <v>2.2000000000000002</v>
      </c>
      <c r="BE249">
        <v>2.2000000000000002</v>
      </c>
      <c r="BF249">
        <v>2.2000000000000002</v>
      </c>
      <c r="BG249">
        <v>2.2000000000000002</v>
      </c>
      <c r="BH249">
        <v>2.1</v>
      </c>
      <c r="BI249">
        <v>2.2000000000000002</v>
      </c>
      <c r="BJ249">
        <v>2</v>
      </c>
      <c r="BK249">
        <v>2.1</v>
      </c>
      <c r="BL249">
        <v>1.9</v>
      </c>
      <c r="BM249">
        <v>2</v>
      </c>
      <c r="BN249">
        <v>2</v>
      </c>
      <c r="BO249">
        <v>2.1</v>
      </c>
    </row>
    <row r="250" spans="1:69" x14ac:dyDescent="0.35">
      <c r="A250" t="s">
        <v>443</v>
      </c>
      <c r="B250" t="s">
        <v>98</v>
      </c>
      <c r="C250" t="s">
        <v>200</v>
      </c>
      <c r="D250" t="s">
        <v>221</v>
      </c>
      <c r="BC250">
        <v>2.7</v>
      </c>
    </row>
    <row r="251" spans="1:69" x14ac:dyDescent="0.35">
      <c r="A251" t="s">
        <v>569</v>
      </c>
      <c r="B251" t="s">
        <v>467</v>
      </c>
      <c r="C251" t="s">
        <v>200</v>
      </c>
      <c r="D251" t="s">
        <v>221</v>
      </c>
      <c r="AJ251">
        <v>2.7</v>
      </c>
      <c r="AS251">
        <v>2.7</v>
      </c>
      <c r="AZ251">
        <v>2.5</v>
      </c>
      <c r="BD251">
        <v>3.1</v>
      </c>
      <c r="BK251">
        <v>2.9</v>
      </c>
    </row>
    <row r="252" spans="1:69" x14ac:dyDescent="0.35">
      <c r="A252" t="s">
        <v>694</v>
      </c>
      <c r="B252" t="s">
        <v>161</v>
      </c>
      <c r="C252" t="s">
        <v>200</v>
      </c>
      <c r="D252" t="s">
        <v>221</v>
      </c>
      <c r="AH252">
        <v>1.9</v>
      </c>
      <c r="AK252">
        <v>2.5</v>
      </c>
      <c r="AO252">
        <v>2.8</v>
      </c>
      <c r="AR252">
        <v>2.4</v>
      </c>
      <c r="AU252">
        <v>2.4</v>
      </c>
      <c r="AX252">
        <v>2.4</v>
      </c>
      <c r="BB252">
        <v>2.2999999999999998</v>
      </c>
      <c r="BE252">
        <v>2.5</v>
      </c>
      <c r="BI252">
        <v>2.5</v>
      </c>
      <c r="BL252">
        <v>2.4</v>
      </c>
    </row>
    <row r="253" spans="1:69" x14ac:dyDescent="0.35">
      <c r="A253" t="s">
        <v>441</v>
      </c>
      <c r="B253" t="s">
        <v>510</v>
      </c>
      <c r="C253" t="s">
        <v>200</v>
      </c>
      <c r="D253" t="s">
        <v>221</v>
      </c>
      <c r="AK253">
        <v>3.1</v>
      </c>
      <c r="AL253">
        <v>3.6</v>
      </c>
      <c r="AN253">
        <v>2.5</v>
      </c>
      <c r="AO253">
        <v>2.8</v>
      </c>
      <c r="AR253">
        <v>3.7</v>
      </c>
      <c r="AU253">
        <v>3.6</v>
      </c>
      <c r="AV253">
        <v>3.8</v>
      </c>
      <c r="AW253">
        <v>3.6</v>
      </c>
      <c r="AX253">
        <v>3.7</v>
      </c>
      <c r="AY253">
        <v>3.7</v>
      </c>
      <c r="AZ253">
        <v>4</v>
      </c>
      <c r="BA253">
        <v>4.0999999999999996</v>
      </c>
      <c r="BB253">
        <v>4.3</v>
      </c>
      <c r="BC253">
        <v>4.4000000000000004</v>
      </c>
      <c r="BD253">
        <v>4.4000000000000004</v>
      </c>
      <c r="BE253">
        <v>4.4000000000000004</v>
      </c>
      <c r="BF253">
        <v>4.4000000000000004</v>
      </c>
      <c r="BG253">
        <v>4.5</v>
      </c>
      <c r="BH253">
        <v>4.2</v>
      </c>
      <c r="BI253">
        <v>4.3</v>
      </c>
      <c r="BJ253">
        <v>4.2</v>
      </c>
      <c r="BK253">
        <v>4.3</v>
      </c>
      <c r="BL253">
        <v>4.0999999999999996</v>
      </c>
      <c r="BM253">
        <v>4.3</v>
      </c>
    </row>
    <row r="254" spans="1:69" x14ac:dyDescent="0.35">
      <c r="A254" t="s">
        <v>166</v>
      </c>
      <c r="B254" t="s">
        <v>594</v>
      </c>
      <c r="C254" t="s">
        <v>200</v>
      </c>
      <c r="D254" t="s">
        <v>221</v>
      </c>
    </row>
    <row r="255" spans="1:69" x14ac:dyDescent="0.35">
      <c r="A255" t="s">
        <v>532</v>
      </c>
      <c r="B255" t="s">
        <v>730</v>
      </c>
      <c r="C255" t="s">
        <v>200</v>
      </c>
      <c r="D255" t="s">
        <v>221</v>
      </c>
      <c r="Z255">
        <v>1.9</v>
      </c>
      <c r="AH255">
        <v>1.9</v>
      </c>
      <c r="AK255">
        <v>2</v>
      </c>
      <c r="AN255">
        <v>2</v>
      </c>
      <c r="AO255">
        <v>2</v>
      </c>
      <c r="AP255">
        <v>2</v>
      </c>
      <c r="AQ255">
        <v>1.9</v>
      </c>
      <c r="AS255">
        <v>1.9</v>
      </c>
      <c r="AT255">
        <v>1.8</v>
      </c>
      <c r="AU255">
        <v>1.8</v>
      </c>
      <c r="AV255">
        <v>2</v>
      </c>
      <c r="AW255">
        <v>1.8</v>
      </c>
      <c r="AX255">
        <v>1.8</v>
      </c>
      <c r="AY255">
        <v>1.9</v>
      </c>
      <c r="AZ255">
        <v>1.9</v>
      </c>
      <c r="BA255">
        <v>1.9</v>
      </c>
      <c r="BB255">
        <v>1.8</v>
      </c>
      <c r="BC255">
        <v>2</v>
      </c>
      <c r="BD255">
        <v>2</v>
      </c>
      <c r="BE255">
        <v>2.1</v>
      </c>
      <c r="BF255">
        <v>2.1</v>
      </c>
      <c r="BG255">
        <v>2.1</v>
      </c>
      <c r="BH255">
        <v>2.1</v>
      </c>
      <c r="BI255">
        <v>2.2000000000000002</v>
      </c>
      <c r="BJ255">
        <v>2.2999999999999998</v>
      </c>
      <c r="BK255">
        <v>2.2999999999999998</v>
      </c>
      <c r="BL255">
        <v>2.2999999999999998</v>
      </c>
      <c r="BM255">
        <v>2.2000000000000002</v>
      </c>
      <c r="BN255">
        <v>2.2000000000000002</v>
      </c>
      <c r="BO255">
        <v>2.2000000000000002</v>
      </c>
      <c r="BP255">
        <v>2.1</v>
      </c>
      <c r="BQ255">
        <v>2.2000000000000002</v>
      </c>
    </row>
    <row r="256" spans="1:69" x14ac:dyDescent="0.35">
      <c r="A256" t="s">
        <v>408</v>
      </c>
      <c r="B256" t="s">
        <v>617</v>
      </c>
      <c r="C256" t="s">
        <v>200</v>
      </c>
      <c r="D256" t="s">
        <v>221</v>
      </c>
      <c r="H256">
        <v>1.9</v>
      </c>
      <c r="I256">
        <v>1.9</v>
      </c>
      <c r="J256">
        <v>2</v>
      </c>
      <c r="K256">
        <v>1.9</v>
      </c>
      <c r="L256">
        <v>2</v>
      </c>
      <c r="M256">
        <v>2.1</v>
      </c>
      <c r="N256">
        <v>2.2000000000000002</v>
      </c>
      <c r="O256">
        <v>2</v>
      </c>
      <c r="P256">
        <v>2.1</v>
      </c>
      <c r="Q256">
        <v>2</v>
      </c>
      <c r="R256">
        <v>2</v>
      </c>
      <c r="S256">
        <v>2.1</v>
      </c>
      <c r="T256">
        <v>2.1</v>
      </c>
      <c r="U256">
        <v>2.1</v>
      </c>
      <c r="V256">
        <v>2.2000000000000002</v>
      </c>
      <c r="W256">
        <v>2.2000000000000002</v>
      </c>
      <c r="X256">
        <v>2.2999999999999998</v>
      </c>
      <c r="Y256">
        <v>2.4</v>
      </c>
      <c r="Z256">
        <v>2.2999999999999998</v>
      </c>
      <c r="AA256">
        <v>2.1</v>
      </c>
      <c r="AB256">
        <v>2</v>
      </c>
      <c r="AC256">
        <v>2</v>
      </c>
      <c r="AD256">
        <v>2</v>
      </c>
      <c r="AE256">
        <v>2</v>
      </c>
      <c r="AF256">
        <v>2</v>
      </c>
      <c r="AG256">
        <v>2</v>
      </c>
      <c r="AH256">
        <v>2</v>
      </c>
      <c r="AI256">
        <v>2</v>
      </c>
      <c r="AJ256">
        <v>2</v>
      </c>
      <c r="AK256">
        <v>2</v>
      </c>
      <c r="AL256">
        <v>1.9</v>
      </c>
      <c r="AM256">
        <v>1.9</v>
      </c>
      <c r="AN256">
        <v>2</v>
      </c>
      <c r="AO256">
        <v>2</v>
      </c>
      <c r="AP256">
        <v>2</v>
      </c>
      <c r="AQ256">
        <v>1.9</v>
      </c>
      <c r="AR256">
        <v>2</v>
      </c>
      <c r="AS256">
        <v>2</v>
      </c>
      <c r="AT256">
        <v>1.9</v>
      </c>
      <c r="AU256">
        <v>1.9</v>
      </c>
      <c r="AV256">
        <v>1.8</v>
      </c>
      <c r="AW256">
        <v>1.9</v>
      </c>
      <c r="AX256">
        <v>1.8</v>
      </c>
      <c r="AY256">
        <v>1.8</v>
      </c>
      <c r="AZ256">
        <v>1.8</v>
      </c>
      <c r="BA256">
        <v>1.8</v>
      </c>
      <c r="BB256">
        <v>1.9</v>
      </c>
      <c r="BC256">
        <v>1.9</v>
      </c>
      <c r="BD256">
        <v>1.8</v>
      </c>
      <c r="BE256">
        <v>1.8</v>
      </c>
      <c r="BF256">
        <v>1.9</v>
      </c>
      <c r="BG256">
        <v>1.8</v>
      </c>
      <c r="BH256">
        <v>1.9</v>
      </c>
      <c r="BI256">
        <v>1.8</v>
      </c>
      <c r="BJ256">
        <v>1.8</v>
      </c>
      <c r="BK256">
        <v>1.8</v>
      </c>
      <c r="BL256">
        <v>1.8</v>
      </c>
      <c r="BM256">
        <v>2.1</v>
      </c>
      <c r="BN256">
        <v>2.2999999999999998</v>
      </c>
      <c r="BO256">
        <v>1.8</v>
      </c>
      <c r="BP256">
        <v>1.8</v>
      </c>
    </row>
    <row r="257" spans="1:69" x14ac:dyDescent="0.35">
      <c r="A257" t="s">
        <v>315</v>
      </c>
      <c r="B257" t="s">
        <v>158</v>
      </c>
      <c r="C257" t="s">
        <v>200</v>
      </c>
      <c r="D257" t="s">
        <v>221</v>
      </c>
      <c r="AQ257">
        <v>1.5</v>
      </c>
      <c r="AS257">
        <v>2.9</v>
      </c>
      <c r="AU257">
        <v>3.3</v>
      </c>
      <c r="AV257">
        <v>2.9</v>
      </c>
      <c r="BN257">
        <v>2.6</v>
      </c>
      <c r="BO257">
        <v>2.5</v>
      </c>
      <c r="BP257">
        <v>2.1</v>
      </c>
      <c r="BQ257">
        <v>2.2999999999999998</v>
      </c>
    </row>
    <row r="258" spans="1:69" x14ac:dyDescent="0.35">
      <c r="A258" t="s">
        <v>55</v>
      </c>
      <c r="B258" t="s">
        <v>104</v>
      </c>
      <c r="C258" t="s">
        <v>200</v>
      </c>
      <c r="D258" t="s">
        <v>221</v>
      </c>
    </row>
    <row r="259" spans="1:69" x14ac:dyDescent="0.35">
      <c r="A259" t="s">
        <v>81</v>
      </c>
      <c r="B259" t="s">
        <v>324</v>
      </c>
      <c r="C259" t="s">
        <v>200</v>
      </c>
      <c r="D259" t="s">
        <v>221</v>
      </c>
      <c r="Z259">
        <v>1.2</v>
      </c>
      <c r="AF259">
        <v>1.3</v>
      </c>
      <c r="AH259">
        <v>1.4</v>
      </c>
      <c r="AK259">
        <v>1.6</v>
      </c>
      <c r="AN259">
        <v>1.3</v>
      </c>
      <c r="AQ259">
        <v>1</v>
      </c>
      <c r="AR259">
        <v>1.1000000000000001</v>
      </c>
      <c r="AT259">
        <v>1.2</v>
      </c>
      <c r="AU259">
        <v>0.9</v>
      </c>
      <c r="AV259">
        <v>0.9</v>
      </c>
      <c r="AW259">
        <v>0.9</v>
      </c>
      <c r="AX259">
        <v>0.6</v>
      </c>
      <c r="AY259">
        <v>1.2</v>
      </c>
    </row>
    <row r="260" spans="1:69" x14ac:dyDescent="0.35">
      <c r="A260" t="s">
        <v>332</v>
      </c>
      <c r="B260" t="s">
        <v>595</v>
      </c>
      <c r="C260" t="s">
        <v>200</v>
      </c>
      <c r="D260" t="s">
        <v>221</v>
      </c>
    </row>
    <row r="261" spans="1:69" x14ac:dyDescent="0.35">
      <c r="A261" t="s">
        <v>436</v>
      </c>
      <c r="B261" t="s">
        <v>138</v>
      </c>
      <c r="C261" t="s">
        <v>200</v>
      </c>
      <c r="D261" t="s">
        <v>221</v>
      </c>
    </row>
    <row r="262" spans="1:69" x14ac:dyDescent="0.35">
      <c r="A262" t="s">
        <v>399</v>
      </c>
      <c r="B262" t="s">
        <v>636</v>
      </c>
      <c r="C262" t="s">
        <v>200</v>
      </c>
      <c r="D262" t="s">
        <v>221</v>
      </c>
      <c r="AK262">
        <v>3.3</v>
      </c>
      <c r="AP262">
        <v>3.3</v>
      </c>
      <c r="AU262">
        <v>3.2</v>
      </c>
      <c r="AW262">
        <v>2.9</v>
      </c>
      <c r="AY262">
        <v>2.9</v>
      </c>
      <c r="BA262">
        <v>3</v>
      </c>
      <c r="BC262">
        <v>2.5</v>
      </c>
      <c r="BE262">
        <v>2.8</v>
      </c>
      <c r="BG262">
        <v>2.7</v>
      </c>
      <c r="BI262">
        <v>2.6</v>
      </c>
      <c r="BK262">
        <v>2.5</v>
      </c>
      <c r="BM262">
        <v>2.5</v>
      </c>
      <c r="BO262">
        <v>2.6</v>
      </c>
    </row>
    <row r="263" spans="1:69" x14ac:dyDescent="0.35">
      <c r="A263" t="s">
        <v>633</v>
      </c>
      <c r="B263" t="s">
        <v>125</v>
      </c>
      <c r="C263" t="s">
        <v>200</v>
      </c>
      <c r="D263" t="s">
        <v>221</v>
      </c>
      <c r="BC263">
        <v>2.7</v>
      </c>
      <c r="BL263">
        <v>3</v>
      </c>
    </row>
    <row r="264" spans="1:69" x14ac:dyDescent="0.35">
      <c r="A264" t="s">
        <v>591</v>
      </c>
      <c r="B264" t="s">
        <v>717</v>
      </c>
      <c r="C264" t="s">
        <v>200</v>
      </c>
      <c r="D264" t="s">
        <v>221</v>
      </c>
    </row>
    <row r="265" spans="1:69" x14ac:dyDescent="0.35">
      <c r="A265" t="s">
        <v>185</v>
      </c>
      <c r="B265" t="s">
        <v>491</v>
      </c>
      <c r="C265" t="s">
        <v>200</v>
      </c>
      <c r="D265" t="s">
        <v>221</v>
      </c>
      <c r="AU265">
        <v>2.5</v>
      </c>
      <c r="BA265">
        <v>2.7</v>
      </c>
      <c r="BF265">
        <v>2.7</v>
      </c>
    </row>
    <row r="266" spans="1:69" x14ac:dyDescent="0.35">
      <c r="A266" t="s">
        <v>442</v>
      </c>
      <c r="B266" t="s">
        <v>218</v>
      </c>
      <c r="C266" t="s">
        <v>200</v>
      </c>
      <c r="D266" t="s">
        <v>221</v>
      </c>
      <c r="AV266">
        <v>3.8</v>
      </c>
      <c r="AX266">
        <v>3.3</v>
      </c>
      <c r="AY266">
        <v>3.5</v>
      </c>
      <c r="BB266">
        <v>3.2</v>
      </c>
      <c r="BC266">
        <v>3.2</v>
      </c>
      <c r="BD266">
        <v>3.7</v>
      </c>
      <c r="BE266">
        <v>3.6</v>
      </c>
      <c r="BF266">
        <v>4.0999999999999996</v>
      </c>
      <c r="BG266">
        <v>3.7</v>
      </c>
      <c r="BH266">
        <v>4</v>
      </c>
      <c r="BI266">
        <v>3.8</v>
      </c>
      <c r="BJ266">
        <v>0.8</v>
      </c>
      <c r="BK266">
        <v>0.8</v>
      </c>
      <c r="BL266">
        <v>1.2</v>
      </c>
      <c r="BM266">
        <v>0.3</v>
      </c>
      <c r="BN266">
        <v>0.4</v>
      </c>
      <c r="BO266">
        <v>1.1000000000000001</v>
      </c>
    </row>
    <row r="267" spans="1:69" x14ac:dyDescent="0.35">
      <c r="A267" t="s">
        <v>700</v>
      </c>
      <c r="B267" t="s">
        <v>16</v>
      </c>
      <c r="C267" t="s">
        <v>200</v>
      </c>
      <c r="D267" t="s">
        <v>221</v>
      </c>
      <c r="AQ267">
        <v>2.9</v>
      </c>
      <c r="AX267">
        <v>3.3</v>
      </c>
      <c r="BG267">
        <v>3</v>
      </c>
    </row>
    <row r="268" spans="1:69" x14ac:dyDescent="0.35">
      <c r="A268" t="s">
        <v>493</v>
      </c>
      <c r="B268" t="s">
        <v>397</v>
      </c>
      <c r="C268" t="s">
        <v>200</v>
      </c>
      <c r="D268" t="s">
        <v>221</v>
      </c>
      <c r="AL268">
        <v>1.3</v>
      </c>
      <c r="AS268">
        <v>1.3</v>
      </c>
      <c r="AX268">
        <v>1</v>
      </c>
      <c r="BA268">
        <v>1</v>
      </c>
      <c r="BC268">
        <v>0.9</v>
      </c>
      <c r="BG268">
        <v>0.9</v>
      </c>
    </row>
    <row r="269" spans="1:69" x14ac:dyDescent="0.35">
      <c r="A269" t="s">
        <v>9</v>
      </c>
      <c r="B269" t="s">
        <v>437</v>
      </c>
      <c r="C269" t="s">
        <v>200</v>
      </c>
      <c r="D269" t="s">
        <v>221</v>
      </c>
      <c r="AJ269">
        <v>0.8</v>
      </c>
      <c r="AL269">
        <v>1.1000000000000001</v>
      </c>
      <c r="AO269">
        <v>1.7</v>
      </c>
      <c r="AQ269">
        <v>1.6</v>
      </c>
      <c r="AU269">
        <v>2.4</v>
      </c>
      <c r="AW269">
        <v>1.4</v>
      </c>
      <c r="AY269">
        <v>1.4</v>
      </c>
      <c r="BC269">
        <v>1.6</v>
      </c>
      <c r="BH269">
        <v>1.2</v>
      </c>
      <c r="BO269">
        <v>1.5</v>
      </c>
    </row>
    <row r="270" spans="1:69" x14ac:dyDescent="0.35">
      <c r="A270" t="s">
        <v>741</v>
      </c>
      <c r="B270" t="s">
        <v>350</v>
      </c>
      <c r="C270" t="s">
        <v>200</v>
      </c>
      <c r="D270" t="s">
        <v>221</v>
      </c>
      <c r="BD270">
        <v>2.5</v>
      </c>
      <c r="BJ270">
        <v>2.5</v>
      </c>
      <c r="BL270">
        <v>1.9</v>
      </c>
    </row>
  </sheetData>
  <pageMargins left="0.7" right="0.7" top="0.75" bottom="0.75" header="0.3" footer="0.3"/>
  <headerFooter alignWithMargins="0">
    <oddFooter>&amp;L_x000D_&amp;1#&amp;"Aptos"&amp;10&amp;K000000 LUT Group Confidential - Other information (3Y)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2C8FC-0F1F-45A6-988C-84B95B84F41D}">
  <dimension ref="A1:BQ270"/>
  <sheetViews>
    <sheetView workbookViewId="0"/>
  </sheetViews>
  <sheetFormatPr defaultRowHeight="14.5" x14ac:dyDescent="0.35"/>
  <cols>
    <col min="1" max="1" width="60.1796875" bestFit="1" customWidth="1"/>
    <col min="2" max="2" width="25.6328125" bestFit="1" customWidth="1"/>
    <col min="3" max="3" width="27.7265625" bestFit="1" customWidth="1"/>
    <col min="4" max="4" width="12.81640625" bestFit="1" customWidth="1"/>
    <col min="5" max="69" width="5" bestFit="1" customWidth="1"/>
  </cols>
  <sheetData>
    <row r="1" spans="1:69" x14ac:dyDescent="0.35">
      <c r="A1" t="s">
        <v>642</v>
      </c>
      <c r="B1" t="s">
        <v>413</v>
      </c>
    </row>
    <row r="2" spans="1:69" x14ac:dyDescent="0.35">
      <c r="A2" t="s">
        <v>66</v>
      </c>
      <c r="B2" s="2">
        <v>46007</v>
      </c>
    </row>
    <row r="4" spans="1:69" x14ac:dyDescent="0.35">
      <c r="A4" t="s">
        <v>720</v>
      </c>
      <c r="B4" t="s">
        <v>487</v>
      </c>
      <c r="C4" t="s">
        <v>231</v>
      </c>
      <c r="D4" t="s">
        <v>728</v>
      </c>
      <c r="E4" t="s">
        <v>658</v>
      </c>
      <c r="F4" t="s">
        <v>136</v>
      </c>
      <c r="G4" t="s">
        <v>193</v>
      </c>
      <c r="H4" t="s">
        <v>261</v>
      </c>
      <c r="I4" t="s">
        <v>323</v>
      </c>
      <c r="J4" t="s">
        <v>548</v>
      </c>
      <c r="K4" t="s">
        <v>602</v>
      </c>
      <c r="L4" t="s">
        <v>661</v>
      </c>
      <c r="M4" t="s">
        <v>712</v>
      </c>
      <c r="N4" t="s">
        <v>195</v>
      </c>
      <c r="O4" t="s">
        <v>727</v>
      </c>
      <c r="P4" t="s">
        <v>38</v>
      </c>
      <c r="Q4" t="s">
        <v>281</v>
      </c>
      <c r="R4" t="s">
        <v>337</v>
      </c>
      <c r="S4" t="s">
        <v>391</v>
      </c>
      <c r="T4" t="s">
        <v>447</v>
      </c>
      <c r="U4" t="s">
        <v>678</v>
      </c>
      <c r="V4" t="s">
        <v>733</v>
      </c>
      <c r="W4" t="s">
        <v>45</v>
      </c>
      <c r="X4" t="s">
        <v>116</v>
      </c>
      <c r="Y4" t="s">
        <v>62</v>
      </c>
      <c r="Z4" t="s">
        <v>133</v>
      </c>
      <c r="AA4" t="s">
        <v>186</v>
      </c>
      <c r="AB4" t="s">
        <v>403</v>
      </c>
      <c r="AC4" t="s">
        <v>464</v>
      </c>
      <c r="AD4" t="s">
        <v>544</v>
      </c>
      <c r="AE4" t="s">
        <v>598</v>
      </c>
      <c r="AF4" t="s">
        <v>67</v>
      </c>
      <c r="AG4" t="s">
        <v>137</v>
      </c>
      <c r="AH4" t="s">
        <v>194</v>
      </c>
      <c r="AI4" t="s">
        <v>148</v>
      </c>
      <c r="AJ4" t="s">
        <v>204</v>
      </c>
      <c r="AK4" t="s">
        <v>275</v>
      </c>
      <c r="AL4" t="s">
        <v>334</v>
      </c>
      <c r="AM4" t="s">
        <v>558</v>
      </c>
      <c r="AN4" t="s">
        <v>610</v>
      </c>
      <c r="AO4" t="s">
        <v>676</v>
      </c>
      <c r="AP4" t="s">
        <v>729</v>
      </c>
      <c r="AQ4" t="s">
        <v>211</v>
      </c>
      <c r="AR4" t="s">
        <v>282</v>
      </c>
      <c r="AS4" t="s">
        <v>579</v>
      </c>
      <c r="AT4" t="s">
        <v>631</v>
      </c>
      <c r="AU4" t="s">
        <v>107</v>
      </c>
      <c r="AV4" t="s">
        <v>173</v>
      </c>
      <c r="AW4" t="s">
        <v>236</v>
      </c>
      <c r="AX4" t="s">
        <v>308</v>
      </c>
      <c r="AY4" t="s">
        <v>523</v>
      </c>
      <c r="AZ4" t="s">
        <v>584</v>
      </c>
      <c r="BA4" t="s">
        <v>638</v>
      </c>
      <c r="BB4" t="s">
        <v>110</v>
      </c>
      <c r="BC4" t="s">
        <v>647</v>
      </c>
      <c r="BD4" t="s">
        <v>701</v>
      </c>
      <c r="BE4" t="s">
        <v>19</v>
      </c>
      <c r="BF4" t="s">
        <v>252</v>
      </c>
      <c r="BG4" t="s">
        <v>319</v>
      </c>
      <c r="BH4" t="s">
        <v>371</v>
      </c>
      <c r="BI4" t="s">
        <v>428</v>
      </c>
      <c r="BJ4" t="s">
        <v>652</v>
      </c>
      <c r="BK4" t="s">
        <v>705</v>
      </c>
      <c r="BL4" t="s">
        <v>23</v>
      </c>
      <c r="BM4" t="s">
        <v>719</v>
      </c>
      <c r="BN4" t="s">
        <v>34</v>
      </c>
      <c r="BO4" t="s">
        <v>103</v>
      </c>
      <c r="BP4" t="s">
        <v>171</v>
      </c>
      <c r="BQ4" t="s">
        <v>385</v>
      </c>
    </row>
    <row r="5" spans="1:69" x14ac:dyDescent="0.35">
      <c r="A5" t="s">
        <v>529</v>
      </c>
      <c r="B5" t="s">
        <v>12</v>
      </c>
      <c r="C5" t="s">
        <v>743</v>
      </c>
      <c r="D5" t="s">
        <v>744</v>
      </c>
    </row>
    <row r="6" spans="1:69" x14ac:dyDescent="0.35">
      <c r="A6" t="s">
        <v>542</v>
      </c>
      <c r="B6" t="s">
        <v>511</v>
      </c>
      <c r="C6" t="s">
        <v>743</v>
      </c>
      <c r="D6" t="s">
        <v>744</v>
      </c>
    </row>
    <row r="7" spans="1:69" x14ac:dyDescent="0.35">
      <c r="A7" t="s">
        <v>336</v>
      </c>
      <c r="B7" t="s">
        <v>628</v>
      </c>
      <c r="C7" t="s">
        <v>743</v>
      </c>
      <c r="D7" t="s">
        <v>744</v>
      </c>
    </row>
    <row r="8" spans="1:69" x14ac:dyDescent="0.35">
      <c r="A8" t="s">
        <v>706</v>
      </c>
      <c r="B8" t="s">
        <v>177</v>
      </c>
      <c r="C8" t="s">
        <v>743</v>
      </c>
      <c r="D8" t="s">
        <v>744</v>
      </c>
    </row>
    <row r="9" spans="1:69" x14ac:dyDescent="0.35">
      <c r="A9" t="s">
        <v>326</v>
      </c>
      <c r="B9" t="s">
        <v>18</v>
      </c>
      <c r="C9" t="s">
        <v>743</v>
      </c>
      <c r="D9" t="s">
        <v>744</v>
      </c>
      <c r="AS9">
        <v>3.2</v>
      </c>
      <c r="BA9">
        <v>5.4</v>
      </c>
      <c r="BK9">
        <v>3.8</v>
      </c>
    </row>
    <row r="10" spans="1:69" x14ac:dyDescent="0.35">
      <c r="A10" t="s">
        <v>207</v>
      </c>
      <c r="B10" t="s">
        <v>462</v>
      </c>
      <c r="C10" t="s">
        <v>743</v>
      </c>
      <c r="D10" t="s">
        <v>744</v>
      </c>
      <c r="AO10">
        <v>9.1999999999999993</v>
      </c>
      <c r="AU10">
        <v>8.4</v>
      </c>
      <c r="AX10">
        <v>8.4</v>
      </c>
      <c r="BA10">
        <v>8.9</v>
      </c>
      <c r="BE10">
        <v>8.9</v>
      </c>
      <c r="BG10">
        <v>7</v>
      </c>
      <c r="BH10">
        <v>7.7</v>
      </c>
      <c r="BI10">
        <v>7.3</v>
      </c>
      <c r="BJ10">
        <v>7.6</v>
      </c>
      <c r="BK10">
        <v>7.9</v>
      </c>
      <c r="BL10">
        <v>8.5</v>
      </c>
      <c r="BM10">
        <v>8.4</v>
      </c>
    </row>
    <row r="11" spans="1:69" x14ac:dyDescent="0.35">
      <c r="A11" t="s">
        <v>351</v>
      </c>
      <c r="B11" t="s">
        <v>738</v>
      </c>
      <c r="C11" t="s">
        <v>743</v>
      </c>
      <c r="D11" t="s">
        <v>744</v>
      </c>
    </row>
    <row r="12" spans="1:69" x14ac:dyDescent="0.35">
      <c r="A12" t="s">
        <v>115</v>
      </c>
      <c r="B12" t="s">
        <v>618</v>
      </c>
      <c r="C12" t="s">
        <v>743</v>
      </c>
      <c r="D12" t="s">
        <v>744</v>
      </c>
    </row>
    <row r="13" spans="1:69" x14ac:dyDescent="0.35">
      <c r="A13" t="s">
        <v>46</v>
      </c>
      <c r="B13" t="s">
        <v>217</v>
      </c>
      <c r="C13" t="s">
        <v>743</v>
      </c>
      <c r="D13" t="s">
        <v>744</v>
      </c>
      <c r="BF13">
        <v>6.2</v>
      </c>
      <c r="BK13">
        <v>8.1999999999999993</v>
      </c>
    </row>
    <row r="14" spans="1:69" x14ac:dyDescent="0.35">
      <c r="A14" t="s">
        <v>318</v>
      </c>
      <c r="B14" t="s">
        <v>500</v>
      </c>
      <c r="C14" t="s">
        <v>743</v>
      </c>
      <c r="D14" t="s">
        <v>744</v>
      </c>
      <c r="Y14">
        <v>5.3</v>
      </c>
      <c r="AE14">
        <v>5.0999999999999996</v>
      </c>
      <c r="AF14">
        <v>4.5999999999999996</v>
      </c>
      <c r="AJ14">
        <v>4.8</v>
      </c>
      <c r="AK14">
        <v>4.5999999999999996</v>
      </c>
      <c r="AL14">
        <v>4.5</v>
      </c>
      <c r="AM14">
        <v>4.4000000000000004</v>
      </c>
      <c r="AN14">
        <v>3.8</v>
      </c>
      <c r="AO14">
        <v>3.5</v>
      </c>
      <c r="AP14">
        <v>3.6</v>
      </c>
      <c r="AQ14">
        <v>3.4</v>
      </c>
      <c r="AR14">
        <v>3.5</v>
      </c>
      <c r="AS14">
        <v>3.2</v>
      </c>
      <c r="AT14">
        <v>2.6</v>
      </c>
      <c r="AU14">
        <v>2.8</v>
      </c>
      <c r="AV14">
        <v>3.3</v>
      </c>
      <c r="AW14">
        <v>3.6</v>
      </c>
      <c r="AX14">
        <v>3.7</v>
      </c>
      <c r="AY14">
        <v>3.9</v>
      </c>
      <c r="AZ14">
        <v>4.0999999999999996</v>
      </c>
      <c r="BA14">
        <v>4.2</v>
      </c>
      <c r="BB14">
        <v>4.3</v>
      </c>
      <c r="BC14">
        <v>4.5</v>
      </c>
      <c r="BD14">
        <v>4.8</v>
      </c>
      <c r="BE14">
        <v>5</v>
      </c>
      <c r="BF14">
        <v>5</v>
      </c>
      <c r="BG14">
        <v>5</v>
      </c>
      <c r="BI14">
        <v>4.9000000000000004</v>
      </c>
      <c r="BJ14">
        <v>5</v>
      </c>
      <c r="BK14">
        <v>4.9000000000000004</v>
      </c>
      <c r="BL14">
        <v>4.5999999999999996</v>
      </c>
      <c r="BM14">
        <v>4.7</v>
      </c>
      <c r="BN14">
        <v>5</v>
      </c>
      <c r="BO14">
        <v>5.4</v>
      </c>
      <c r="BP14">
        <v>5.0999999999999996</v>
      </c>
      <c r="BQ14">
        <v>5.0999999999999996</v>
      </c>
    </row>
    <row r="15" spans="1:69" x14ac:dyDescent="0.35">
      <c r="A15" t="s">
        <v>89</v>
      </c>
      <c r="B15" t="s">
        <v>293</v>
      </c>
      <c r="C15" t="s">
        <v>743</v>
      </c>
      <c r="D15" t="s">
        <v>744</v>
      </c>
      <c r="AO15">
        <v>5.5</v>
      </c>
      <c r="AR15">
        <v>7.6</v>
      </c>
      <c r="AT15">
        <v>7.7</v>
      </c>
      <c r="AU15">
        <v>8</v>
      </c>
      <c r="AV15">
        <v>8.6999999999999993</v>
      </c>
      <c r="AW15">
        <v>7.6</v>
      </c>
      <c r="AX15">
        <v>8.1</v>
      </c>
      <c r="AY15">
        <v>8.9</v>
      </c>
      <c r="AZ15">
        <v>8.4</v>
      </c>
      <c r="BA15">
        <v>9.1</v>
      </c>
      <c r="BB15">
        <v>9.4</v>
      </c>
      <c r="BC15">
        <v>9.1</v>
      </c>
      <c r="BD15">
        <v>9</v>
      </c>
      <c r="BE15">
        <v>9</v>
      </c>
      <c r="BF15">
        <v>8.6</v>
      </c>
      <c r="BG15">
        <v>8.5</v>
      </c>
      <c r="BH15">
        <v>8.1999999999999993</v>
      </c>
      <c r="BI15">
        <v>7.9</v>
      </c>
      <c r="BJ15">
        <v>8.4</v>
      </c>
      <c r="BK15">
        <v>8.1</v>
      </c>
      <c r="BL15">
        <v>8.9</v>
      </c>
      <c r="BM15">
        <v>10.199999999999999</v>
      </c>
      <c r="BN15">
        <v>9.4</v>
      </c>
      <c r="BO15">
        <v>9.1999999999999993</v>
      </c>
      <c r="BP15">
        <v>9.5</v>
      </c>
    </row>
    <row r="16" spans="1:69" x14ac:dyDescent="0.35">
      <c r="A16" t="s">
        <v>112</v>
      </c>
      <c r="B16" t="s">
        <v>360</v>
      </c>
      <c r="C16" t="s">
        <v>743</v>
      </c>
      <c r="D16" t="s">
        <v>744</v>
      </c>
    </row>
    <row r="17" spans="1:68" x14ac:dyDescent="0.35">
      <c r="A17" t="s">
        <v>417</v>
      </c>
      <c r="B17" t="s">
        <v>499</v>
      </c>
      <c r="C17" t="s">
        <v>743</v>
      </c>
      <c r="D17" t="s">
        <v>744</v>
      </c>
    </row>
    <row r="18" spans="1:68" x14ac:dyDescent="0.35">
      <c r="A18" t="s">
        <v>439</v>
      </c>
      <c r="B18" t="s">
        <v>309</v>
      </c>
      <c r="C18" t="s">
        <v>743</v>
      </c>
      <c r="D18" t="s">
        <v>744</v>
      </c>
      <c r="Z18">
        <v>7.8</v>
      </c>
      <c r="AD18">
        <v>7.5</v>
      </c>
      <c r="AH18">
        <v>7.4</v>
      </c>
      <c r="AN18">
        <v>7.7</v>
      </c>
      <c r="AT18">
        <v>7.5</v>
      </c>
      <c r="AV18">
        <v>7.5</v>
      </c>
      <c r="AW18">
        <v>7.8</v>
      </c>
      <c r="BA18">
        <v>7.2</v>
      </c>
      <c r="BC18">
        <v>7.3</v>
      </c>
      <c r="BG18">
        <v>7.6</v>
      </c>
      <c r="BI18">
        <v>7.5</v>
      </c>
      <c r="BK18">
        <v>7.4</v>
      </c>
      <c r="BM18">
        <v>7.3</v>
      </c>
    </row>
    <row r="19" spans="1:68" x14ac:dyDescent="0.35">
      <c r="A19" t="s">
        <v>63</v>
      </c>
      <c r="B19" t="s">
        <v>361</v>
      </c>
      <c r="C19" t="s">
        <v>743</v>
      </c>
      <c r="D19" t="s">
        <v>744</v>
      </c>
      <c r="AM19">
        <v>8.1999999999999993</v>
      </c>
      <c r="AN19">
        <v>8.3000000000000007</v>
      </c>
      <c r="AO19">
        <v>8.6</v>
      </c>
      <c r="AP19">
        <v>8.6</v>
      </c>
      <c r="AQ19">
        <v>8.3000000000000007</v>
      </c>
      <c r="AR19">
        <v>8.8000000000000007</v>
      </c>
      <c r="AS19">
        <v>8.8000000000000007</v>
      </c>
      <c r="AV19">
        <v>8.5</v>
      </c>
      <c r="AW19">
        <v>8.5</v>
      </c>
      <c r="AX19">
        <v>8.8000000000000007</v>
      </c>
      <c r="AY19">
        <v>8.6</v>
      </c>
      <c r="AZ19">
        <v>8</v>
      </c>
      <c r="BA19">
        <v>8</v>
      </c>
      <c r="BB19">
        <v>7.7</v>
      </c>
      <c r="BC19">
        <v>8</v>
      </c>
      <c r="BD19">
        <v>7.8</v>
      </c>
      <c r="BE19">
        <v>7.8</v>
      </c>
      <c r="BF19">
        <v>8.1</v>
      </c>
      <c r="BG19">
        <v>8</v>
      </c>
      <c r="BH19">
        <v>7.9</v>
      </c>
      <c r="BI19">
        <v>7.7</v>
      </c>
      <c r="BJ19">
        <v>8</v>
      </c>
      <c r="BK19">
        <v>7.9</v>
      </c>
      <c r="BL19">
        <v>7.9</v>
      </c>
      <c r="BM19">
        <v>7.9</v>
      </c>
      <c r="BN19">
        <v>7.7</v>
      </c>
      <c r="BO19">
        <v>7.8</v>
      </c>
      <c r="BP19">
        <v>7.7</v>
      </c>
    </row>
    <row r="20" spans="1:68" x14ac:dyDescent="0.35">
      <c r="A20" t="s">
        <v>537</v>
      </c>
      <c r="B20" t="s">
        <v>528</v>
      </c>
      <c r="C20" t="s">
        <v>743</v>
      </c>
      <c r="D20" t="s">
        <v>744</v>
      </c>
      <c r="AN20">
        <v>7.1</v>
      </c>
      <c r="AT20">
        <v>7.4</v>
      </c>
      <c r="AU20">
        <v>10.9</v>
      </c>
      <c r="AV20">
        <v>10.199999999999999</v>
      </c>
      <c r="AW20">
        <v>10.7</v>
      </c>
      <c r="AX20">
        <v>10.8</v>
      </c>
    </row>
    <row r="21" spans="1:68" x14ac:dyDescent="0.35">
      <c r="A21" t="s">
        <v>477</v>
      </c>
      <c r="B21" t="s">
        <v>550</v>
      </c>
      <c r="C21" t="s">
        <v>743</v>
      </c>
      <c r="D21" t="s">
        <v>744</v>
      </c>
      <c r="AK21">
        <v>7.9</v>
      </c>
      <c r="AQ21">
        <v>5.3</v>
      </c>
      <c r="AY21">
        <v>8.9</v>
      </c>
      <c r="BF21">
        <v>6.9</v>
      </c>
      <c r="BM21">
        <v>7.1</v>
      </c>
    </row>
    <row r="22" spans="1:68" x14ac:dyDescent="0.35">
      <c r="A22" t="s">
        <v>643</v>
      </c>
      <c r="B22" t="s">
        <v>48</v>
      </c>
      <c r="C22" t="s">
        <v>743</v>
      </c>
      <c r="D22" t="s">
        <v>744</v>
      </c>
      <c r="AD22">
        <v>9.9</v>
      </c>
      <c r="AG22">
        <v>9.6999999999999993</v>
      </c>
      <c r="AK22">
        <v>9.6999999999999993</v>
      </c>
      <c r="AN22">
        <v>8.8000000000000007</v>
      </c>
      <c r="AP22">
        <v>9.1999999999999993</v>
      </c>
      <c r="AS22">
        <v>8.5</v>
      </c>
      <c r="AV22">
        <v>8.6</v>
      </c>
      <c r="AW22">
        <v>8.4</v>
      </c>
      <c r="AX22">
        <v>8.6999999999999993</v>
      </c>
      <c r="AY22">
        <v>8.6999999999999993</v>
      </c>
      <c r="AZ22">
        <v>8.6</v>
      </c>
      <c r="BA22">
        <v>8.6999999999999993</v>
      </c>
      <c r="BB22">
        <v>8.5</v>
      </c>
      <c r="BC22">
        <v>8.6</v>
      </c>
      <c r="BD22">
        <v>8.6</v>
      </c>
      <c r="BE22">
        <v>8.6999999999999993</v>
      </c>
      <c r="BF22">
        <v>8.6</v>
      </c>
      <c r="BG22">
        <v>8.6</v>
      </c>
      <c r="BH22">
        <v>8.6</v>
      </c>
      <c r="BI22">
        <v>8.6</v>
      </c>
      <c r="BJ22">
        <v>8.6999999999999993</v>
      </c>
      <c r="BK22">
        <v>8.9</v>
      </c>
      <c r="BL22">
        <v>9</v>
      </c>
      <c r="BM22">
        <v>9.4</v>
      </c>
      <c r="BN22">
        <v>9.1999999999999993</v>
      </c>
      <c r="BO22">
        <v>9.4</v>
      </c>
      <c r="BP22">
        <v>9.1</v>
      </c>
    </row>
    <row r="23" spans="1:68" x14ac:dyDescent="0.35">
      <c r="A23" t="s">
        <v>629</v>
      </c>
      <c r="B23" t="s">
        <v>343</v>
      </c>
      <c r="C23" t="s">
        <v>743</v>
      </c>
      <c r="D23" t="s">
        <v>744</v>
      </c>
      <c r="AV23">
        <v>7</v>
      </c>
      <c r="BD23">
        <v>6.1</v>
      </c>
      <c r="BH23">
        <v>3.3</v>
      </c>
      <c r="BK23">
        <v>7</v>
      </c>
      <c r="BN23">
        <v>7.6</v>
      </c>
    </row>
    <row r="24" spans="1:68" x14ac:dyDescent="0.35">
      <c r="A24" t="s">
        <v>120</v>
      </c>
      <c r="B24" t="s">
        <v>463</v>
      </c>
      <c r="C24" t="s">
        <v>743</v>
      </c>
      <c r="D24" t="s">
        <v>744</v>
      </c>
      <c r="AM24">
        <v>5.6</v>
      </c>
      <c r="AQ24">
        <v>5.2</v>
      </c>
      <c r="AV24">
        <v>5.8</v>
      </c>
      <c r="BB24">
        <v>6.7</v>
      </c>
      <c r="BG24">
        <v>8.3000000000000007</v>
      </c>
      <c r="BK24">
        <v>6.3</v>
      </c>
      <c r="BN24">
        <v>7.3</v>
      </c>
    </row>
    <row r="25" spans="1:68" x14ac:dyDescent="0.35">
      <c r="A25" t="s">
        <v>39</v>
      </c>
      <c r="B25" t="s">
        <v>152</v>
      </c>
      <c r="C25" t="s">
        <v>743</v>
      </c>
      <c r="D25" t="s">
        <v>744</v>
      </c>
      <c r="AB25">
        <v>9.6999999999999993</v>
      </c>
      <c r="AD25">
        <v>10</v>
      </c>
      <c r="AG25">
        <v>9.4</v>
      </c>
      <c r="AJ25">
        <v>9.6</v>
      </c>
      <c r="AN25">
        <v>8.8000000000000007</v>
      </c>
      <c r="AS25">
        <v>8.6</v>
      </c>
      <c r="AX25">
        <v>8.8000000000000007</v>
      </c>
      <c r="BC25">
        <v>8.9</v>
      </c>
      <c r="BI25">
        <v>8.6</v>
      </c>
      <c r="BO25">
        <v>8.8000000000000007</v>
      </c>
    </row>
    <row r="26" spans="1:68" x14ac:dyDescent="0.35">
      <c r="A26" t="s">
        <v>608</v>
      </c>
      <c r="B26" t="s">
        <v>154</v>
      </c>
      <c r="C26" t="s">
        <v>743</v>
      </c>
      <c r="D26" t="s">
        <v>744</v>
      </c>
      <c r="AH26">
        <v>10.5</v>
      </c>
      <c r="AK26">
        <v>8.3000000000000007</v>
      </c>
      <c r="AM26">
        <v>10.199999999999999</v>
      </c>
      <c r="AN26">
        <v>7.8</v>
      </c>
      <c r="AP26">
        <v>10.1</v>
      </c>
      <c r="AT26">
        <v>7.1</v>
      </c>
      <c r="AV26">
        <v>8.8000000000000007</v>
      </c>
      <c r="AY26">
        <v>5.7</v>
      </c>
      <c r="AZ26">
        <v>6.5</v>
      </c>
      <c r="BA26">
        <v>6.9</v>
      </c>
      <c r="BB26">
        <v>6.8</v>
      </c>
      <c r="BC26">
        <v>6.3</v>
      </c>
      <c r="BD26">
        <v>6.4</v>
      </c>
      <c r="BE26">
        <v>6.2</v>
      </c>
      <c r="BF26">
        <v>5.7</v>
      </c>
      <c r="BG26">
        <v>6</v>
      </c>
      <c r="BH26">
        <v>5.3</v>
      </c>
      <c r="BI26">
        <v>5.4</v>
      </c>
      <c r="BJ26">
        <v>5.7</v>
      </c>
      <c r="BK26">
        <v>5.7</v>
      </c>
      <c r="BL26">
        <v>5.7</v>
      </c>
      <c r="BM26">
        <v>6.1</v>
      </c>
      <c r="BN26">
        <v>6.1</v>
      </c>
      <c r="BO26">
        <v>6.2</v>
      </c>
      <c r="BP26">
        <v>6</v>
      </c>
    </row>
    <row r="27" spans="1:68" x14ac:dyDescent="0.35">
      <c r="A27" t="s">
        <v>372</v>
      </c>
      <c r="B27" t="s">
        <v>71</v>
      </c>
      <c r="C27" t="s">
        <v>743</v>
      </c>
      <c r="D27" t="s">
        <v>744</v>
      </c>
    </row>
    <row r="28" spans="1:68" x14ac:dyDescent="0.35">
      <c r="A28" t="s">
        <v>169</v>
      </c>
      <c r="B28" t="s">
        <v>302</v>
      </c>
      <c r="C28" t="s">
        <v>743</v>
      </c>
      <c r="D28" t="s">
        <v>744</v>
      </c>
    </row>
    <row r="29" spans="1:68" x14ac:dyDescent="0.35">
      <c r="A29" t="s">
        <v>398</v>
      </c>
      <c r="B29" t="s">
        <v>556</v>
      </c>
      <c r="C29" t="s">
        <v>743</v>
      </c>
      <c r="D29" t="s">
        <v>744</v>
      </c>
      <c r="AT29">
        <v>8.8000000000000007</v>
      </c>
      <c r="AW29">
        <v>7.4</v>
      </c>
      <c r="AZ29">
        <v>7.5</v>
      </c>
      <c r="BD29">
        <v>7.5</v>
      </c>
    </row>
    <row r="30" spans="1:68" x14ac:dyDescent="0.35">
      <c r="A30" t="s">
        <v>590</v>
      </c>
      <c r="B30" t="s">
        <v>226</v>
      </c>
      <c r="C30" t="s">
        <v>743</v>
      </c>
      <c r="D30" t="s">
        <v>744</v>
      </c>
      <c r="AL30">
        <v>11.1</v>
      </c>
      <c r="AN30">
        <v>8.5</v>
      </c>
      <c r="AQ30">
        <v>7.9</v>
      </c>
      <c r="AR30">
        <v>7.6</v>
      </c>
      <c r="AS30">
        <v>7.9</v>
      </c>
      <c r="AT30">
        <v>8.1999999999999993</v>
      </c>
      <c r="AU30">
        <v>8.3000000000000007</v>
      </c>
      <c r="AV30">
        <v>8.6</v>
      </c>
      <c r="AW30">
        <v>9.4</v>
      </c>
      <c r="AX30">
        <v>8.9</v>
      </c>
      <c r="AY30">
        <v>8.8000000000000007</v>
      </c>
      <c r="AZ30">
        <v>8.6</v>
      </c>
      <c r="BA30">
        <v>9</v>
      </c>
      <c r="BB30">
        <v>9.1</v>
      </c>
      <c r="BC30">
        <v>8.8000000000000007</v>
      </c>
      <c r="BD30">
        <v>9.1999999999999993</v>
      </c>
      <c r="BE30">
        <v>9.5</v>
      </c>
      <c r="BF30">
        <v>9.5</v>
      </c>
      <c r="BG30">
        <v>9.3000000000000007</v>
      </c>
      <c r="BH30">
        <v>9.6999999999999993</v>
      </c>
      <c r="BI30">
        <v>9.9</v>
      </c>
      <c r="BJ30">
        <v>9.9</v>
      </c>
      <c r="BK30">
        <v>10.1</v>
      </c>
      <c r="BL30">
        <v>10</v>
      </c>
      <c r="BM30">
        <v>10.3</v>
      </c>
    </row>
    <row r="31" spans="1:68" x14ac:dyDescent="0.35">
      <c r="A31" t="s">
        <v>322</v>
      </c>
      <c r="B31" t="s">
        <v>299</v>
      </c>
      <c r="C31" t="s">
        <v>743</v>
      </c>
      <c r="D31" t="s">
        <v>744</v>
      </c>
      <c r="AL31">
        <v>3</v>
      </c>
      <c r="AM31">
        <v>3.1</v>
      </c>
      <c r="AN31">
        <v>2.4</v>
      </c>
      <c r="AO31">
        <v>3.4</v>
      </c>
      <c r="AP31">
        <v>2.7</v>
      </c>
      <c r="AQ31">
        <v>3.3</v>
      </c>
      <c r="AR31">
        <v>3.2</v>
      </c>
      <c r="BK31">
        <v>5.8</v>
      </c>
    </row>
    <row r="32" spans="1:68" x14ac:dyDescent="0.35">
      <c r="A32" t="s">
        <v>380</v>
      </c>
      <c r="B32" t="s">
        <v>639</v>
      </c>
      <c r="C32" t="s">
        <v>743</v>
      </c>
      <c r="D32" t="s">
        <v>744</v>
      </c>
    </row>
    <row r="33" spans="1:68" x14ac:dyDescent="0.35">
      <c r="A33" t="s">
        <v>56</v>
      </c>
      <c r="B33" t="s">
        <v>518</v>
      </c>
      <c r="C33" t="s">
        <v>743</v>
      </c>
      <c r="D33" t="s">
        <v>744</v>
      </c>
      <c r="AI33">
        <v>5.6</v>
      </c>
      <c r="AK33">
        <v>4.5999999999999996</v>
      </c>
      <c r="AP33">
        <v>2</v>
      </c>
      <c r="AR33">
        <v>1.3</v>
      </c>
      <c r="AS33">
        <v>1.1000000000000001</v>
      </c>
      <c r="AT33">
        <v>1.9</v>
      </c>
      <c r="AU33">
        <v>1.7</v>
      </c>
      <c r="AW33">
        <v>3.1</v>
      </c>
      <c r="AX33">
        <v>2</v>
      </c>
      <c r="AY33">
        <v>2.2999999999999998</v>
      </c>
      <c r="AZ33">
        <v>2.9</v>
      </c>
      <c r="BA33">
        <v>3.2</v>
      </c>
      <c r="BB33">
        <v>3.2</v>
      </c>
      <c r="BD33">
        <v>3.8</v>
      </c>
      <c r="BE33">
        <v>3.4</v>
      </c>
      <c r="BF33">
        <v>3.6</v>
      </c>
      <c r="BG33">
        <v>3.8</v>
      </c>
      <c r="BH33">
        <v>3.9</v>
      </c>
      <c r="BI33">
        <v>3.7</v>
      </c>
      <c r="BJ33">
        <v>3.9</v>
      </c>
      <c r="BK33">
        <v>4.5</v>
      </c>
      <c r="BL33">
        <v>5.0999999999999996</v>
      </c>
      <c r="BM33">
        <v>4.7</v>
      </c>
      <c r="BN33">
        <v>5.3</v>
      </c>
      <c r="BO33">
        <v>5.0999999999999996</v>
      </c>
      <c r="BP33">
        <v>5.2</v>
      </c>
    </row>
    <row r="34" spans="1:68" x14ac:dyDescent="0.35">
      <c r="A34" t="s">
        <v>593</v>
      </c>
      <c r="B34" t="s">
        <v>341</v>
      </c>
      <c r="C34" t="s">
        <v>743</v>
      </c>
      <c r="D34" t="s">
        <v>744</v>
      </c>
      <c r="Z34">
        <v>2.7</v>
      </c>
      <c r="AA34">
        <v>2.6</v>
      </c>
      <c r="AB34">
        <v>2.7</v>
      </c>
      <c r="AC34">
        <v>2.8</v>
      </c>
      <c r="AD34">
        <v>2.9</v>
      </c>
      <c r="AE34">
        <v>2.7</v>
      </c>
      <c r="AF34">
        <v>2.4</v>
      </c>
      <c r="AG34">
        <v>2.2000000000000002</v>
      </c>
      <c r="AH34">
        <v>2</v>
      </c>
      <c r="AI34">
        <v>2.2999999999999998</v>
      </c>
      <c r="AK34">
        <v>2.9</v>
      </c>
      <c r="AL34">
        <v>2.4</v>
      </c>
      <c r="AN34">
        <v>2.5</v>
      </c>
      <c r="AO34">
        <v>2.2999999999999998</v>
      </c>
      <c r="AP34">
        <v>2.2999999999999998</v>
      </c>
      <c r="AQ34">
        <v>2.4</v>
      </c>
      <c r="AR34">
        <v>2.5</v>
      </c>
      <c r="AT34">
        <v>2.5</v>
      </c>
      <c r="AU34">
        <v>2.6</v>
      </c>
      <c r="AV34">
        <v>2.6</v>
      </c>
      <c r="AW34">
        <v>2.9</v>
      </c>
      <c r="AX34">
        <v>2.9</v>
      </c>
      <c r="AY34">
        <v>3</v>
      </c>
      <c r="AZ34">
        <v>3</v>
      </c>
      <c r="BA34">
        <v>3.2</v>
      </c>
      <c r="BB34">
        <v>3.2</v>
      </c>
      <c r="BD34">
        <v>3.3</v>
      </c>
      <c r="BE34">
        <v>3.4</v>
      </c>
      <c r="BF34">
        <v>3.5</v>
      </c>
      <c r="BG34">
        <v>3.6</v>
      </c>
      <c r="BH34">
        <v>3.6</v>
      </c>
      <c r="BI34">
        <v>3.3</v>
      </c>
      <c r="BJ34">
        <v>3.2</v>
      </c>
      <c r="BK34">
        <v>3.1</v>
      </c>
      <c r="BL34">
        <v>3.1</v>
      </c>
      <c r="BM34">
        <v>4.5</v>
      </c>
      <c r="BN34">
        <v>3.3</v>
      </c>
      <c r="BO34">
        <v>3.6</v>
      </c>
      <c r="BP34">
        <v>3.7</v>
      </c>
    </row>
    <row r="35" spans="1:68" x14ac:dyDescent="0.35">
      <c r="A35" t="s">
        <v>563</v>
      </c>
      <c r="B35" t="s">
        <v>395</v>
      </c>
      <c r="C35" t="s">
        <v>743</v>
      </c>
      <c r="D35" t="s">
        <v>744</v>
      </c>
      <c r="BI35">
        <v>6.9</v>
      </c>
    </row>
    <row r="36" spans="1:68" x14ac:dyDescent="0.35">
      <c r="A36" t="s">
        <v>435</v>
      </c>
      <c r="B36" t="s">
        <v>129</v>
      </c>
      <c r="C36" t="s">
        <v>743</v>
      </c>
      <c r="D36" t="s">
        <v>744</v>
      </c>
    </row>
    <row r="37" spans="1:68" x14ac:dyDescent="0.35">
      <c r="A37" t="s">
        <v>572</v>
      </c>
      <c r="B37" t="s">
        <v>122</v>
      </c>
      <c r="C37" t="s">
        <v>743</v>
      </c>
      <c r="D37" t="s">
        <v>744</v>
      </c>
      <c r="AV37">
        <v>6.5</v>
      </c>
      <c r="AZ37">
        <v>6.7</v>
      </c>
      <c r="BE37">
        <v>6.7</v>
      </c>
      <c r="BJ37">
        <v>6.7</v>
      </c>
      <c r="BO37">
        <v>8.8000000000000007</v>
      </c>
    </row>
    <row r="38" spans="1:68" x14ac:dyDescent="0.35">
      <c r="A38" t="s">
        <v>51</v>
      </c>
      <c r="B38" t="s">
        <v>402</v>
      </c>
      <c r="C38" t="s">
        <v>743</v>
      </c>
      <c r="D38" t="s">
        <v>744</v>
      </c>
      <c r="AD38">
        <v>3.6</v>
      </c>
      <c r="AL38">
        <v>3.1</v>
      </c>
      <c r="AU38">
        <v>2.7</v>
      </c>
      <c r="BB38">
        <v>3.3</v>
      </c>
      <c r="BH38">
        <v>3.7</v>
      </c>
    </row>
    <row r="39" spans="1:68" x14ac:dyDescent="0.35">
      <c r="A39" t="s">
        <v>188</v>
      </c>
      <c r="B39" t="s">
        <v>492</v>
      </c>
      <c r="C39" t="s">
        <v>743</v>
      </c>
      <c r="D39" t="s">
        <v>744</v>
      </c>
      <c r="AK39">
        <v>3.1</v>
      </c>
      <c r="BA39">
        <v>3.4</v>
      </c>
      <c r="BN39">
        <v>5.6</v>
      </c>
    </row>
    <row r="40" spans="1:68" x14ac:dyDescent="0.35">
      <c r="A40" t="s">
        <v>203</v>
      </c>
      <c r="B40" t="s">
        <v>564</v>
      </c>
      <c r="C40" t="s">
        <v>743</v>
      </c>
      <c r="D40" t="s">
        <v>744</v>
      </c>
      <c r="P40">
        <v>5.7</v>
      </c>
      <c r="R40">
        <v>6.4</v>
      </c>
      <c r="T40">
        <v>6.7</v>
      </c>
      <c r="V40">
        <v>6.7</v>
      </c>
      <c r="X40">
        <v>6.8</v>
      </c>
      <c r="Z40">
        <v>7.1</v>
      </c>
      <c r="AA40">
        <v>7.1</v>
      </c>
      <c r="AC40">
        <v>6.9</v>
      </c>
      <c r="AD40">
        <v>7.1</v>
      </c>
      <c r="AE40">
        <v>7.4</v>
      </c>
      <c r="AF40">
        <v>7.5</v>
      </c>
      <c r="AG40">
        <v>7.7</v>
      </c>
      <c r="AH40">
        <v>7.6</v>
      </c>
      <c r="AI40">
        <v>7.4</v>
      </c>
      <c r="AJ40">
        <v>7.3</v>
      </c>
      <c r="AK40">
        <v>7.5</v>
      </c>
      <c r="AL40">
        <v>7.4</v>
      </c>
      <c r="AM40">
        <v>7.5</v>
      </c>
      <c r="AN40">
        <v>7.5</v>
      </c>
      <c r="AO40">
        <v>7.4</v>
      </c>
      <c r="AP40">
        <v>7.4</v>
      </c>
      <c r="AQ40">
        <v>7.3</v>
      </c>
      <c r="AR40">
        <v>7.3</v>
      </c>
      <c r="AS40">
        <v>7.2</v>
      </c>
      <c r="AT40">
        <v>7.2</v>
      </c>
      <c r="AU40">
        <v>7.2</v>
      </c>
      <c r="AV40">
        <v>7.1</v>
      </c>
      <c r="AW40">
        <v>7.1</v>
      </c>
      <c r="AX40">
        <v>7.2</v>
      </c>
      <c r="AY40">
        <v>7.2</v>
      </c>
      <c r="AZ40">
        <v>7.3</v>
      </c>
      <c r="BA40">
        <v>7.2</v>
      </c>
      <c r="BB40">
        <v>7.2</v>
      </c>
      <c r="BC40">
        <v>7.3</v>
      </c>
      <c r="BD40">
        <v>7.5</v>
      </c>
      <c r="BE40">
        <v>7</v>
      </c>
      <c r="BF40">
        <v>6.8</v>
      </c>
      <c r="BG40">
        <v>7.2</v>
      </c>
      <c r="BH40">
        <v>7</v>
      </c>
      <c r="BI40">
        <v>7.4</v>
      </c>
      <c r="BJ40">
        <v>7.3</v>
      </c>
      <c r="BK40">
        <v>7.5</v>
      </c>
      <c r="BL40">
        <v>7.7</v>
      </c>
      <c r="BM40">
        <v>8.6</v>
      </c>
      <c r="BN40">
        <v>8.1999999999999993</v>
      </c>
    </row>
    <row r="41" spans="1:68" x14ac:dyDescent="0.35">
      <c r="A41" t="s">
        <v>444</v>
      </c>
      <c r="B41" t="s">
        <v>239</v>
      </c>
      <c r="C41" t="s">
        <v>743</v>
      </c>
      <c r="D41" t="s">
        <v>744</v>
      </c>
    </row>
    <row r="42" spans="1:68" x14ac:dyDescent="0.35">
      <c r="A42" t="s">
        <v>191</v>
      </c>
      <c r="B42" t="s">
        <v>648</v>
      </c>
      <c r="C42" t="s">
        <v>743</v>
      </c>
      <c r="D42" t="s">
        <v>744</v>
      </c>
      <c r="AA42">
        <v>7.5</v>
      </c>
      <c r="AK42">
        <v>7.6</v>
      </c>
      <c r="AS42">
        <v>7.9</v>
      </c>
      <c r="AU42">
        <v>8.1999999999999993</v>
      </c>
      <c r="AW42">
        <v>8.1999999999999993</v>
      </c>
      <c r="AY42">
        <v>7.4</v>
      </c>
      <c r="AZ42">
        <v>7.4</v>
      </c>
      <c r="BA42">
        <v>7.5</v>
      </c>
      <c r="BB42">
        <v>7.8</v>
      </c>
      <c r="BC42">
        <v>7.8</v>
      </c>
      <c r="BD42">
        <v>7.9</v>
      </c>
      <c r="BE42">
        <v>8.1</v>
      </c>
      <c r="BF42">
        <v>7.9</v>
      </c>
      <c r="BG42">
        <v>7.8</v>
      </c>
      <c r="BH42">
        <v>7.8</v>
      </c>
      <c r="BI42">
        <v>7.7</v>
      </c>
      <c r="BJ42">
        <v>7.7</v>
      </c>
      <c r="BK42">
        <v>7.5</v>
      </c>
      <c r="BL42">
        <v>7.4</v>
      </c>
      <c r="BM42">
        <v>7.5</v>
      </c>
      <c r="BN42">
        <v>7.5</v>
      </c>
      <c r="BO42">
        <v>7.4</v>
      </c>
    </row>
    <row r="43" spans="1:68" x14ac:dyDescent="0.35">
      <c r="A43" t="s">
        <v>396</v>
      </c>
      <c r="B43" t="s">
        <v>320</v>
      </c>
      <c r="C43" t="s">
        <v>743</v>
      </c>
      <c r="D43" t="s">
        <v>744</v>
      </c>
    </row>
    <row r="44" spans="1:68" x14ac:dyDescent="0.35">
      <c r="A44" t="s">
        <v>167</v>
      </c>
      <c r="B44" t="s">
        <v>655</v>
      </c>
      <c r="C44" t="s">
        <v>743</v>
      </c>
      <c r="D44" t="s">
        <v>744</v>
      </c>
      <c r="AF44">
        <v>3.4</v>
      </c>
      <c r="AI44">
        <v>3.4</v>
      </c>
      <c r="AK44">
        <v>3.9</v>
      </c>
      <c r="AM44">
        <v>3.5</v>
      </c>
      <c r="AO44">
        <v>3.7</v>
      </c>
      <c r="AQ44">
        <v>3.5</v>
      </c>
      <c r="AS44">
        <v>3.8</v>
      </c>
      <c r="AV44">
        <v>4</v>
      </c>
      <c r="AY44">
        <v>4.9000000000000004</v>
      </c>
      <c r="BB44">
        <v>5.0999999999999996</v>
      </c>
      <c r="BD44">
        <v>5.2</v>
      </c>
      <c r="BF44">
        <v>5.4</v>
      </c>
      <c r="BH44">
        <v>5.6</v>
      </c>
      <c r="BJ44">
        <v>5.6</v>
      </c>
      <c r="BM44">
        <v>4.9000000000000004</v>
      </c>
      <c r="BO44">
        <v>5.9</v>
      </c>
    </row>
    <row r="45" spans="1:68" x14ac:dyDescent="0.35">
      <c r="A45" t="s">
        <v>506</v>
      </c>
      <c r="B45" t="s">
        <v>189</v>
      </c>
      <c r="C45" t="s">
        <v>743</v>
      </c>
      <c r="D45" t="s">
        <v>744</v>
      </c>
      <c r="Z45">
        <v>8.8000000000000007</v>
      </c>
      <c r="AC45">
        <v>9</v>
      </c>
      <c r="AF45">
        <v>8.1999999999999993</v>
      </c>
      <c r="AI45">
        <v>8.3000000000000007</v>
      </c>
      <c r="AL45">
        <v>7.9</v>
      </c>
      <c r="AO45">
        <v>7.4</v>
      </c>
      <c r="AR45">
        <v>6.5</v>
      </c>
      <c r="AU45">
        <v>5.7</v>
      </c>
      <c r="AX45">
        <v>5.9</v>
      </c>
      <c r="BA45">
        <v>5.2</v>
      </c>
      <c r="BC45">
        <v>5.0999999999999996</v>
      </c>
      <c r="BD45">
        <v>5.4</v>
      </c>
      <c r="BE45">
        <v>5.3</v>
      </c>
      <c r="BF45">
        <v>6.2</v>
      </c>
      <c r="BG45">
        <v>6.2</v>
      </c>
      <c r="BH45">
        <v>6.4</v>
      </c>
      <c r="BI45">
        <v>6.5</v>
      </c>
      <c r="BJ45">
        <v>6.4</v>
      </c>
      <c r="BK45">
        <v>6.5</v>
      </c>
      <c r="BL45">
        <v>6.7</v>
      </c>
      <c r="BM45">
        <v>7.2</v>
      </c>
      <c r="BN45">
        <v>7.4</v>
      </c>
      <c r="BO45">
        <v>7.3</v>
      </c>
    </row>
    <row r="46" spans="1:68" x14ac:dyDescent="0.35">
      <c r="A46" t="s">
        <v>688</v>
      </c>
      <c r="B46" t="s">
        <v>338</v>
      </c>
      <c r="C46" t="s">
        <v>743</v>
      </c>
      <c r="D46" t="s">
        <v>744</v>
      </c>
      <c r="AD46">
        <v>5</v>
      </c>
      <c r="AE46">
        <v>6.9</v>
      </c>
      <c r="AF46">
        <v>6.3</v>
      </c>
      <c r="AG46">
        <v>6.8</v>
      </c>
      <c r="AK46">
        <v>6</v>
      </c>
      <c r="AN46">
        <v>6.6</v>
      </c>
      <c r="AQ46">
        <v>6.4</v>
      </c>
      <c r="AU46">
        <v>6.1</v>
      </c>
      <c r="BA46">
        <v>5.0999999999999996</v>
      </c>
      <c r="BH46">
        <v>5.7</v>
      </c>
      <c r="BK46">
        <v>7</v>
      </c>
      <c r="BN46">
        <v>7.6</v>
      </c>
    </row>
    <row r="47" spans="1:68" x14ac:dyDescent="0.35">
      <c r="A47" t="s">
        <v>742</v>
      </c>
      <c r="B47" t="s">
        <v>79</v>
      </c>
      <c r="C47" t="s">
        <v>743</v>
      </c>
      <c r="D47" t="s">
        <v>744</v>
      </c>
      <c r="AO47">
        <v>6.1</v>
      </c>
      <c r="AT47">
        <v>6.2</v>
      </c>
      <c r="AZ47">
        <v>5.8</v>
      </c>
      <c r="BG47">
        <v>4.5</v>
      </c>
      <c r="BN47">
        <v>5.4</v>
      </c>
    </row>
    <row r="48" spans="1:68" x14ac:dyDescent="0.35">
      <c r="A48" t="s">
        <v>498</v>
      </c>
      <c r="B48" t="s">
        <v>230</v>
      </c>
      <c r="C48" t="s">
        <v>743</v>
      </c>
      <c r="D48" t="s">
        <v>744</v>
      </c>
      <c r="AW48">
        <v>6.1</v>
      </c>
      <c r="BE48">
        <v>5.6</v>
      </c>
      <c r="BM48">
        <v>5.5</v>
      </c>
    </row>
    <row r="49" spans="1:69" x14ac:dyDescent="0.35">
      <c r="A49" t="s">
        <v>394</v>
      </c>
      <c r="B49" t="s">
        <v>411</v>
      </c>
      <c r="C49" t="s">
        <v>743</v>
      </c>
      <c r="D49" t="s">
        <v>744</v>
      </c>
      <c r="AX49">
        <v>4.9000000000000004</v>
      </c>
      <c r="BD49">
        <v>4.2</v>
      </c>
    </row>
    <row r="50" spans="1:69" x14ac:dyDescent="0.35">
      <c r="A50" t="s">
        <v>559</v>
      </c>
      <c r="B50" t="s">
        <v>305</v>
      </c>
      <c r="C50" t="s">
        <v>743</v>
      </c>
      <c r="D50" t="s">
        <v>744</v>
      </c>
      <c r="Y50">
        <v>2.9</v>
      </c>
      <c r="AG50">
        <v>3.3</v>
      </c>
      <c r="AH50">
        <v>3.6</v>
      </c>
      <c r="AJ50">
        <v>3.6</v>
      </c>
      <c r="AK50">
        <v>3.7</v>
      </c>
      <c r="AO50">
        <v>2.5</v>
      </c>
      <c r="AR50">
        <v>2.2000000000000002</v>
      </c>
      <c r="AS50">
        <v>2.1</v>
      </c>
      <c r="AT50">
        <v>2.5</v>
      </c>
      <c r="AU50">
        <v>3.2</v>
      </c>
      <c r="AV50">
        <v>3.5</v>
      </c>
      <c r="AW50">
        <v>3.5</v>
      </c>
      <c r="AX50">
        <v>3.6</v>
      </c>
      <c r="BA50">
        <v>3</v>
      </c>
      <c r="BB50">
        <v>3.3</v>
      </c>
      <c r="BC50">
        <v>3.3</v>
      </c>
      <c r="BD50">
        <v>3.5</v>
      </c>
      <c r="BE50">
        <v>3.5</v>
      </c>
      <c r="BF50">
        <v>3.5</v>
      </c>
      <c r="BG50">
        <v>3.6</v>
      </c>
      <c r="BH50">
        <v>3.8</v>
      </c>
      <c r="BI50">
        <v>3.9</v>
      </c>
      <c r="BJ50">
        <v>4.0999999999999996</v>
      </c>
      <c r="BK50">
        <v>4</v>
      </c>
      <c r="BL50">
        <v>3.7</v>
      </c>
      <c r="BM50">
        <v>3.1</v>
      </c>
      <c r="BN50">
        <v>3.1</v>
      </c>
      <c r="BO50">
        <v>3.2</v>
      </c>
      <c r="BP50">
        <v>3.4</v>
      </c>
    </row>
    <row r="51" spans="1:69" x14ac:dyDescent="0.35">
      <c r="A51" t="s">
        <v>362</v>
      </c>
      <c r="B51" t="s">
        <v>358</v>
      </c>
      <c r="C51" t="s">
        <v>743</v>
      </c>
      <c r="D51" t="s">
        <v>744</v>
      </c>
      <c r="AW51">
        <v>4</v>
      </c>
      <c r="BG51">
        <v>4.5</v>
      </c>
    </row>
    <row r="52" spans="1:69" x14ac:dyDescent="0.35">
      <c r="A52" t="s">
        <v>496</v>
      </c>
      <c r="B52" t="s">
        <v>568</v>
      </c>
      <c r="C52" t="s">
        <v>743</v>
      </c>
      <c r="D52" t="s">
        <v>744</v>
      </c>
      <c r="AT52">
        <v>4.2</v>
      </c>
      <c r="AZ52">
        <v>5</v>
      </c>
      <c r="BH52">
        <v>5.7</v>
      </c>
    </row>
    <row r="53" spans="1:69" x14ac:dyDescent="0.35">
      <c r="A53" t="s">
        <v>346</v>
      </c>
      <c r="B53" t="s">
        <v>11</v>
      </c>
      <c r="C53" t="s">
        <v>743</v>
      </c>
      <c r="D53" t="s">
        <v>744</v>
      </c>
      <c r="Z53">
        <v>3.3</v>
      </c>
      <c r="AE53">
        <v>5.2</v>
      </c>
      <c r="AH53">
        <v>3.8</v>
      </c>
      <c r="AI53">
        <v>3.8</v>
      </c>
      <c r="AJ53">
        <v>3.7</v>
      </c>
      <c r="AK53">
        <v>4</v>
      </c>
      <c r="AL53">
        <v>3.9</v>
      </c>
      <c r="AM53">
        <v>4</v>
      </c>
      <c r="AN53">
        <v>4</v>
      </c>
      <c r="AO53">
        <v>3.8</v>
      </c>
      <c r="AP53">
        <v>4.2</v>
      </c>
      <c r="AQ53">
        <v>4.3</v>
      </c>
      <c r="AR53">
        <v>4</v>
      </c>
      <c r="AS53">
        <v>3.9</v>
      </c>
      <c r="AT53">
        <v>3.5</v>
      </c>
      <c r="AU53">
        <v>3.5</v>
      </c>
      <c r="AV53">
        <v>3.7</v>
      </c>
      <c r="AW53">
        <v>4</v>
      </c>
      <c r="AX53">
        <v>4.2</v>
      </c>
      <c r="AY53">
        <v>4.0999999999999996</v>
      </c>
      <c r="AZ53">
        <v>4.3</v>
      </c>
      <c r="BA53">
        <v>4.3</v>
      </c>
      <c r="BB53">
        <v>4</v>
      </c>
      <c r="BC53">
        <v>4.4000000000000004</v>
      </c>
      <c r="BD53">
        <v>4.2</v>
      </c>
      <c r="BE53">
        <v>4.2</v>
      </c>
      <c r="BF53">
        <v>4.0999999999999996</v>
      </c>
      <c r="BG53">
        <v>4.2</v>
      </c>
      <c r="BH53">
        <v>4.3</v>
      </c>
      <c r="BI53">
        <v>4.2</v>
      </c>
      <c r="BJ53">
        <v>4.4000000000000004</v>
      </c>
      <c r="BK53">
        <v>4.3</v>
      </c>
      <c r="BL53">
        <v>4.4000000000000004</v>
      </c>
      <c r="BM53">
        <v>4</v>
      </c>
      <c r="BN53">
        <v>4.3</v>
      </c>
      <c r="BO53">
        <v>4.5</v>
      </c>
      <c r="BP53">
        <v>4.5</v>
      </c>
      <c r="BQ53">
        <v>4.5999999999999996</v>
      </c>
    </row>
    <row r="54" spans="1:69" x14ac:dyDescent="0.35">
      <c r="A54" t="s">
        <v>347</v>
      </c>
      <c r="B54" t="s">
        <v>300</v>
      </c>
      <c r="C54" t="s">
        <v>743</v>
      </c>
      <c r="D54" t="s">
        <v>744</v>
      </c>
    </row>
    <row r="55" spans="1:69" x14ac:dyDescent="0.35">
      <c r="A55" t="s">
        <v>99</v>
      </c>
      <c r="B55" t="s">
        <v>257</v>
      </c>
      <c r="C55" t="s">
        <v>743</v>
      </c>
      <c r="D55" t="s">
        <v>744</v>
      </c>
    </row>
    <row r="56" spans="1:69" x14ac:dyDescent="0.35">
      <c r="A56" t="s">
        <v>375</v>
      </c>
      <c r="B56" t="s">
        <v>100</v>
      </c>
      <c r="C56" t="s">
        <v>743</v>
      </c>
      <c r="D56" t="s">
        <v>744</v>
      </c>
    </row>
    <row r="57" spans="1:69" x14ac:dyDescent="0.35">
      <c r="A57" t="s">
        <v>482</v>
      </c>
      <c r="B57" t="s">
        <v>651</v>
      </c>
      <c r="C57" t="s">
        <v>743</v>
      </c>
      <c r="D57" t="s">
        <v>744</v>
      </c>
    </row>
    <row r="58" spans="1:69" x14ac:dyDescent="0.35">
      <c r="A58" t="s">
        <v>448</v>
      </c>
      <c r="B58" t="s">
        <v>258</v>
      </c>
      <c r="C58" t="s">
        <v>743</v>
      </c>
      <c r="D58" t="s">
        <v>744</v>
      </c>
      <c r="AW58">
        <v>8.8000000000000007</v>
      </c>
      <c r="AX58">
        <v>8.9</v>
      </c>
      <c r="AY58">
        <v>8.8000000000000007</v>
      </c>
      <c r="AZ58">
        <v>8.6999999999999993</v>
      </c>
      <c r="BA58">
        <v>8.6999999999999993</v>
      </c>
      <c r="BB58">
        <v>8.5</v>
      </c>
      <c r="BC58">
        <v>8.6</v>
      </c>
      <c r="BD58">
        <v>8.4</v>
      </c>
      <c r="BE58">
        <v>8</v>
      </c>
      <c r="BF58">
        <v>7.7</v>
      </c>
      <c r="BG58">
        <v>7.6</v>
      </c>
      <c r="BH58">
        <v>7.9</v>
      </c>
      <c r="BI58">
        <v>8.1999999999999993</v>
      </c>
      <c r="BJ58">
        <v>8.4</v>
      </c>
      <c r="BK58">
        <v>8.4</v>
      </c>
      <c r="BL58">
        <v>8.5</v>
      </c>
      <c r="BM58">
        <v>8.5</v>
      </c>
      <c r="BN58">
        <v>8.6</v>
      </c>
      <c r="BO58">
        <v>8.6999999999999993</v>
      </c>
      <c r="BP58">
        <v>8.6</v>
      </c>
    </row>
    <row r="59" spans="1:69" x14ac:dyDescent="0.35">
      <c r="A59" t="s">
        <v>354</v>
      </c>
      <c r="B59" t="s">
        <v>668</v>
      </c>
      <c r="C59" t="s">
        <v>743</v>
      </c>
      <c r="D59" t="s">
        <v>744</v>
      </c>
      <c r="AK59">
        <v>11.9</v>
      </c>
      <c r="AL59">
        <v>10.5</v>
      </c>
      <c r="AO59">
        <v>10</v>
      </c>
      <c r="AU59">
        <v>9.6</v>
      </c>
      <c r="AW59">
        <v>9</v>
      </c>
      <c r="AX59">
        <v>9.3000000000000007</v>
      </c>
      <c r="AY59">
        <v>9.3000000000000007</v>
      </c>
      <c r="AZ59">
        <v>9.6999999999999993</v>
      </c>
      <c r="BA59">
        <v>9.8000000000000007</v>
      </c>
      <c r="BB59">
        <v>9.6</v>
      </c>
      <c r="BC59">
        <v>9.4</v>
      </c>
      <c r="BD59">
        <v>9.3000000000000007</v>
      </c>
      <c r="BE59">
        <v>9.6</v>
      </c>
      <c r="BF59">
        <v>9.4</v>
      </c>
      <c r="BG59">
        <v>9.6999999999999993</v>
      </c>
      <c r="BH59">
        <v>9.6999999999999993</v>
      </c>
      <c r="BI59">
        <v>10</v>
      </c>
      <c r="BJ59">
        <v>10.199999999999999</v>
      </c>
      <c r="BK59">
        <v>10.199999999999999</v>
      </c>
      <c r="BL59">
        <v>10.1</v>
      </c>
      <c r="BM59">
        <v>9.8000000000000007</v>
      </c>
      <c r="BN59">
        <v>9.6999999999999993</v>
      </c>
      <c r="BO59">
        <v>9.8000000000000007</v>
      </c>
      <c r="BP59">
        <v>9.5</v>
      </c>
    </row>
    <row r="60" spans="1:69" x14ac:dyDescent="0.35">
      <c r="A60" t="s">
        <v>485</v>
      </c>
      <c r="B60" t="s">
        <v>488</v>
      </c>
      <c r="C60" t="s">
        <v>743</v>
      </c>
      <c r="D60" t="s">
        <v>744</v>
      </c>
      <c r="AJ60">
        <v>8.9</v>
      </c>
      <c r="AK60">
        <v>9</v>
      </c>
      <c r="AL60">
        <v>9.1</v>
      </c>
      <c r="AM60">
        <v>8.6999999999999993</v>
      </c>
      <c r="AN60">
        <v>8.6999999999999993</v>
      </c>
      <c r="AO60">
        <v>9.1</v>
      </c>
      <c r="AP60">
        <v>9</v>
      </c>
      <c r="AQ60">
        <v>9.1</v>
      </c>
      <c r="AR60">
        <v>8.9</v>
      </c>
      <c r="AS60">
        <v>8.9</v>
      </c>
      <c r="AT60">
        <v>8.8000000000000007</v>
      </c>
      <c r="AU60">
        <v>8.6999999999999993</v>
      </c>
      <c r="AV60">
        <v>8.6999999999999993</v>
      </c>
      <c r="AW60">
        <v>8.6999999999999993</v>
      </c>
      <c r="AX60">
        <v>8.3000000000000007</v>
      </c>
      <c r="AY60">
        <v>8.5</v>
      </c>
      <c r="AZ60">
        <v>8.5</v>
      </c>
      <c r="BA60">
        <v>8.6</v>
      </c>
      <c r="BB60">
        <v>8.5</v>
      </c>
      <c r="BC60">
        <v>8.6</v>
      </c>
      <c r="BD60">
        <v>8.6</v>
      </c>
      <c r="BE60">
        <v>8.3000000000000007</v>
      </c>
      <c r="BF60">
        <v>8.3000000000000007</v>
      </c>
      <c r="BG60">
        <v>8.1999999999999993</v>
      </c>
      <c r="BH60">
        <v>8.1</v>
      </c>
      <c r="BI60">
        <v>8</v>
      </c>
      <c r="BJ60">
        <v>8</v>
      </c>
      <c r="BK60">
        <v>8</v>
      </c>
      <c r="BL60">
        <v>7.9</v>
      </c>
      <c r="BM60">
        <v>7.8</v>
      </c>
    </row>
    <row r="61" spans="1:69" x14ac:dyDescent="0.35">
      <c r="A61" t="s">
        <v>22</v>
      </c>
      <c r="B61" t="s">
        <v>250</v>
      </c>
      <c r="C61" t="s">
        <v>743</v>
      </c>
      <c r="D61" t="s">
        <v>744</v>
      </c>
      <c r="AU61">
        <v>6</v>
      </c>
      <c r="BE61">
        <v>4.3</v>
      </c>
      <c r="BF61">
        <v>5</v>
      </c>
      <c r="BJ61">
        <v>5.4</v>
      </c>
    </row>
    <row r="62" spans="1:69" x14ac:dyDescent="0.35">
      <c r="A62" t="s">
        <v>690</v>
      </c>
      <c r="B62" t="s">
        <v>265</v>
      </c>
      <c r="C62" t="s">
        <v>743</v>
      </c>
      <c r="D62" t="s">
        <v>744</v>
      </c>
    </row>
    <row r="63" spans="1:69" x14ac:dyDescent="0.35">
      <c r="A63" t="s">
        <v>312</v>
      </c>
      <c r="B63" t="s">
        <v>531</v>
      </c>
      <c r="C63" t="s">
        <v>743</v>
      </c>
      <c r="D63" t="s">
        <v>744</v>
      </c>
      <c r="AF63">
        <v>9.5</v>
      </c>
      <c r="AK63">
        <v>9.9</v>
      </c>
      <c r="AN63">
        <v>10.9</v>
      </c>
      <c r="AS63">
        <v>10.6</v>
      </c>
      <c r="AV63">
        <v>9.8000000000000007</v>
      </c>
      <c r="AW63">
        <v>9.9</v>
      </c>
      <c r="AX63">
        <v>9.8000000000000007</v>
      </c>
      <c r="AY63">
        <v>9.8000000000000007</v>
      </c>
      <c r="AZ63">
        <v>9.8000000000000007</v>
      </c>
      <c r="BA63">
        <v>9.8000000000000007</v>
      </c>
      <c r="BB63">
        <v>9.1999999999999993</v>
      </c>
      <c r="BC63">
        <v>9.3000000000000007</v>
      </c>
      <c r="BD63">
        <v>9.4</v>
      </c>
      <c r="BE63">
        <v>9.3000000000000007</v>
      </c>
      <c r="BF63">
        <v>9.1</v>
      </c>
      <c r="BG63">
        <v>9.1</v>
      </c>
      <c r="BH63">
        <v>9.4</v>
      </c>
      <c r="BI63">
        <v>9.1999999999999993</v>
      </c>
      <c r="BJ63">
        <v>9.1</v>
      </c>
      <c r="BK63">
        <v>9.3000000000000007</v>
      </c>
      <c r="BL63">
        <v>9.5</v>
      </c>
      <c r="BM63">
        <v>9.4</v>
      </c>
      <c r="BN63">
        <v>9.1999999999999993</v>
      </c>
      <c r="BO63">
        <v>9</v>
      </c>
      <c r="BP63">
        <v>9.1</v>
      </c>
    </row>
    <row r="64" spans="1:69" x14ac:dyDescent="0.35">
      <c r="A64" t="s">
        <v>422</v>
      </c>
      <c r="B64" t="s">
        <v>715</v>
      </c>
      <c r="C64" t="s">
        <v>743</v>
      </c>
      <c r="D64" t="s">
        <v>744</v>
      </c>
      <c r="AE64">
        <v>3.9</v>
      </c>
      <c r="AH64">
        <v>4.2</v>
      </c>
      <c r="AK64">
        <v>4.3</v>
      </c>
      <c r="AO64">
        <v>4.3</v>
      </c>
      <c r="AP64">
        <v>4</v>
      </c>
      <c r="AS64">
        <v>3.7</v>
      </c>
      <c r="AT64">
        <v>4.0999999999999996</v>
      </c>
      <c r="AU64">
        <v>3.8</v>
      </c>
      <c r="AV64">
        <v>3.8</v>
      </c>
      <c r="AW64">
        <v>3.9</v>
      </c>
      <c r="AX64">
        <v>4.0999999999999996</v>
      </c>
      <c r="AY64">
        <v>3.9</v>
      </c>
      <c r="AZ64">
        <v>4.4000000000000004</v>
      </c>
      <c r="BA64">
        <v>4.5999999999999996</v>
      </c>
      <c r="BB64">
        <v>4.5</v>
      </c>
      <c r="BC64">
        <v>4.5999999999999996</v>
      </c>
      <c r="BD64">
        <v>4.7</v>
      </c>
      <c r="BE64">
        <v>4.9000000000000004</v>
      </c>
      <c r="BF64">
        <v>4.8</v>
      </c>
      <c r="BG64">
        <v>5.0999999999999996</v>
      </c>
      <c r="BH64">
        <v>5</v>
      </c>
      <c r="BI64">
        <v>4.9000000000000004</v>
      </c>
      <c r="BJ64">
        <v>5.9</v>
      </c>
      <c r="BK64">
        <v>5.8</v>
      </c>
      <c r="BL64">
        <v>6</v>
      </c>
      <c r="BM64">
        <v>6.2</v>
      </c>
      <c r="BN64">
        <v>6.6</v>
      </c>
      <c r="BO64">
        <v>6.6</v>
      </c>
      <c r="BP64">
        <v>6.2</v>
      </c>
      <c r="BQ64">
        <v>6.1</v>
      </c>
    </row>
    <row r="65" spans="1:69" x14ac:dyDescent="0.35">
      <c r="A65" t="s">
        <v>689</v>
      </c>
      <c r="B65" t="s">
        <v>31</v>
      </c>
      <c r="C65" t="s">
        <v>743</v>
      </c>
      <c r="D65" t="s">
        <v>744</v>
      </c>
      <c r="AG65">
        <v>6.8</v>
      </c>
      <c r="AN65">
        <v>7</v>
      </c>
      <c r="BD65">
        <v>9.4</v>
      </c>
    </row>
    <row r="66" spans="1:69" x14ac:dyDescent="0.35">
      <c r="A66" t="s">
        <v>213</v>
      </c>
      <c r="B66" t="s">
        <v>241</v>
      </c>
      <c r="C66" t="s">
        <v>743</v>
      </c>
      <c r="D66" t="s">
        <v>744</v>
      </c>
    </row>
    <row r="67" spans="1:69" x14ac:dyDescent="0.35">
      <c r="A67" t="s">
        <v>693</v>
      </c>
      <c r="B67" t="s">
        <v>363</v>
      </c>
      <c r="C67" t="s">
        <v>743</v>
      </c>
      <c r="D67" t="s">
        <v>744</v>
      </c>
    </row>
    <row r="68" spans="1:69" x14ac:dyDescent="0.35">
      <c r="A68" t="s">
        <v>490</v>
      </c>
      <c r="B68" t="s">
        <v>586</v>
      </c>
      <c r="C68" t="s">
        <v>743</v>
      </c>
      <c r="D68" t="s">
        <v>744</v>
      </c>
    </row>
    <row r="69" spans="1:69" x14ac:dyDescent="0.35">
      <c r="A69" t="s">
        <v>279</v>
      </c>
      <c r="B69" t="s">
        <v>328</v>
      </c>
      <c r="C69" t="s">
        <v>743</v>
      </c>
      <c r="D69" t="s">
        <v>744</v>
      </c>
    </row>
    <row r="70" spans="1:69" x14ac:dyDescent="0.35">
      <c r="A70" t="s">
        <v>400</v>
      </c>
      <c r="B70" t="s">
        <v>585</v>
      </c>
      <c r="C70" t="s">
        <v>743</v>
      </c>
      <c r="D70" t="s">
        <v>744</v>
      </c>
    </row>
    <row r="71" spans="1:69" x14ac:dyDescent="0.35">
      <c r="A71" t="s">
        <v>251</v>
      </c>
      <c r="B71" t="s">
        <v>111</v>
      </c>
      <c r="C71" t="s">
        <v>743</v>
      </c>
      <c r="D71" t="s">
        <v>744</v>
      </c>
      <c r="AF71">
        <v>3.3</v>
      </c>
      <c r="AM71">
        <v>3.3</v>
      </c>
      <c r="AN71">
        <v>3.8</v>
      </c>
      <c r="AQ71">
        <v>4</v>
      </c>
      <c r="AR71">
        <v>2.6</v>
      </c>
      <c r="AS71">
        <v>3.1</v>
      </c>
      <c r="AV71">
        <v>3.3</v>
      </c>
      <c r="AW71">
        <v>3.2</v>
      </c>
      <c r="AX71">
        <v>3.3</v>
      </c>
      <c r="AY71">
        <v>3.7</v>
      </c>
      <c r="AZ71">
        <v>3.5</v>
      </c>
      <c r="BA71">
        <v>3.8</v>
      </c>
      <c r="BB71">
        <v>4.0999999999999996</v>
      </c>
      <c r="BC71">
        <v>4.0999999999999996</v>
      </c>
      <c r="BD71">
        <v>4.4000000000000004</v>
      </c>
      <c r="BE71">
        <v>4.3</v>
      </c>
      <c r="BF71">
        <v>4.5</v>
      </c>
      <c r="BG71">
        <v>4.8</v>
      </c>
      <c r="BH71">
        <v>4.5999999999999996</v>
      </c>
      <c r="BI71">
        <v>4.7</v>
      </c>
      <c r="BJ71">
        <v>4.7</v>
      </c>
      <c r="BK71">
        <v>4.5999999999999996</v>
      </c>
      <c r="BL71">
        <v>4.5</v>
      </c>
      <c r="BM71">
        <v>4.0999999999999996</v>
      </c>
      <c r="BN71">
        <v>4.5999999999999996</v>
      </c>
      <c r="BO71">
        <v>4.7</v>
      </c>
      <c r="BP71">
        <v>4.7</v>
      </c>
      <c r="BQ71">
        <v>4.3</v>
      </c>
    </row>
    <row r="72" spans="1:69" x14ac:dyDescent="0.35">
      <c r="A72" t="s">
        <v>263</v>
      </c>
      <c r="B72" t="s">
        <v>672</v>
      </c>
      <c r="C72" t="s">
        <v>743</v>
      </c>
      <c r="D72" t="s">
        <v>744</v>
      </c>
      <c r="AI72">
        <v>8.6999999999999993</v>
      </c>
      <c r="AN72">
        <v>9.5</v>
      </c>
      <c r="AR72">
        <v>9.1999999999999993</v>
      </c>
      <c r="AW72">
        <v>9</v>
      </c>
      <c r="BA72">
        <v>9.1999999999999993</v>
      </c>
      <c r="BC72">
        <v>9.4</v>
      </c>
      <c r="BE72">
        <v>9.8000000000000007</v>
      </c>
      <c r="BH72">
        <v>9.1</v>
      </c>
      <c r="BJ72">
        <v>9</v>
      </c>
      <c r="BL72">
        <v>9</v>
      </c>
      <c r="BN72">
        <v>9.6999999999999993</v>
      </c>
    </row>
    <row r="73" spans="1:69" x14ac:dyDescent="0.35">
      <c r="A73" t="s">
        <v>144</v>
      </c>
      <c r="B73" t="s">
        <v>410</v>
      </c>
      <c r="C73" t="s">
        <v>743</v>
      </c>
      <c r="D73" t="s">
        <v>744</v>
      </c>
    </row>
    <row r="74" spans="1:69" x14ac:dyDescent="0.35">
      <c r="A74" t="s">
        <v>725</v>
      </c>
      <c r="B74" t="s">
        <v>172</v>
      </c>
      <c r="C74" t="s">
        <v>743</v>
      </c>
      <c r="D74" t="s">
        <v>744</v>
      </c>
    </row>
    <row r="75" spans="1:69" x14ac:dyDescent="0.35">
      <c r="A75" t="s">
        <v>82</v>
      </c>
      <c r="B75" t="s">
        <v>256</v>
      </c>
      <c r="C75" t="s">
        <v>743</v>
      </c>
      <c r="D75" t="s">
        <v>744</v>
      </c>
      <c r="Y75">
        <v>7</v>
      </c>
      <c r="AD75">
        <v>7.3</v>
      </c>
      <c r="AI75">
        <v>7.8</v>
      </c>
      <c r="AL75">
        <v>6.5</v>
      </c>
      <c r="AM75">
        <v>6.6</v>
      </c>
      <c r="AN75">
        <v>6.5</v>
      </c>
      <c r="AO75">
        <v>6.1</v>
      </c>
      <c r="AP75">
        <v>6.6</v>
      </c>
      <c r="AQ75">
        <v>6.7</v>
      </c>
      <c r="AR75">
        <v>7.2</v>
      </c>
      <c r="AS75">
        <v>7</v>
      </c>
      <c r="AV75">
        <v>7.2</v>
      </c>
      <c r="AW75">
        <v>6.9</v>
      </c>
      <c r="AX75">
        <v>7</v>
      </c>
      <c r="AY75">
        <v>6.7</v>
      </c>
      <c r="AZ75">
        <v>6.7</v>
      </c>
      <c r="BA75">
        <v>6.6</v>
      </c>
      <c r="BB75">
        <v>6.3</v>
      </c>
      <c r="BC75">
        <v>6.3</v>
      </c>
      <c r="BD75">
        <v>6</v>
      </c>
      <c r="BE75">
        <v>6.1</v>
      </c>
      <c r="BF75">
        <v>5.7</v>
      </c>
      <c r="BG75">
        <v>5.7</v>
      </c>
      <c r="BH75">
        <v>5.8</v>
      </c>
      <c r="BI75">
        <v>5.8</v>
      </c>
      <c r="BJ75">
        <v>6.2</v>
      </c>
      <c r="BK75">
        <v>6.2</v>
      </c>
      <c r="BL75">
        <v>6.2</v>
      </c>
      <c r="BM75">
        <v>6</v>
      </c>
      <c r="BN75">
        <v>6.4</v>
      </c>
      <c r="BO75">
        <v>6.6</v>
      </c>
      <c r="BP75">
        <v>6.5</v>
      </c>
    </row>
    <row r="76" spans="1:69" x14ac:dyDescent="0.35">
      <c r="A76" t="s">
        <v>516</v>
      </c>
      <c r="B76" t="s">
        <v>657</v>
      </c>
      <c r="C76" t="s">
        <v>743</v>
      </c>
      <c r="D76" t="s">
        <v>744</v>
      </c>
      <c r="AL76">
        <v>6.5</v>
      </c>
      <c r="AN76">
        <v>8.1</v>
      </c>
      <c r="AQ76">
        <v>7</v>
      </c>
      <c r="AS76">
        <v>6.9</v>
      </c>
      <c r="AT76">
        <v>7</v>
      </c>
      <c r="AU76">
        <v>6.9</v>
      </c>
      <c r="AV76">
        <v>6.2</v>
      </c>
      <c r="AW76">
        <v>7.1</v>
      </c>
      <c r="AX76">
        <v>7.4</v>
      </c>
      <c r="AY76">
        <v>7.6</v>
      </c>
      <c r="AZ76">
        <v>8</v>
      </c>
      <c r="BA76">
        <v>7.8</v>
      </c>
      <c r="BB76">
        <v>7.7</v>
      </c>
      <c r="BC76">
        <v>7.2</v>
      </c>
      <c r="BD76">
        <v>7.3</v>
      </c>
      <c r="BE76">
        <v>7.3</v>
      </c>
      <c r="BF76">
        <v>6.8</v>
      </c>
      <c r="BG76">
        <v>7</v>
      </c>
      <c r="BH76">
        <v>7.5</v>
      </c>
      <c r="BI76">
        <v>7.8</v>
      </c>
      <c r="BJ76">
        <v>8.1</v>
      </c>
      <c r="BK76">
        <v>8.1</v>
      </c>
      <c r="BL76">
        <v>8.1</v>
      </c>
      <c r="BM76">
        <v>8.1</v>
      </c>
      <c r="BN76">
        <v>8.1</v>
      </c>
      <c r="BO76">
        <v>7.7</v>
      </c>
      <c r="BP76">
        <v>8.3000000000000007</v>
      </c>
    </row>
    <row r="77" spans="1:69" x14ac:dyDescent="0.35">
      <c r="A77" t="s">
        <v>159</v>
      </c>
      <c r="B77" t="s">
        <v>102</v>
      </c>
      <c r="C77" t="s">
        <v>743</v>
      </c>
      <c r="D77" t="s">
        <v>744</v>
      </c>
      <c r="AN77">
        <v>6.3</v>
      </c>
      <c r="AR77">
        <v>9.1</v>
      </c>
      <c r="AW77">
        <v>9.4</v>
      </c>
      <c r="BC77">
        <v>8</v>
      </c>
      <c r="BH77">
        <v>7.3</v>
      </c>
      <c r="BN77">
        <v>8.3000000000000007</v>
      </c>
    </row>
    <row r="78" spans="1:69" x14ac:dyDescent="0.35">
      <c r="A78" t="s">
        <v>42</v>
      </c>
      <c r="B78" t="s">
        <v>704</v>
      </c>
      <c r="C78" t="s">
        <v>743</v>
      </c>
      <c r="D78" t="s">
        <v>744</v>
      </c>
    </row>
    <row r="79" spans="1:69" x14ac:dyDescent="0.35">
      <c r="A79" t="s">
        <v>222</v>
      </c>
      <c r="B79" t="s">
        <v>359</v>
      </c>
      <c r="C79" t="s">
        <v>743</v>
      </c>
      <c r="D79" t="s">
        <v>744</v>
      </c>
    </row>
    <row r="80" spans="1:69" x14ac:dyDescent="0.35">
      <c r="A80" t="s">
        <v>54</v>
      </c>
      <c r="B80" t="s">
        <v>27</v>
      </c>
      <c r="C80" t="s">
        <v>743</v>
      </c>
      <c r="D80" t="s">
        <v>744</v>
      </c>
      <c r="AF80">
        <v>11</v>
      </c>
      <c r="AJ80">
        <v>10.9</v>
      </c>
      <c r="AN80">
        <v>11</v>
      </c>
      <c r="AS80">
        <v>9.6999999999999993</v>
      </c>
      <c r="AV80">
        <v>9.4</v>
      </c>
      <c r="AW80">
        <v>9.4</v>
      </c>
      <c r="AX80">
        <v>9.5</v>
      </c>
      <c r="AY80">
        <v>9.3000000000000007</v>
      </c>
      <c r="AZ80">
        <v>9.1999999999999993</v>
      </c>
      <c r="BA80">
        <v>9.3000000000000007</v>
      </c>
      <c r="BB80">
        <v>9.3000000000000007</v>
      </c>
      <c r="BC80">
        <v>9.1999999999999993</v>
      </c>
      <c r="BD80">
        <v>9.3000000000000007</v>
      </c>
      <c r="BE80">
        <v>9.4</v>
      </c>
      <c r="BF80">
        <v>9.3000000000000007</v>
      </c>
      <c r="BG80">
        <v>9.4</v>
      </c>
      <c r="BH80">
        <v>9.4</v>
      </c>
      <c r="BI80">
        <v>9.4</v>
      </c>
      <c r="BJ80">
        <v>9.4</v>
      </c>
      <c r="BK80">
        <v>9.3000000000000007</v>
      </c>
      <c r="BL80">
        <v>9.1999999999999993</v>
      </c>
      <c r="BM80">
        <v>9.5</v>
      </c>
      <c r="BN80">
        <v>9.3000000000000007</v>
      </c>
      <c r="BO80">
        <v>9.3000000000000007</v>
      </c>
      <c r="BP80">
        <v>9.1999999999999993</v>
      </c>
    </row>
    <row r="81" spans="1:69" x14ac:dyDescent="0.35">
      <c r="A81" t="s">
        <v>149</v>
      </c>
      <c r="B81" t="s">
        <v>392</v>
      </c>
      <c r="C81" t="s">
        <v>743</v>
      </c>
      <c r="D81" t="s">
        <v>744</v>
      </c>
      <c r="AU81">
        <v>6.7</v>
      </c>
      <c r="BA81">
        <v>6.6</v>
      </c>
      <c r="BF81">
        <v>7.5</v>
      </c>
      <c r="BL81">
        <v>8.4</v>
      </c>
    </row>
    <row r="82" spans="1:69" x14ac:dyDescent="0.35">
      <c r="A82" t="s">
        <v>381</v>
      </c>
      <c r="B82" t="s">
        <v>626</v>
      </c>
      <c r="C82" t="s">
        <v>743</v>
      </c>
      <c r="D82" t="s">
        <v>744</v>
      </c>
      <c r="O82">
        <v>7.1</v>
      </c>
      <c r="T82">
        <v>7.2</v>
      </c>
      <c r="X82">
        <v>7.5</v>
      </c>
      <c r="AC82">
        <v>7.6</v>
      </c>
      <c r="AI82">
        <v>8</v>
      </c>
      <c r="AO82">
        <v>7.7</v>
      </c>
      <c r="AP82">
        <v>7.7</v>
      </c>
      <c r="AQ82">
        <v>7.9</v>
      </c>
      <c r="AR82">
        <v>7.8</v>
      </c>
      <c r="AS82">
        <v>7.8</v>
      </c>
      <c r="AT82">
        <v>7.8</v>
      </c>
      <c r="AU82">
        <v>8.1</v>
      </c>
      <c r="AV82">
        <v>8.1999999999999993</v>
      </c>
      <c r="AW82">
        <v>8.4</v>
      </c>
      <c r="AX82">
        <v>8.6</v>
      </c>
      <c r="AY82">
        <v>8.5</v>
      </c>
      <c r="AZ82">
        <v>8.1</v>
      </c>
      <c r="BA82">
        <v>7.9</v>
      </c>
      <c r="BB82">
        <v>7.7</v>
      </c>
      <c r="BC82">
        <v>7.7</v>
      </c>
      <c r="BD82">
        <v>7.8</v>
      </c>
      <c r="BE82">
        <v>7.9</v>
      </c>
      <c r="BF82">
        <v>8</v>
      </c>
      <c r="BG82">
        <v>8</v>
      </c>
      <c r="BH82">
        <v>7.9</v>
      </c>
      <c r="BI82">
        <v>8</v>
      </c>
      <c r="BJ82">
        <v>8.1</v>
      </c>
      <c r="BK82">
        <v>8</v>
      </c>
      <c r="BL82">
        <v>7.8</v>
      </c>
      <c r="BM82">
        <v>8</v>
      </c>
      <c r="BN82">
        <v>7.7</v>
      </c>
      <c r="BO82">
        <v>7.8</v>
      </c>
      <c r="BP82">
        <v>7.7</v>
      </c>
    </row>
    <row r="83" spans="1:69" x14ac:dyDescent="0.35">
      <c r="A83" t="s">
        <v>345</v>
      </c>
      <c r="B83" t="s">
        <v>473</v>
      </c>
      <c r="C83" t="s">
        <v>743</v>
      </c>
      <c r="D83" t="s">
        <v>744</v>
      </c>
    </row>
    <row r="84" spans="1:69" x14ac:dyDescent="0.35">
      <c r="A84" t="s">
        <v>389</v>
      </c>
      <c r="B84" t="s">
        <v>286</v>
      </c>
      <c r="C84" t="s">
        <v>743</v>
      </c>
      <c r="D84" t="s">
        <v>744</v>
      </c>
      <c r="AX84">
        <v>5.6</v>
      </c>
      <c r="BF84">
        <v>5.5</v>
      </c>
    </row>
    <row r="85" spans="1:69" x14ac:dyDescent="0.35">
      <c r="A85" t="s">
        <v>501</v>
      </c>
      <c r="B85" t="s">
        <v>373</v>
      </c>
      <c r="C85" t="s">
        <v>743</v>
      </c>
      <c r="D85" t="s">
        <v>744</v>
      </c>
      <c r="AX85">
        <v>5.8</v>
      </c>
      <c r="BJ85">
        <v>6</v>
      </c>
    </row>
    <row r="86" spans="1:69" x14ac:dyDescent="0.35">
      <c r="A86" t="s">
        <v>669</v>
      </c>
      <c r="B86" t="s">
        <v>587</v>
      </c>
      <c r="C86" t="s">
        <v>743</v>
      </c>
      <c r="D86" t="s">
        <v>744</v>
      </c>
      <c r="M86">
        <v>10</v>
      </c>
      <c r="N86">
        <v>9.6</v>
      </c>
      <c r="O86">
        <v>9.6999999999999993</v>
      </c>
      <c r="P86">
        <v>9.1999999999999993</v>
      </c>
      <c r="Q86">
        <v>9.1</v>
      </c>
      <c r="R86">
        <v>9.4</v>
      </c>
      <c r="S86">
        <v>9.1999999999999993</v>
      </c>
      <c r="T86">
        <v>9.4</v>
      </c>
      <c r="U86">
        <v>9.5</v>
      </c>
      <c r="V86">
        <v>9.6999999999999993</v>
      </c>
      <c r="W86">
        <v>9.5</v>
      </c>
      <c r="X86">
        <v>9.6</v>
      </c>
      <c r="Y86">
        <v>9.1999999999999993</v>
      </c>
      <c r="Z86">
        <v>8.8000000000000007</v>
      </c>
      <c r="AA86">
        <v>8.8000000000000007</v>
      </c>
      <c r="AB86">
        <v>8.8000000000000007</v>
      </c>
      <c r="AC86">
        <v>8.8000000000000007</v>
      </c>
      <c r="AD86">
        <v>8.6</v>
      </c>
      <c r="AE86">
        <v>8.1999999999999993</v>
      </c>
      <c r="AF86">
        <v>7.9</v>
      </c>
      <c r="AG86">
        <v>7.8</v>
      </c>
      <c r="AH86">
        <v>7.7</v>
      </c>
      <c r="AI86">
        <v>7.2</v>
      </c>
      <c r="AJ86">
        <v>7.3</v>
      </c>
      <c r="AK86">
        <v>7.2</v>
      </c>
      <c r="AL86">
        <v>7.1</v>
      </c>
      <c r="AM86">
        <v>7.1</v>
      </c>
      <c r="AN86">
        <v>7.2</v>
      </c>
      <c r="AO86">
        <v>7.2</v>
      </c>
      <c r="AP86">
        <v>7.1</v>
      </c>
      <c r="AQ86">
        <v>7</v>
      </c>
      <c r="AR86">
        <v>6.9</v>
      </c>
      <c r="AS86">
        <v>6.8</v>
      </c>
      <c r="AT86">
        <v>7</v>
      </c>
      <c r="AU86">
        <v>7.3</v>
      </c>
      <c r="AV86">
        <v>7.4</v>
      </c>
      <c r="AW86">
        <v>7.4</v>
      </c>
      <c r="AX86">
        <v>7.2</v>
      </c>
      <c r="AY86">
        <v>7.2</v>
      </c>
      <c r="AZ86">
        <v>7.3</v>
      </c>
      <c r="BA86">
        <v>7.2</v>
      </c>
      <c r="BB86">
        <v>7.3</v>
      </c>
      <c r="BC86">
        <v>7.6</v>
      </c>
      <c r="BD86">
        <v>7.7</v>
      </c>
      <c r="BE86">
        <v>7.7</v>
      </c>
      <c r="BF86">
        <v>7.9</v>
      </c>
      <c r="BG86">
        <v>7.7</v>
      </c>
      <c r="BH86">
        <v>7.6</v>
      </c>
      <c r="BI86">
        <v>7.6</v>
      </c>
      <c r="BJ86">
        <v>7.6</v>
      </c>
      <c r="BK86">
        <v>7.4</v>
      </c>
      <c r="BL86">
        <v>7.5</v>
      </c>
      <c r="BM86">
        <v>7.7</v>
      </c>
      <c r="BN86">
        <v>7.7</v>
      </c>
    </row>
    <row r="87" spans="1:69" x14ac:dyDescent="0.35">
      <c r="A87" t="s">
        <v>620</v>
      </c>
      <c r="B87" t="s">
        <v>468</v>
      </c>
      <c r="C87" t="s">
        <v>743</v>
      </c>
      <c r="D87" t="s">
        <v>744</v>
      </c>
      <c r="AO87">
        <v>6.1</v>
      </c>
      <c r="AP87">
        <v>5.0999999999999996</v>
      </c>
      <c r="AQ87">
        <v>5.2</v>
      </c>
      <c r="AR87">
        <v>5.4</v>
      </c>
      <c r="AS87">
        <v>5.4</v>
      </c>
      <c r="AT87">
        <v>5.8</v>
      </c>
      <c r="AU87">
        <v>6.3</v>
      </c>
      <c r="AV87">
        <v>6.3</v>
      </c>
      <c r="AW87">
        <v>6.3</v>
      </c>
      <c r="AX87">
        <v>6.2</v>
      </c>
      <c r="AY87">
        <v>6.3</v>
      </c>
      <c r="AZ87">
        <v>6.2</v>
      </c>
      <c r="BA87">
        <v>6.1</v>
      </c>
      <c r="BB87">
        <v>6.1</v>
      </c>
      <c r="BC87">
        <v>5.7</v>
      </c>
      <c r="BD87">
        <v>5.6</v>
      </c>
      <c r="BE87">
        <v>5.9</v>
      </c>
      <c r="BF87">
        <v>6.1</v>
      </c>
      <c r="BG87">
        <v>6.4</v>
      </c>
      <c r="BH87">
        <v>6.7</v>
      </c>
      <c r="BI87">
        <v>6.7</v>
      </c>
      <c r="BJ87">
        <v>6.3</v>
      </c>
      <c r="BK87">
        <v>6.5</v>
      </c>
      <c r="BL87">
        <v>6.8</v>
      </c>
      <c r="BM87">
        <v>7</v>
      </c>
      <c r="BN87">
        <v>7</v>
      </c>
      <c r="BO87">
        <v>7</v>
      </c>
      <c r="BP87">
        <v>7</v>
      </c>
      <c r="BQ87">
        <v>7.3</v>
      </c>
    </row>
    <row r="88" spans="1:69" x14ac:dyDescent="0.35">
      <c r="A88" t="s">
        <v>170</v>
      </c>
      <c r="B88" t="s">
        <v>551</v>
      </c>
      <c r="C88" t="s">
        <v>743</v>
      </c>
      <c r="D88" t="s">
        <v>744</v>
      </c>
      <c r="AF88">
        <v>7</v>
      </c>
      <c r="AG88">
        <v>7</v>
      </c>
      <c r="AJ88">
        <v>6.6</v>
      </c>
      <c r="AQ88">
        <v>5.8</v>
      </c>
      <c r="AX88">
        <v>5.3</v>
      </c>
      <c r="BE88">
        <v>5.4</v>
      </c>
      <c r="BI88">
        <v>4.7</v>
      </c>
    </row>
    <row r="89" spans="1:69" x14ac:dyDescent="0.35">
      <c r="A89" t="s">
        <v>132</v>
      </c>
      <c r="B89" t="s">
        <v>683</v>
      </c>
      <c r="C89" t="s">
        <v>743</v>
      </c>
      <c r="D89" t="s">
        <v>744</v>
      </c>
    </row>
    <row r="90" spans="1:69" x14ac:dyDescent="0.35">
      <c r="A90" t="s">
        <v>576</v>
      </c>
      <c r="B90" t="s">
        <v>571</v>
      </c>
      <c r="C90" t="s">
        <v>743</v>
      </c>
      <c r="D90" t="s">
        <v>744</v>
      </c>
      <c r="AJ90">
        <v>3.9</v>
      </c>
      <c r="AM90">
        <v>5.2</v>
      </c>
      <c r="AU90">
        <v>5.8</v>
      </c>
      <c r="AZ90">
        <v>6.3</v>
      </c>
      <c r="BE90">
        <v>7.6</v>
      </c>
      <c r="BK90">
        <v>8.5</v>
      </c>
    </row>
    <row r="91" spans="1:69" x14ac:dyDescent="0.35">
      <c r="A91" t="s">
        <v>26</v>
      </c>
      <c r="B91" t="s">
        <v>86</v>
      </c>
      <c r="C91" t="s">
        <v>743</v>
      </c>
      <c r="D91" t="s">
        <v>744</v>
      </c>
      <c r="AQ91">
        <v>4.4000000000000004</v>
      </c>
      <c r="AV91">
        <v>4.8</v>
      </c>
      <c r="BC91">
        <v>5.7</v>
      </c>
      <c r="BH91">
        <v>7.4</v>
      </c>
      <c r="BM91">
        <v>6.6</v>
      </c>
    </row>
    <row r="92" spans="1:69" x14ac:dyDescent="0.35">
      <c r="A92" t="s">
        <v>581</v>
      </c>
      <c r="B92" t="s">
        <v>163</v>
      </c>
      <c r="C92" t="s">
        <v>743</v>
      </c>
      <c r="D92" t="s">
        <v>744</v>
      </c>
      <c r="AJ92">
        <v>2.2000000000000002</v>
      </c>
      <c r="AL92">
        <v>5.6</v>
      </c>
      <c r="AU92">
        <v>7.3</v>
      </c>
      <c r="BC92">
        <v>4.5</v>
      </c>
      <c r="BK92">
        <v>7.8</v>
      </c>
      <c r="BN92">
        <v>7.9</v>
      </c>
    </row>
    <row r="93" spans="1:69" x14ac:dyDescent="0.35">
      <c r="A93" t="s">
        <v>645</v>
      </c>
      <c r="B93" t="s">
        <v>234</v>
      </c>
      <c r="C93" t="s">
        <v>743</v>
      </c>
      <c r="D93" t="s">
        <v>744</v>
      </c>
      <c r="BO93">
        <v>6.4</v>
      </c>
    </row>
    <row r="94" spans="1:69" x14ac:dyDescent="0.35">
      <c r="A94" t="s">
        <v>691</v>
      </c>
      <c r="B94" t="s">
        <v>545</v>
      </c>
      <c r="C94" t="s">
        <v>743</v>
      </c>
      <c r="D94" t="s">
        <v>744</v>
      </c>
      <c r="AN94">
        <v>6</v>
      </c>
      <c r="AS94">
        <v>6.9</v>
      </c>
      <c r="AU94">
        <v>6.8</v>
      </c>
      <c r="AV94">
        <v>7.2</v>
      </c>
      <c r="AW94">
        <v>7.1</v>
      </c>
      <c r="AX94">
        <v>6.9</v>
      </c>
      <c r="AY94">
        <v>6.7</v>
      </c>
      <c r="AZ94">
        <v>7</v>
      </c>
      <c r="BA94">
        <v>7.1</v>
      </c>
      <c r="BB94">
        <v>7</v>
      </c>
      <c r="BC94">
        <v>6.7</v>
      </c>
      <c r="BD94">
        <v>6.1</v>
      </c>
      <c r="BE94">
        <v>5.8</v>
      </c>
      <c r="BF94">
        <v>5.9</v>
      </c>
      <c r="BG94">
        <v>5.9</v>
      </c>
      <c r="BH94">
        <v>5.8</v>
      </c>
      <c r="BI94">
        <v>6.3</v>
      </c>
      <c r="BJ94">
        <v>6.6</v>
      </c>
      <c r="BK94">
        <v>7.2</v>
      </c>
      <c r="BL94">
        <v>7</v>
      </c>
      <c r="BM94">
        <v>6.7</v>
      </c>
      <c r="BN94">
        <v>7.1</v>
      </c>
      <c r="BO94">
        <v>7.2</v>
      </c>
      <c r="BP94">
        <v>7.2</v>
      </c>
    </row>
    <row r="95" spans="1:69" x14ac:dyDescent="0.35">
      <c r="A95" t="s">
        <v>76</v>
      </c>
      <c r="B95" t="s">
        <v>599</v>
      </c>
      <c r="C95" t="s">
        <v>743</v>
      </c>
      <c r="D95" t="s">
        <v>744</v>
      </c>
      <c r="BK95">
        <v>5.5</v>
      </c>
    </row>
    <row r="96" spans="1:69" x14ac:dyDescent="0.35">
      <c r="A96" t="s">
        <v>526</v>
      </c>
      <c r="B96" t="s">
        <v>663</v>
      </c>
      <c r="C96" t="s">
        <v>743</v>
      </c>
      <c r="D96" t="s">
        <v>744</v>
      </c>
    </row>
    <row r="97" spans="1:69" x14ac:dyDescent="0.35">
      <c r="A97" t="s">
        <v>268</v>
      </c>
      <c r="B97" t="s">
        <v>140</v>
      </c>
      <c r="C97" t="s">
        <v>743</v>
      </c>
      <c r="D97" t="s">
        <v>744</v>
      </c>
      <c r="AE97">
        <v>3</v>
      </c>
      <c r="AH97">
        <v>2.2000000000000002</v>
      </c>
      <c r="AQ97">
        <v>3.7</v>
      </c>
      <c r="AS97">
        <v>3.5</v>
      </c>
      <c r="AY97">
        <v>3.1</v>
      </c>
      <c r="BG97">
        <v>4.5</v>
      </c>
      <c r="BP97">
        <v>4.5999999999999996</v>
      </c>
    </row>
    <row r="98" spans="1:69" x14ac:dyDescent="0.35">
      <c r="A98" t="s">
        <v>735</v>
      </c>
      <c r="B98" t="s">
        <v>41</v>
      </c>
      <c r="C98" t="s">
        <v>743</v>
      </c>
      <c r="D98" t="s">
        <v>744</v>
      </c>
    </row>
    <row r="99" spans="1:69" x14ac:dyDescent="0.35">
      <c r="A99" t="s">
        <v>365</v>
      </c>
      <c r="B99" t="s">
        <v>533</v>
      </c>
      <c r="C99" t="s">
        <v>743</v>
      </c>
      <c r="D99" t="s">
        <v>744</v>
      </c>
      <c r="AK99">
        <v>5.3</v>
      </c>
      <c r="AQ99">
        <v>4.3</v>
      </c>
    </row>
    <row r="100" spans="1:69" x14ac:dyDescent="0.35">
      <c r="A100" t="s">
        <v>353</v>
      </c>
      <c r="B100" t="s">
        <v>534</v>
      </c>
      <c r="C100" t="s">
        <v>743</v>
      </c>
      <c r="D100" t="s">
        <v>744</v>
      </c>
    </row>
    <row r="101" spans="1:69" x14ac:dyDescent="0.35">
      <c r="A101" t="s">
        <v>274</v>
      </c>
      <c r="B101" t="s">
        <v>342</v>
      </c>
      <c r="C101" t="s">
        <v>743</v>
      </c>
      <c r="D101" t="s">
        <v>744</v>
      </c>
    </row>
    <row r="102" spans="1:69" x14ac:dyDescent="0.35">
      <c r="A102" t="s">
        <v>552</v>
      </c>
      <c r="B102" t="s">
        <v>65</v>
      </c>
      <c r="C102" t="s">
        <v>743</v>
      </c>
      <c r="D102" t="s">
        <v>744</v>
      </c>
      <c r="AH102">
        <v>3</v>
      </c>
      <c r="AI102">
        <v>2.9</v>
      </c>
      <c r="AJ102">
        <v>3.7</v>
      </c>
      <c r="AK102">
        <v>3.9</v>
      </c>
      <c r="AL102">
        <v>3.6</v>
      </c>
      <c r="AM102">
        <v>3.1</v>
      </c>
      <c r="AN102">
        <v>3.1</v>
      </c>
      <c r="AO102">
        <v>2.9</v>
      </c>
      <c r="AP102">
        <v>3.5</v>
      </c>
      <c r="AQ102">
        <v>2.2000000000000002</v>
      </c>
      <c r="AR102">
        <v>2.4</v>
      </c>
      <c r="AT102">
        <v>2.5</v>
      </c>
      <c r="AU102">
        <v>2.6</v>
      </c>
      <c r="AV102">
        <v>2.4</v>
      </c>
      <c r="AW102">
        <v>2.4</v>
      </c>
      <c r="AX102">
        <v>1.9</v>
      </c>
      <c r="AY102">
        <v>2.1</v>
      </c>
      <c r="AZ102">
        <v>2.8</v>
      </c>
      <c r="BA102">
        <v>2.7</v>
      </c>
      <c r="BB102">
        <v>3.3</v>
      </c>
      <c r="BC102">
        <v>3.1</v>
      </c>
      <c r="BD102">
        <v>3.1</v>
      </c>
      <c r="BE102">
        <v>3</v>
      </c>
      <c r="BF102">
        <v>3.5</v>
      </c>
      <c r="BG102">
        <v>3.7</v>
      </c>
      <c r="BH102">
        <v>3.7</v>
      </c>
      <c r="BI102">
        <v>3.2</v>
      </c>
      <c r="BJ102">
        <v>3.4</v>
      </c>
      <c r="BK102">
        <v>3.4</v>
      </c>
      <c r="BL102">
        <v>3.6</v>
      </c>
      <c r="BP102">
        <v>3.6</v>
      </c>
      <c r="BQ102">
        <v>3.7</v>
      </c>
    </row>
    <row r="103" spans="1:69" x14ac:dyDescent="0.35">
      <c r="A103" t="s">
        <v>684</v>
      </c>
      <c r="B103" t="s">
        <v>160</v>
      </c>
      <c r="C103" t="s">
        <v>743</v>
      </c>
      <c r="D103" t="s">
        <v>744</v>
      </c>
    </row>
    <row r="104" spans="1:69" x14ac:dyDescent="0.35">
      <c r="A104" t="s">
        <v>521</v>
      </c>
      <c r="B104" t="s">
        <v>625</v>
      </c>
      <c r="C104" t="s">
        <v>743</v>
      </c>
      <c r="D104" t="s">
        <v>744</v>
      </c>
      <c r="AG104">
        <v>10.3</v>
      </c>
      <c r="AQ104">
        <v>8.6999999999999993</v>
      </c>
      <c r="AR104">
        <v>9.1999999999999993</v>
      </c>
      <c r="AS104">
        <v>8.3000000000000007</v>
      </c>
      <c r="AT104">
        <v>8.3000000000000007</v>
      </c>
      <c r="AW104">
        <v>8.6</v>
      </c>
      <c r="BA104">
        <v>8</v>
      </c>
      <c r="BB104">
        <v>7</v>
      </c>
      <c r="BC104">
        <v>6.9</v>
      </c>
      <c r="BD104">
        <v>6.9</v>
      </c>
      <c r="BE104">
        <v>6.9</v>
      </c>
      <c r="BF104">
        <v>7.1</v>
      </c>
      <c r="BG104">
        <v>7.1</v>
      </c>
      <c r="BH104">
        <v>7.3</v>
      </c>
      <c r="BI104">
        <v>7.3</v>
      </c>
      <c r="BJ104">
        <v>7.4</v>
      </c>
      <c r="BK104">
        <v>7.9</v>
      </c>
      <c r="BL104">
        <v>8</v>
      </c>
      <c r="BM104">
        <v>7.9</v>
      </c>
      <c r="BN104">
        <v>8.1999999999999993</v>
      </c>
      <c r="BO104">
        <v>7.9</v>
      </c>
      <c r="BP104">
        <v>7.8</v>
      </c>
    </row>
    <row r="105" spans="1:69" x14ac:dyDescent="0.35">
      <c r="A105" t="s">
        <v>5</v>
      </c>
      <c r="B105" t="s">
        <v>93</v>
      </c>
      <c r="C105" t="s">
        <v>743</v>
      </c>
      <c r="D105" t="s">
        <v>744</v>
      </c>
      <c r="AT105">
        <v>2.6</v>
      </c>
      <c r="BE105">
        <v>5.5</v>
      </c>
    </row>
    <row r="106" spans="1:69" x14ac:dyDescent="0.35">
      <c r="A106" t="s">
        <v>53</v>
      </c>
      <c r="B106" t="s">
        <v>637</v>
      </c>
      <c r="C106" t="s">
        <v>743</v>
      </c>
      <c r="D106" t="s">
        <v>744</v>
      </c>
      <c r="AF106">
        <v>11.4</v>
      </c>
      <c r="AH106">
        <v>10.4</v>
      </c>
      <c r="AJ106">
        <v>8.1</v>
      </c>
      <c r="AL106">
        <v>9.8000000000000007</v>
      </c>
      <c r="AM106">
        <v>7.4</v>
      </c>
      <c r="AQ106">
        <v>9.6</v>
      </c>
      <c r="AR106">
        <v>8.5</v>
      </c>
      <c r="AS106">
        <v>9.5</v>
      </c>
      <c r="AT106">
        <v>9.4</v>
      </c>
      <c r="AU106">
        <v>9.5</v>
      </c>
      <c r="AV106">
        <v>8.1999999999999993</v>
      </c>
      <c r="AW106">
        <v>8.3000000000000007</v>
      </c>
      <c r="AX106">
        <v>7.1</v>
      </c>
      <c r="AY106">
        <v>8.6999999999999993</v>
      </c>
      <c r="AZ106">
        <v>8.6999999999999993</v>
      </c>
      <c r="BA106">
        <v>8.8000000000000007</v>
      </c>
      <c r="BB106">
        <v>8.9</v>
      </c>
      <c r="BC106">
        <v>8.1999999999999993</v>
      </c>
      <c r="BD106">
        <v>8.1</v>
      </c>
      <c r="BE106">
        <v>7.6</v>
      </c>
      <c r="BF106">
        <v>7.6</v>
      </c>
      <c r="BG106">
        <v>7.6</v>
      </c>
      <c r="BH106">
        <v>7.8</v>
      </c>
      <c r="BI106">
        <v>8</v>
      </c>
      <c r="BJ106">
        <v>7.9</v>
      </c>
    </row>
    <row r="107" spans="1:69" x14ac:dyDescent="0.35">
      <c r="A107" t="s">
        <v>716</v>
      </c>
      <c r="B107" t="s">
        <v>145</v>
      </c>
      <c r="C107" t="s">
        <v>743</v>
      </c>
      <c r="D107" t="s">
        <v>744</v>
      </c>
    </row>
    <row r="108" spans="1:69" x14ac:dyDescent="0.35">
      <c r="A108" t="s">
        <v>80</v>
      </c>
      <c r="B108" t="s">
        <v>278</v>
      </c>
      <c r="C108" t="s">
        <v>743</v>
      </c>
      <c r="D108" t="s">
        <v>744</v>
      </c>
    </row>
    <row r="109" spans="1:69" x14ac:dyDescent="0.35">
      <c r="A109" t="s">
        <v>737</v>
      </c>
      <c r="B109" t="s">
        <v>549</v>
      </c>
      <c r="C109" t="s">
        <v>743</v>
      </c>
      <c r="D109" t="s">
        <v>744</v>
      </c>
    </row>
    <row r="110" spans="1:69" x14ac:dyDescent="0.35">
      <c r="A110" t="s">
        <v>503</v>
      </c>
      <c r="B110" t="s">
        <v>1</v>
      </c>
      <c r="C110" t="s">
        <v>743</v>
      </c>
      <c r="D110" t="s">
        <v>744</v>
      </c>
    </row>
    <row r="111" spans="1:69" x14ac:dyDescent="0.35">
      <c r="A111" t="s">
        <v>472</v>
      </c>
      <c r="B111" t="s">
        <v>479</v>
      </c>
      <c r="C111" t="s">
        <v>743</v>
      </c>
      <c r="D111" t="s">
        <v>744</v>
      </c>
      <c r="AC111">
        <v>8.3000000000000007</v>
      </c>
      <c r="AF111">
        <v>9.1</v>
      </c>
      <c r="AI111">
        <v>9</v>
      </c>
      <c r="AL111">
        <v>9</v>
      </c>
      <c r="AO111">
        <v>8.4</v>
      </c>
      <c r="AQ111">
        <v>9</v>
      </c>
      <c r="AR111">
        <v>9.1999999999999993</v>
      </c>
      <c r="AS111">
        <v>9.1999999999999993</v>
      </c>
      <c r="AT111">
        <v>9.1</v>
      </c>
      <c r="AU111">
        <v>9.5</v>
      </c>
      <c r="AV111">
        <v>9.4</v>
      </c>
      <c r="AW111">
        <v>9</v>
      </c>
      <c r="AX111">
        <v>9.1999999999999993</v>
      </c>
      <c r="AY111">
        <v>8.6999999999999993</v>
      </c>
      <c r="AZ111">
        <v>8.4</v>
      </c>
      <c r="BA111">
        <v>8.5</v>
      </c>
      <c r="BB111">
        <v>8.4</v>
      </c>
      <c r="BC111">
        <v>8.1</v>
      </c>
      <c r="BD111">
        <v>7.5</v>
      </c>
      <c r="BE111">
        <v>7.7</v>
      </c>
      <c r="BF111">
        <v>7.4</v>
      </c>
      <c r="BG111">
        <v>7.4</v>
      </c>
      <c r="BH111">
        <v>7.4</v>
      </c>
      <c r="BI111">
        <v>7.4</v>
      </c>
      <c r="BJ111">
        <v>7.4</v>
      </c>
      <c r="BK111">
        <v>7.4</v>
      </c>
      <c r="BL111">
        <v>7.6</v>
      </c>
      <c r="BM111">
        <v>7.6</v>
      </c>
      <c r="BN111">
        <v>7.6</v>
      </c>
      <c r="BO111">
        <v>7.8</v>
      </c>
      <c r="BP111">
        <v>7.9</v>
      </c>
      <c r="BQ111">
        <v>8.1</v>
      </c>
    </row>
    <row r="112" spans="1:69" x14ac:dyDescent="0.35">
      <c r="A112" t="s">
        <v>731</v>
      </c>
      <c r="B112" t="s">
        <v>675</v>
      </c>
      <c r="C112" t="s">
        <v>743</v>
      </c>
      <c r="D112" t="s">
        <v>744</v>
      </c>
    </row>
    <row r="113" spans="1:68" x14ac:dyDescent="0.35">
      <c r="A113" t="s">
        <v>303</v>
      </c>
      <c r="B113" t="s">
        <v>117</v>
      </c>
      <c r="C113" t="s">
        <v>743</v>
      </c>
      <c r="D113" t="s">
        <v>744</v>
      </c>
    </row>
    <row r="114" spans="1:68" x14ac:dyDescent="0.35">
      <c r="A114" t="s">
        <v>208</v>
      </c>
      <c r="B114" t="s">
        <v>596</v>
      </c>
      <c r="C114" t="s">
        <v>743</v>
      </c>
      <c r="D114" t="s">
        <v>744</v>
      </c>
      <c r="V114">
        <v>9.1</v>
      </c>
      <c r="AB114">
        <v>9.6</v>
      </c>
      <c r="AF114">
        <v>9.6999999999999993</v>
      </c>
      <c r="AL114">
        <v>10.199999999999999</v>
      </c>
      <c r="AW114">
        <v>10</v>
      </c>
      <c r="BB114">
        <v>10</v>
      </c>
      <c r="BD114">
        <v>9.6999999999999993</v>
      </c>
      <c r="BO114">
        <v>10.4</v>
      </c>
    </row>
    <row r="115" spans="1:68" x14ac:dyDescent="0.35">
      <c r="A115" t="s">
        <v>520</v>
      </c>
      <c r="B115" t="s">
        <v>376</v>
      </c>
      <c r="C115" t="s">
        <v>743</v>
      </c>
      <c r="D115" t="s">
        <v>744</v>
      </c>
    </row>
    <row r="116" spans="1:68" x14ac:dyDescent="0.35">
      <c r="A116" t="s">
        <v>106</v>
      </c>
      <c r="B116" t="s">
        <v>58</v>
      </c>
      <c r="C116" t="s">
        <v>743</v>
      </c>
      <c r="D116" t="s">
        <v>744</v>
      </c>
      <c r="AF116">
        <v>7.1</v>
      </c>
      <c r="AM116">
        <v>7.1</v>
      </c>
      <c r="AN116">
        <v>6.9</v>
      </c>
      <c r="AO116">
        <v>7.2</v>
      </c>
      <c r="AS116">
        <v>7.9</v>
      </c>
      <c r="AU116">
        <v>7.7</v>
      </c>
      <c r="AV116">
        <v>7.7</v>
      </c>
      <c r="AW116">
        <v>7.6</v>
      </c>
      <c r="AX116">
        <v>7.7</v>
      </c>
      <c r="AY116">
        <v>7.9</v>
      </c>
      <c r="AZ116">
        <v>8.1999999999999993</v>
      </c>
      <c r="BA116">
        <v>8.1999999999999993</v>
      </c>
      <c r="BB116">
        <v>7.7</v>
      </c>
      <c r="BC116">
        <v>7.6</v>
      </c>
      <c r="BD116">
        <v>7.5</v>
      </c>
      <c r="BE116">
        <v>7.5</v>
      </c>
      <c r="BF116">
        <v>7.3</v>
      </c>
      <c r="BG116">
        <v>7.9</v>
      </c>
      <c r="BH116">
        <v>8</v>
      </c>
      <c r="BI116">
        <v>7.9</v>
      </c>
      <c r="BJ116">
        <v>8.4</v>
      </c>
      <c r="BK116">
        <v>8.6999999999999993</v>
      </c>
      <c r="BL116">
        <v>8.8000000000000007</v>
      </c>
      <c r="BM116">
        <v>9</v>
      </c>
      <c r="BN116">
        <v>9</v>
      </c>
      <c r="BO116">
        <v>8.9</v>
      </c>
      <c r="BP116">
        <v>9.1999999999999993</v>
      </c>
    </row>
    <row r="117" spans="1:68" x14ac:dyDescent="0.35">
      <c r="A117" t="s">
        <v>420</v>
      </c>
      <c r="B117" t="s">
        <v>182</v>
      </c>
      <c r="C117" t="s">
        <v>743</v>
      </c>
      <c r="D117" t="s">
        <v>744</v>
      </c>
      <c r="AE117">
        <v>4.5999999999999996</v>
      </c>
      <c r="AI117">
        <v>5.2</v>
      </c>
      <c r="AM117">
        <v>5.5</v>
      </c>
      <c r="AQ117">
        <v>5.2</v>
      </c>
      <c r="AX117">
        <v>5.3</v>
      </c>
      <c r="AY117">
        <v>5</v>
      </c>
      <c r="BB117">
        <v>5.3</v>
      </c>
      <c r="BD117">
        <v>7.3</v>
      </c>
      <c r="BE117">
        <v>7.5</v>
      </c>
      <c r="BF117">
        <v>7.6</v>
      </c>
      <c r="BG117">
        <v>7.2</v>
      </c>
      <c r="BH117">
        <v>7.2</v>
      </c>
      <c r="BI117">
        <v>7.1</v>
      </c>
      <c r="BJ117">
        <v>6.9</v>
      </c>
      <c r="BK117">
        <v>6.8</v>
      </c>
      <c r="BL117">
        <v>6.9</v>
      </c>
      <c r="BM117">
        <v>7</v>
      </c>
      <c r="BN117">
        <v>7</v>
      </c>
      <c r="BO117">
        <v>7.2</v>
      </c>
      <c r="BP117">
        <v>7</v>
      </c>
    </row>
    <row r="118" spans="1:68" x14ac:dyDescent="0.35">
      <c r="A118" t="s">
        <v>0</v>
      </c>
      <c r="B118" t="s">
        <v>539</v>
      </c>
      <c r="C118" t="s">
        <v>743</v>
      </c>
      <c r="D118" t="s">
        <v>744</v>
      </c>
      <c r="AY118">
        <v>9.3000000000000007</v>
      </c>
      <c r="BE118">
        <v>8.8000000000000007</v>
      </c>
      <c r="BP118">
        <v>8.9</v>
      </c>
    </row>
    <row r="119" spans="1:68" x14ac:dyDescent="0.35">
      <c r="A119" t="s">
        <v>29</v>
      </c>
      <c r="B119" t="s">
        <v>146</v>
      </c>
      <c r="C119" t="s">
        <v>743</v>
      </c>
      <c r="D119" t="s">
        <v>744</v>
      </c>
      <c r="AV119">
        <v>9.5</v>
      </c>
      <c r="AW119">
        <v>9.4</v>
      </c>
      <c r="AX119">
        <v>9.1999999999999993</v>
      </c>
      <c r="AY119">
        <v>8.9</v>
      </c>
      <c r="AZ119">
        <v>9.1</v>
      </c>
      <c r="BA119">
        <v>8.6</v>
      </c>
      <c r="BB119">
        <v>9.1</v>
      </c>
      <c r="BC119">
        <v>9.5</v>
      </c>
      <c r="BD119">
        <v>9.3000000000000007</v>
      </c>
      <c r="BE119">
        <v>9.3000000000000007</v>
      </c>
      <c r="BF119">
        <v>9.9</v>
      </c>
      <c r="BG119">
        <v>9.4</v>
      </c>
      <c r="BH119">
        <v>9.5</v>
      </c>
      <c r="BI119">
        <v>9.4</v>
      </c>
      <c r="BJ119">
        <v>9.6999999999999993</v>
      </c>
      <c r="BK119">
        <v>9.1999999999999993</v>
      </c>
      <c r="BL119">
        <v>9.4</v>
      </c>
    </row>
    <row r="120" spans="1:68" x14ac:dyDescent="0.35">
      <c r="A120" t="s">
        <v>486</v>
      </c>
      <c r="B120" t="s">
        <v>671</v>
      </c>
      <c r="C120" t="s">
        <v>743</v>
      </c>
      <c r="D120" t="s">
        <v>744</v>
      </c>
      <c r="X120">
        <v>6.8</v>
      </c>
      <c r="AE120">
        <v>6.6</v>
      </c>
      <c r="AK120">
        <v>7</v>
      </c>
      <c r="AP120">
        <v>6.2</v>
      </c>
      <c r="AT120">
        <v>6</v>
      </c>
      <c r="AU120">
        <v>5.6</v>
      </c>
      <c r="AV120">
        <v>5.3</v>
      </c>
      <c r="AW120">
        <v>4.9000000000000004</v>
      </c>
      <c r="AX120">
        <v>4.9000000000000004</v>
      </c>
      <c r="AY120">
        <v>4.9000000000000004</v>
      </c>
      <c r="AZ120">
        <v>5</v>
      </c>
      <c r="BA120">
        <v>4.9000000000000004</v>
      </c>
      <c r="BB120">
        <v>4.7</v>
      </c>
      <c r="BC120">
        <v>4.8</v>
      </c>
      <c r="BD120">
        <v>4.9000000000000004</v>
      </c>
      <c r="BE120">
        <v>4.9000000000000004</v>
      </c>
      <c r="BF120">
        <v>5.2</v>
      </c>
      <c r="BG120">
        <v>5.0999999999999996</v>
      </c>
      <c r="BH120">
        <v>5.0999999999999996</v>
      </c>
      <c r="BI120">
        <v>5.2</v>
      </c>
      <c r="BJ120">
        <v>5.2</v>
      </c>
      <c r="BK120">
        <v>5.3</v>
      </c>
      <c r="BL120">
        <v>5.3</v>
      </c>
      <c r="BM120">
        <v>5.5</v>
      </c>
      <c r="BN120">
        <v>5.6</v>
      </c>
    </row>
    <row r="121" spans="1:68" x14ac:dyDescent="0.35">
      <c r="A121" t="s">
        <v>175</v>
      </c>
      <c r="B121" t="s">
        <v>565</v>
      </c>
      <c r="C121" t="s">
        <v>743</v>
      </c>
      <c r="D121" t="s">
        <v>744</v>
      </c>
      <c r="V121">
        <v>7.3</v>
      </c>
      <c r="W121">
        <v>7.4</v>
      </c>
      <c r="X121">
        <v>7.3</v>
      </c>
      <c r="Y121">
        <v>7.8</v>
      </c>
      <c r="Z121">
        <v>8.1</v>
      </c>
      <c r="AA121">
        <v>8.6</v>
      </c>
      <c r="AB121">
        <v>8.3000000000000007</v>
      </c>
      <c r="AC121">
        <v>7.9</v>
      </c>
      <c r="AE121">
        <v>7.9</v>
      </c>
      <c r="AF121">
        <v>6.8</v>
      </c>
      <c r="AH121">
        <v>7.9</v>
      </c>
      <c r="AJ121">
        <v>7.8</v>
      </c>
      <c r="AL121">
        <v>6.2</v>
      </c>
      <c r="AN121">
        <v>6.4</v>
      </c>
      <c r="AQ121">
        <v>6</v>
      </c>
      <c r="AS121">
        <v>6.4</v>
      </c>
      <c r="AU121">
        <v>6.5</v>
      </c>
      <c r="AV121">
        <v>6.7</v>
      </c>
      <c r="AW121">
        <v>6.9</v>
      </c>
      <c r="AX121">
        <v>6.8</v>
      </c>
      <c r="AY121">
        <v>6.9</v>
      </c>
      <c r="AZ121">
        <v>7.1</v>
      </c>
      <c r="BA121">
        <v>6.9</v>
      </c>
      <c r="BB121">
        <v>6.7</v>
      </c>
      <c r="BC121">
        <v>6.4</v>
      </c>
      <c r="BD121">
        <v>6.4</v>
      </c>
      <c r="BE121">
        <v>6.3</v>
      </c>
      <c r="BF121">
        <v>6.2</v>
      </c>
      <c r="BG121">
        <v>6.2</v>
      </c>
      <c r="BH121">
        <v>5.9</v>
      </c>
      <c r="BI121">
        <v>6.1</v>
      </c>
      <c r="BJ121">
        <v>6</v>
      </c>
      <c r="BK121">
        <v>6.1</v>
      </c>
      <c r="BL121">
        <v>6.3</v>
      </c>
      <c r="BM121">
        <v>6.3</v>
      </c>
      <c r="BN121">
        <v>6.5</v>
      </c>
      <c r="BO121">
        <v>6.8</v>
      </c>
      <c r="BP121">
        <v>6.6</v>
      </c>
    </row>
    <row r="122" spans="1:68" x14ac:dyDescent="0.35">
      <c r="A122" t="s">
        <v>127</v>
      </c>
      <c r="B122" t="s">
        <v>702</v>
      </c>
      <c r="C122" t="s">
        <v>743</v>
      </c>
      <c r="D122" t="s">
        <v>744</v>
      </c>
      <c r="AG122">
        <v>5.4</v>
      </c>
      <c r="AI122">
        <v>6.2</v>
      </c>
      <c r="AL122">
        <v>6.8</v>
      </c>
      <c r="AO122">
        <v>6.5</v>
      </c>
      <c r="AR122">
        <v>5.5</v>
      </c>
      <c r="AU122">
        <v>4.8</v>
      </c>
      <c r="AW122">
        <v>5.3</v>
      </c>
      <c r="BK122">
        <v>7.3</v>
      </c>
      <c r="BN122">
        <v>5.7</v>
      </c>
    </row>
    <row r="123" spans="1:68" x14ac:dyDescent="0.35">
      <c r="A123" t="s">
        <v>575</v>
      </c>
      <c r="B123" t="s">
        <v>311</v>
      </c>
      <c r="C123" t="s">
        <v>743</v>
      </c>
      <c r="D123" t="s">
        <v>744</v>
      </c>
      <c r="AE123">
        <v>7.3</v>
      </c>
      <c r="AK123">
        <v>6</v>
      </c>
      <c r="AP123">
        <v>7.6</v>
      </c>
      <c r="AU123">
        <v>7.2</v>
      </c>
      <c r="AY123">
        <v>8</v>
      </c>
      <c r="BA123">
        <v>8.4</v>
      </c>
      <c r="BC123">
        <v>8.1999999999999993</v>
      </c>
    </row>
    <row r="124" spans="1:68" x14ac:dyDescent="0.35">
      <c r="A124" t="s">
        <v>734</v>
      </c>
      <c r="B124" t="s">
        <v>566</v>
      </c>
      <c r="C124" t="s">
        <v>743</v>
      </c>
      <c r="D124" t="s">
        <v>744</v>
      </c>
      <c r="BA124">
        <v>6.3</v>
      </c>
      <c r="BB124">
        <v>7</v>
      </c>
      <c r="BC124">
        <v>7.5</v>
      </c>
      <c r="BD124">
        <v>7</v>
      </c>
      <c r="BE124">
        <v>7.2</v>
      </c>
      <c r="BF124">
        <v>7.2</v>
      </c>
      <c r="BG124">
        <v>7.8</v>
      </c>
      <c r="BH124">
        <v>7.9</v>
      </c>
      <c r="BI124">
        <v>7.3</v>
      </c>
      <c r="BJ124">
        <v>7.4</v>
      </c>
      <c r="BK124">
        <v>6.8</v>
      </c>
      <c r="BL124">
        <v>6.8</v>
      </c>
      <c r="BM124">
        <v>6.9</v>
      </c>
    </row>
    <row r="125" spans="1:68" x14ac:dyDescent="0.35">
      <c r="A125" t="s">
        <v>84</v>
      </c>
      <c r="B125" t="s">
        <v>292</v>
      </c>
      <c r="C125" t="s">
        <v>743</v>
      </c>
      <c r="D125" t="s">
        <v>744</v>
      </c>
      <c r="AL125">
        <v>7.5</v>
      </c>
      <c r="AO125">
        <v>6.9</v>
      </c>
      <c r="AT125">
        <v>6.7</v>
      </c>
      <c r="AU125">
        <v>7.3</v>
      </c>
      <c r="AV125">
        <v>7.5</v>
      </c>
      <c r="AW125">
        <v>8.1999999999999993</v>
      </c>
      <c r="AX125">
        <v>5.9</v>
      </c>
      <c r="AY125">
        <v>8.9</v>
      </c>
      <c r="AZ125">
        <v>8.9</v>
      </c>
      <c r="BA125">
        <v>9.5</v>
      </c>
      <c r="BB125">
        <v>9.4</v>
      </c>
      <c r="BC125">
        <v>9.5</v>
      </c>
      <c r="BD125">
        <v>9.5</v>
      </c>
      <c r="BE125">
        <v>9.4</v>
      </c>
      <c r="BF125">
        <v>9.8000000000000007</v>
      </c>
      <c r="BG125">
        <v>9.9</v>
      </c>
      <c r="BH125">
        <v>10</v>
      </c>
      <c r="BI125">
        <v>9.8000000000000007</v>
      </c>
      <c r="BJ125">
        <v>9.8000000000000007</v>
      </c>
      <c r="BK125">
        <v>9.8000000000000007</v>
      </c>
      <c r="BL125">
        <v>9.8000000000000007</v>
      </c>
      <c r="BM125">
        <v>9.8000000000000007</v>
      </c>
      <c r="BN125">
        <v>9.8000000000000007</v>
      </c>
    </row>
    <row r="126" spans="1:68" x14ac:dyDescent="0.35">
      <c r="A126" t="s">
        <v>739</v>
      </c>
      <c r="B126" t="s">
        <v>696</v>
      </c>
      <c r="C126" t="s">
        <v>743</v>
      </c>
      <c r="D126" t="s">
        <v>744</v>
      </c>
      <c r="AK126">
        <v>3.4</v>
      </c>
      <c r="AM126">
        <v>5.2</v>
      </c>
      <c r="AP126">
        <v>5.6</v>
      </c>
      <c r="AX126">
        <v>5</v>
      </c>
      <c r="BH126">
        <v>6.2</v>
      </c>
      <c r="BM126">
        <v>7.3</v>
      </c>
      <c r="BN126">
        <v>7.2</v>
      </c>
      <c r="BO126">
        <v>7.2</v>
      </c>
    </row>
    <row r="127" spans="1:68" x14ac:dyDescent="0.35">
      <c r="A127" t="s">
        <v>470</v>
      </c>
      <c r="B127" t="s">
        <v>423</v>
      </c>
      <c r="C127" t="s">
        <v>743</v>
      </c>
      <c r="D127" t="s">
        <v>744</v>
      </c>
      <c r="AQ127">
        <v>4.4000000000000004</v>
      </c>
      <c r="AS127">
        <v>8.6</v>
      </c>
      <c r="AT127">
        <v>8.8000000000000007</v>
      </c>
      <c r="AU127">
        <v>8.6</v>
      </c>
      <c r="AV127">
        <v>9.3000000000000007</v>
      </c>
      <c r="AW127">
        <v>7.7</v>
      </c>
      <c r="AX127">
        <v>8.4</v>
      </c>
      <c r="AY127">
        <v>7.3</v>
      </c>
      <c r="AZ127">
        <v>7.6</v>
      </c>
      <c r="BA127">
        <v>8.4</v>
      </c>
      <c r="BB127">
        <v>9.1</v>
      </c>
      <c r="BC127">
        <v>8.6999999999999993</v>
      </c>
      <c r="BD127">
        <v>9.6999999999999993</v>
      </c>
      <c r="BE127">
        <v>9.6</v>
      </c>
      <c r="BF127">
        <v>9.3000000000000007</v>
      </c>
      <c r="BG127">
        <v>10</v>
      </c>
      <c r="BH127">
        <v>9.5</v>
      </c>
      <c r="BI127">
        <v>10</v>
      </c>
      <c r="BJ127">
        <v>9.9</v>
      </c>
      <c r="BK127">
        <v>9.9</v>
      </c>
      <c r="BL127">
        <v>9.6</v>
      </c>
      <c r="BM127">
        <v>9.4</v>
      </c>
      <c r="BN127">
        <v>9.5</v>
      </c>
      <c r="BO127">
        <v>10</v>
      </c>
      <c r="BP127">
        <v>9.9</v>
      </c>
    </row>
    <row r="128" spans="1:68" x14ac:dyDescent="0.35">
      <c r="A128" t="s">
        <v>674</v>
      </c>
      <c r="B128" t="s">
        <v>709</v>
      </c>
      <c r="C128" t="s">
        <v>743</v>
      </c>
      <c r="D128" t="s">
        <v>744</v>
      </c>
    </row>
    <row r="129" spans="1:67" x14ac:dyDescent="0.35">
      <c r="A129" t="s">
        <v>635</v>
      </c>
      <c r="B129" t="s">
        <v>527</v>
      </c>
      <c r="C129" t="s">
        <v>743</v>
      </c>
      <c r="D129" t="s">
        <v>744</v>
      </c>
      <c r="AY129">
        <v>6.6</v>
      </c>
      <c r="BL129">
        <v>9.5</v>
      </c>
    </row>
    <row r="130" spans="1:67" x14ac:dyDescent="0.35">
      <c r="A130" t="s">
        <v>168</v>
      </c>
      <c r="B130" t="s">
        <v>393</v>
      </c>
      <c r="C130" t="s">
        <v>743</v>
      </c>
      <c r="D130" t="s">
        <v>744</v>
      </c>
    </row>
    <row r="131" spans="1:67" x14ac:dyDescent="0.35">
      <c r="A131" t="s">
        <v>197</v>
      </c>
      <c r="B131" t="s">
        <v>667</v>
      </c>
      <c r="C131" t="s">
        <v>743</v>
      </c>
      <c r="D131" t="s">
        <v>744</v>
      </c>
      <c r="AY131">
        <v>7.4</v>
      </c>
      <c r="BA131">
        <v>7.3</v>
      </c>
      <c r="BC131">
        <v>7.4</v>
      </c>
      <c r="BE131">
        <v>7.4</v>
      </c>
      <c r="BG131">
        <v>7.6</v>
      </c>
      <c r="BI131">
        <v>6.7</v>
      </c>
      <c r="BJ131">
        <v>6.7</v>
      </c>
      <c r="BK131">
        <v>7.1</v>
      </c>
      <c r="BL131">
        <v>7.4</v>
      </c>
      <c r="BM131">
        <v>7.6</v>
      </c>
      <c r="BN131">
        <v>7.5</v>
      </c>
    </row>
    <row r="132" spans="1:67" x14ac:dyDescent="0.35">
      <c r="A132" t="s">
        <v>724</v>
      </c>
      <c r="B132" t="s">
        <v>509</v>
      </c>
      <c r="C132" t="s">
        <v>743</v>
      </c>
      <c r="D132" t="s">
        <v>744</v>
      </c>
    </row>
    <row r="133" spans="1:67" x14ac:dyDescent="0.35">
      <c r="A133" t="s">
        <v>287</v>
      </c>
      <c r="B133" t="s">
        <v>522</v>
      </c>
      <c r="C133" t="s">
        <v>743</v>
      </c>
      <c r="D133" t="s">
        <v>744</v>
      </c>
    </row>
    <row r="134" spans="1:67" x14ac:dyDescent="0.35">
      <c r="A134" t="s">
        <v>574</v>
      </c>
      <c r="B134" t="s">
        <v>245</v>
      </c>
      <c r="C134" t="s">
        <v>743</v>
      </c>
      <c r="D134" t="s">
        <v>744</v>
      </c>
      <c r="AK134">
        <v>8.1999999999999993</v>
      </c>
      <c r="AP134">
        <v>8.1</v>
      </c>
      <c r="AU134">
        <v>8.6</v>
      </c>
      <c r="AZ134">
        <v>8</v>
      </c>
      <c r="BE134">
        <v>7.6</v>
      </c>
      <c r="BK134">
        <v>7</v>
      </c>
    </row>
    <row r="135" spans="1:67" x14ac:dyDescent="0.35">
      <c r="A135" t="s">
        <v>446</v>
      </c>
      <c r="B135" t="s">
        <v>264</v>
      </c>
      <c r="C135" t="s">
        <v>743</v>
      </c>
      <c r="D135" t="s">
        <v>744</v>
      </c>
      <c r="BD135">
        <v>7.9</v>
      </c>
      <c r="BO135">
        <v>6.8</v>
      </c>
    </row>
    <row r="136" spans="1:67" x14ac:dyDescent="0.35">
      <c r="A136" t="s">
        <v>248</v>
      </c>
      <c r="B136" t="s">
        <v>662</v>
      </c>
      <c r="C136" t="s">
        <v>743</v>
      </c>
      <c r="D136" t="s">
        <v>744</v>
      </c>
      <c r="AZ136">
        <v>6.5</v>
      </c>
      <c r="BG136">
        <v>7.8</v>
      </c>
      <c r="BI136">
        <v>7.2</v>
      </c>
    </row>
    <row r="137" spans="1:67" x14ac:dyDescent="0.35">
      <c r="A137" t="s">
        <v>555</v>
      </c>
      <c r="B137" t="s">
        <v>666</v>
      </c>
      <c r="C137" t="s">
        <v>743</v>
      </c>
      <c r="D137" t="s">
        <v>744</v>
      </c>
    </row>
    <row r="138" spans="1:67" x14ac:dyDescent="0.35">
      <c r="A138" t="s">
        <v>515</v>
      </c>
      <c r="B138" t="s">
        <v>383</v>
      </c>
      <c r="C138" t="s">
        <v>743</v>
      </c>
      <c r="D138" t="s">
        <v>744</v>
      </c>
      <c r="AN138">
        <v>5.2</v>
      </c>
      <c r="BH138">
        <v>5.5</v>
      </c>
    </row>
    <row r="139" spans="1:67" x14ac:dyDescent="0.35">
      <c r="A139" t="s">
        <v>605</v>
      </c>
      <c r="B139" t="s">
        <v>178</v>
      </c>
      <c r="C139" t="s">
        <v>743</v>
      </c>
      <c r="D139" t="s">
        <v>744</v>
      </c>
    </row>
    <row r="140" spans="1:67" x14ac:dyDescent="0.35">
      <c r="A140" t="s">
        <v>284</v>
      </c>
      <c r="B140" t="s">
        <v>589</v>
      </c>
      <c r="C140" t="s">
        <v>743</v>
      </c>
      <c r="D140" t="s">
        <v>744</v>
      </c>
    </row>
    <row r="141" spans="1:67" x14ac:dyDescent="0.35">
      <c r="A141" t="s">
        <v>649</v>
      </c>
      <c r="B141" t="s">
        <v>70</v>
      </c>
      <c r="C141" t="s">
        <v>743</v>
      </c>
      <c r="D141" t="s">
        <v>744</v>
      </c>
    </row>
    <row r="142" spans="1:67" x14ac:dyDescent="0.35">
      <c r="A142" t="s">
        <v>615</v>
      </c>
      <c r="B142" t="s">
        <v>356</v>
      </c>
      <c r="C142" t="s">
        <v>743</v>
      </c>
      <c r="D142" t="s">
        <v>744</v>
      </c>
    </row>
    <row r="143" spans="1:67" x14ac:dyDescent="0.35">
      <c r="A143" t="s">
        <v>3</v>
      </c>
      <c r="B143" t="s">
        <v>687</v>
      </c>
      <c r="C143" t="s">
        <v>743</v>
      </c>
      <c r="D143" t="s">
        <v>744</v>
      </c>
      <c r="AD143">
        <v>8.3000000000000007</v>
      </c>
      <c r="AI143">
        <v>8.6999999999999993</v>
      </c>
      <c r="AN143">
        <v>8</v>
      </c>
      <c r="AU143">
        <v>7</v>
      </c>
      <c r="AY143">
        <v>7</v>
      </c>
      <c r="BB143">
        <v>7.8</v>
      </c>
      <c r="BE143">
        <v>7.3</v>
      </c>
      <c r="BI143">
        <v>7.1</v>
      </c>
      <c r="BL143">
        <v>7.4</v>
      </c>
    </row>
    <row r="144" spans="1:67" x14ac:dyDescent="0.35">
      <c r="A144" t="s">
        <v>374</v>
      </c>
      <c r="B144" t="s">
        <v>225</v>
      </c>
      <c r="C144" t="s">
        <v>743</v>
      </c>
      <c r="D144" t="s">
        <v>744</v>
      </c>
    </row>
    <row r="145" spans="1:68" x14ac:dyDescent="0.35">
      <c r="A145" t="s">
        <v>329</v>
      </c>
      <c r="B145" t="s">
        <v>306</v>
      </c>
      <c r="C145" t="s">
        <v>743</v>
      </c>
      <c r="D145" t="s">
        <v>744</v>
      </c>
    </row>
    <row r="146" spans="1:68" x14ac:dyDescent="0.35">
      <c r="A146" t="s">
        <v>502</v>
      </c>
      <c r="B146" t="s">
        <v>259</v>
      </c>
      <c r="C146" t="s">
        <v>743</v>
      </c>
      <c r="D146" t="s">
        <v>744</v>
      </c>
      <c r="AE146">
        <v>2.9</v>
      </c>
      <c r="AM146">
        <v>1.6</v>
      </c>
      <c r="AU146">
        <v>3.3</v>
      </c>
      <c r="BJ146">
        <v>4.5999999999999996</v>
      </c>
    </row>
    <row r="147" spans="1:68" x14ac:dyDescent="0.35">
      <c r="A147" t="s">
        <v>416</v>
      </c>
      <c r="B147" t="s">
        <v>722</v>
      </c>
      <c r="C147" t="s">
        <v>743</v>
      </c>
      <c r="D147" t="s">
        <v>744</v>
      </c>
    </row>
    <row r="148" spans="1:68" x14ac:dyDescent="0.35">
      <c r="A148" t="s">
        <v>424</v>
      </c>
      <c r="B148" t="s">
        <v>114</v>
      </c>
      <c r="C148" t="s">
        <v>743</v>
      </c>
      <c r="D148" t="s">
        <v>744</v>
      </c>
      <c r="AL148">
        <v>8.1</v>
      </c>
      <c r="AO148">
        <v>7.8</v>
      </c>
      <c r="AQ148">
        <v>7.8</v>
      </c>
      <c r="AR148">
        <v>7.9</v>
      </c>
      <c r="AS148">
        <v>7.9</v>
      </c>
      <c r="AT148">
        <v>7.8</v>
      </c>
      <c r="AU148">
        <v>7.8</v>
      </c>
      <c r="AV148">
        <v>7.2</v>
      </c>
      <c r="AW148">
        <v>5.8</v>
      </c>
      <c r="AX148">
        <v>6.4</v>
      </c>
      <c r="AY148">
        <v>6.9</v>
      </c>
      <c r="AZ148">
        <v>6.8</v>
      </c>
      <c r="BA148">
        <v>6.6</v>
      </c>
      <c r="BB148">
        <v>5.7</v>
      </c>
      <c r="BC148">
        <v>6.5</v>
      </c>
      <c r="BD148">
        <v>7.1</v>
      </c>
      <c r="BE148">
        <v>6.5</v>
      </c>
      <c r="BF148">
        <v>6.7</v>
      </c>
      <c r="BG148">
        <v>6</v>
      </c>
      <c r="BH148">
        <v>6.1</v>
      </c>
      <c r="BI148">
        <v>6</v>
      </c>
      <c r="BJ148">
        <v>6.3</v>
      </c>
      <c r="BK148">
        <v>6.6</v>
      </c>
      <c r="BL148">
        <v>7</v>
      </c>
      <c r="BM148">
        <v>7.2</v>
      </c>
      <c r="BN148">
        <v>7</v>
      </c>
      <c r="BO148">
        <v>6.8</v>
      </c>
      <c r="BP148">
        <v>6.5</v>
      </c>
    </row>
    <row r="149" spans="1:68" x14ac:dyDescent="0.35">
      <c r="A149" t="s">
        <v>301</v>
      </c>
      <c r="B149" t="s">
        <v>546</v>
      </c>
      <c r="C149" t="s">
        <v>743</v>
      </c>
      <c r="D149" t="s">
        <v>744</v>
      </c>
      <c r="AD149">
        <v>9.6999999999999993</v>
      </c>
      <c r="AE149">
        <v>9.3000000000000007</v>
      </c>
      <c r="AF149">
        <v>8.9</v>
      </c>
      <c r="AG149">
        <v>9.1999999999999993</v>
      </c>
      <c r="AH149">
        <v>9.1</v>
      </c>
      <c r="AI149">
        <v>9.5</v>
      </c>
      <c r="AJ149">
        <v>9.4</v>
      </c>
      <c r="AK149">
        <v>9.5</v>
      </c>
      <c r="AL149">
        <v>9.6999999999999993</v>
      </c>
      <c r="AM149">
        <v>9.1</v>
      </c>
      <c r="AN149">
        <v>9.1</v>
      </c>
      <c r="AO149">
        <v>8.6</v>
      </c>
      <c r="AP149">
        <v>8.6999999999999993</v>
      </c>
      <c r="AQ149">
        <v>8.4</v>
      </c>
      <c r="AR149">
        <v>8.6</v>
      </c>
      <c r="AS149">
        <v>8.6</v>
      </c>
      <c r="AT149">
        <v>8.5</v>
      </c>
      <c r="AU149">
        <v>8.6</v>
      </c>
      <c r="AV149">
        <v>8.3000000000000007</v>
      </c>
      <c r="AW149">
        <v>8.3000000000000007</v>
      </c>
      <c r="AX149">
        <v>8.1999999999999993</v>
      </c>
      <c r="AY149">
        <v>8.1999999999999993</v>
      </c>
      <c r="AZ149">
        <v>8.3000000000000007</v>
      </c>
      <c r="BA149">
        <v>7.8</v>
      </c>
      <c r="BB149">
        <v>8</v>
      </c>
      <c r="BC149">
        <v>8.1999999999999993</v>
      </c>
      <c r="BD149">
        <v>7.8</v>
      </c>
      <c r="BE149">
        <v>7.3</v>
      </c>
      <c r="BF149">
        <v>7.6</v>
      </c>
      <c r="BG149">
        <v>7.9</v>
      </c>
      <c r="BH149">
        <v>7.5</v>
      </c>
      <c r="BI149">
        <v>7.6</v>
      </c>
      <c r="BJ149">
        <v>6.8</v>
      </c>
      <c r="BK149">
        <v>6.6</v>
      </c>
      <c r="BL149">
        <v>7.2</v>
      </c>
      <c r="BM149">
        <v>7.1</v>
      </c>
      <c r="BN149">
        <v>7.2</v>
      </c>
      <c r="BO149">
        <v>7.1</v>
      </c>
      <c r="BP149">
        <v>7.1</v>
      </c>
    </row>
    <row r="150" spans="1:68" x14ac:dyDescent="0.35">
      <c r="A150" t="s">
        <v>277</v>
      </c>
      <c r="B150" t="s">
        <v>471</v>
      </c>
      <c r="C150" t="s">
        <v>743</v>
      </c>
      <c r="D150" t="s">
        <v>744</v>
      </c>
      <c r="AL150">
        <v>9.6</v>
      </c>
      <c r="AN150">
        <v>8</v>
      </c>
      <c r="AO150">
        <v>7.7</v>
      </c>
      <c r="AP150">
        <v>7.2</v>
      </c>
      <c r="AQ150">
        <v>7.5</v>
      </c>
      <c r="AU150">
        <v>7.1</v>
      </c>
      <c r="AV150">
        <v>6.9</v>
      </c>
      <c r="AW150">
        <v>6.5</v>
      </c>
      <c r="AX150">
        <v>5.9</v>
      </c>
      <c r="AY150">
        <v>6.8</v>
      </c>
      <c r="AZ150">
        <v>6.4</v>
      </c>
      <c r="BA150">
        <v>6.1</v>
      </c>
      <c r="BB150">
        <v>5.9</v>
      </c>
      <c r="BC150">
        <v>6.2</v>
      </c>
      <c r="BD150">
        <v>6.4</v>
      </c>
      <c r="BE150">
        <v>6.5</v>
      </c>
      <c r="BF150">
        <v>6.5</v>
      </c>
      <c r="BG150">
        <v>6.6</v>
      </c>
      <c r="BH150">
        <v>7.1</v>
      </c>
      <c r="BI150">
        <v>7</v>
      </c>
      <c r="BJ150">
        <v>6.7</v>
      </c>
      <c r="BK150">
        <v>7</v>
      </c>
      <c r="BL150">
        <v>7.1</v>
      </c>
      <c r="BM150">
        <v>6.9</v>
      </c>
      <c r="BN150">
        <v>7.1</v>
      </c>
      <c r="BO150">
        <v>7.1</v>
      </c>
      <c r="BP150">
        <v>7.2</v>
      </c>
    </row>
    <row r="151" spans="1:68" x14ac:dyDescent="0.35">
      <c r="A151" t="s">
        <v>578</v>
      </c>
      <c r="B151" t="s">
        <v>307</v>
      </c>
      <c r="C151" t="s">
        <v>743</v>
      </c>
      <c r="D151" t="s">
        <v>744</v>
      </c>
    </row>
    <row r="152" spans="1:68" x14ac:dyDescent="0.35">
      <c r="A152" t="s">
        <v>406</v>
      </c>
      <c r="B152" t="s">
        <v>475</v>
      </c>
      <c r="C152" t="s">
        <v>743</v>
      </c>
      <c r="D152" t="s">
        <v>744</v>
      </c>
    </row>
    <row r="153" spans="1:68" x14ac:dyDescent="0.35">
      <c r="A153" t="s">
        <v>37</v>
      </c>
      <c r="B153" t="s">
        <v>205</v>
      </c>
      <c r="C153" t="s">
        <v>743</v>
      </c>
      <c r="D153" t="s">
        <v>744</v>
      </c>
      <c r="AC153">
        <v>6.9</v>
      </c>
      <c r="AI153">
        <v>6.6</v>
      </c>
      <c r="AQ153">
        <v>6.5</v>
      </c>
      <c r="AS153">
        <v>6.5</v>
      </c>
      <c r="AY153">
        <v>6.5</v>
      </c>
      <c r="BF153">
        <v>6.7</v>
      </c>
    </row>
    <row r="154" spans="1:68" x14ac:dyDescent="0.35">
      <c r="A154" t="s">
        <v>414</v>
      </c>
      <c r="B154" t="s">
        <v>6</v>
      </c>
      <c r="C154" t="s">
        <v>743</v>
      </c>
      <c r="D154" t="s">
        <v>744</v>
      </c>
    </row>
    <row r="155" spans="1:68" x14ac:dyDescent="0.35">
      <c r="A155" t="s">
        <v>484</v>
      </c>
      <c r="B155" t="s">
        <v>88</v>
      </c>
      <c r="C155" t="s">
        <v>743</v>
      </c>
      <c r="D155" t="s">
        <v>744</v>
      </c>
      <c r="AP155">
        <v>6.6</v>
      </c>
      <c r="AQ155">
        <v>6</v>
      </c>
      <c r="AR155">
        <v>6</v>
      </c>
      <c r="AS155">
        <v>6.9</v>
      </c>
      <c r="AT155">
        <v>6.7</v>
      </c>
      <c r="AU155">
        <v>7</v>
      </c>
      <c r="AV155">
        <v>7.6</v>
      </c>
      <c r="AW155">
        <v>7.4</v>
      </c>
      <c r="AX155">
        <v>7</v>
      </c>
      <c r="AY155">
        <v>7.1</v>
      </c>
      <c r="AZ155">
        <v>7.4</v>
      </c>
      <c r="BA155">
        <v>7.3</v>
      </c>
      <c r="BB155">
        <v>7.6</v>
      </c>
      <c r="BC155">
        <v>8.1</v>
      </c>
      <c r="BD155">
        <v>8.5</v>
      </c>
      <c r="BE155">
        <v>9</v>
      </c>
      <c r="BF155">
        <v>9.1999999999999993</v>
      </c>
      <c r="BG155">
        <v>9.6999999999999993</v>
      </c>
      <c r="BH155">
        <v>9.6999999999999993</v>
      </c>
      <c r="BI155">
        <v>10</v>
      </c>
      <c r="BJ155">
        <v>10</v>
      </c>
      <c r="BK155">
        <v>10.199999999999999</v>
      </c>
      <c r="BL155">
        <v>10</v>
      </c>
      <c r="BM155">
        <v>10.3</v>
      </c>
      <c r="BN155">
        <v>10.1</v>
      </c>
      <c r="BO155">
        <v>10.199999999999999</v>
      </c>
      <c r="BP155">
        <v>9.9</v>
      </c>
    </row>
    <row r="156" spans="1:68" x14ac:dyDescent="0.35">
      <c r="A156" t="s">
        <v>427</v>
      </c>
      <c r="B156" t="s">
        <v>17</v>
      </c>
      <c r="C156" t="s">
        <v>743</v>
      </c>
      <c r="D156" t="s">
        <v>744</v>
      </c>
      <c r="Y156">
        <v>5</v>
      </c>
      <c r="AL156">
        <v>5.5</v>
      </c>
      <c r="AP156">
        <v>6.1</v>
      </c>
      <c r="AR156">
        <v>6.3</v>
      </c>
      <c r="AT156">
        <v>4.9000000000000004</v>
      </c>
      <c r="AX156">
        <v>6.7</v>
      </c>
      <c r="BC156">
        <v>6.1</v>
      </c>
      <c r="BE156">
        <v>5.7</v>
      </c>
      <c r="BN156">
        <v>7.2</v>
      </c>
    </row>
    <row r="157" spans="1:68" x14ac:dyDescent="0.35">
      <c r="A157" t="s">
        <v>228</v>
      </c>
      <c r="B157" t="s">
        <v>97</v>
      </c>
      <c r="C157" t="s">
        <v>743</v>
      </c>
      <c r="D157" t="s">
        <v>744</v>
      </c>
      <c r="AU157">
        <v>6.8</v>
      </c>
      <c r="BB157">
        <v>6.4</v>
      </c>
      <c r="BI157">
        <v>8.3000000000000007</v>
      </c>
      <c r="BL157">
        <v>8.9</v>
      </c>
    </row>
    <row r="158" spans="1:68" x14ac:dyDescent="0.35">
      <c r="A158" t="s">
        <v>583</v>
      </c>
      <c r="B158" t="s">
        <v>164</v>
      </c>
      <c r="C158" t="s">
        <v>743</v>
      </c>
      <c r="D158" t="s">
        <v>744</v>
      </c>
    </row>
    <row r="159" spans="1:68" x14ac:dyDescent="0.35">
      <c r="A159" t="s">
        <v>246</v>
      </c>
      <c r="B159" t="s">
        <v>310</v>
      </c>
      <c r="C159" t="s">
        <v>743</v>
      </c>
      <c r="D159" t="s">
        <v>744</v>
      </c>
      <c r="AC159">
        <v>4.5999999999999996</v>
      </c>
      <c r="AH159">
        <v>4.3</v>
      </c>
      <c r="AK159">
        <v>4</v>
      </c>
      <c r="AM159">
        <v>3.7</v>
      </c>
      <c r="AO159">
        <v>3.8</v>
      </c>
      <c r="AQ159">
        <v>3.3</v>
      </c>
      <c r="AS159">
        <v>3.4</v>
      </c>
      <c r="AU159">
        <v>4</v>
      </c>
      <c r="AW159">
        <v>4</v>
      </c>
      <c r="AX159">
        <v>3.8</v>
      </c>
      <c r="AY159">
        <v>4.2</v>
      </c>
      <c r="BA159">
        <v>3.9</v>
      </c>
      <c r="BC159">
        <v>4.5999999999999996</v>
      </c>
      <c r="BE159">
        <v>4.4000000000000004</v>
      </c>
      <c r="BG159">
        <v>4.7</v>
      </c>
      <c r="BI159">
        <v>5</v>
      </c>
      <c r="BK159">
        <v>5.2</v>
      </c>
      <c r="BM159">
        <v>5.3</v>
      </c>
      <c r="BO159">
        <v>5.6</v>
      </c>
    </row>
    <row r="160" spans="1:68" x14ac:dyDescent="0.35">
      <c r="A160" t="s">
        <v>707</v>
      </c>
      <c r="B160" t="s">
        <v>641</v>
      </c>
      <c r="C160" t="s">
        <v>743</v>
      </c>
      <c r="D160" t="s">
        <v>744</v>
      </c>
      <c r="BL160">
        <v>7.2</v>
      </c>
    </row>
    <row r="161" spans="1:67" x14ac:dyDescent="0.35">
      <c r="A161" t="s">
        <v>458</v>
      </c>
      <c r="B161" t="s">
        <v>600</v>
      </c>
      <c r="C161" t="s">
        <v>743</v>
      </c>
      <c r="D161" t="s">
        <v>744</v>
      </c>
    </row>
    <row r="162" spans="1:67" x14ac:dyDescent="0.35">
      <c r="A162" t="s">
        <v>123</v>
      </c>
      <c r="B162" t="s">
        <v>654</v>
      </c>
      <c r="C162" t="s">
        <v>743</v>
      </c>
      <c r="D162" t="s">
        <v>744</v>
      </c>
      <c r="AQ162">
        <v>8.5</v>
      </c>
      <c r="AS162">
        <v>6.6</v>
      </c>
      <c r="AU162">
        <v>6.1</v>
      </c>
      <c r="AV162">
        <v>6.1</v>
      </c>
      <c r="AW162">
        <v>6.1</v>
      </c>
      <c r="AX162">
        <v>5.8</v>
      </c>
      <c r="AY162">
        <v>5.2</v>
      </c>
      <c r="BA162">
        <v>5</v>
      </c>
      <c r="BB162">
        <v>4.0999999999999996</v>
      </c>
      <c r="BC162">
        <v>3.8</v>
      </c>
      <c r="BD162">
        <v>4.4000000000000004</v>
      </c>
      <c r="BE162">
        <v>4.9000000000000004</v>
      </c>
      <c r="BF162">
        <v>5.6</v>
      </c>
      <c r="BG162">
        <v>5.8</v>
      </c>
      <c r="BH162">
        <v>5.6</v>
      </c>
      <c r="BI162">
        <v>5.6</v>
      </c>
      <c r="BJ162">
        <v>5.7</v>
      </c>
      <c r="BK162">
        <v>6.1</v>
      </c>
      <c r="BL162">
        <v>5.8</v>
      </c>
    </row>
    <row r="163" spans="1:67" x14ac:dyDescent="0.35">
      <c r="A163" t="s">
        <v>357</v>
      </c>
      <c r="B163" t="s">
        <v>612</v>
      </c>
      <c r="C163" t="s">
        <v>743</v>
      </c>
      <c r="D163" t="s">
        <v>744</v>
      </c>
      <c r="AM163">
        <v>4.8</v>
      </c>
      <c r="AT163">
        <v>6.3</v>
      </c>
      <c r="AY163">
        <v>6.4</v>
      </c>
      <c r="BB163">
        <v>8</v>
      </c>
      <c r="BK163">
        <v>7.5</v>
      </c>
      <c r="BN163">
        <v>7.6</v>
      </c>
    </row>
    <row r="164" spans="1:67" x14ac:dyDescent="0.35">
      <c r="A164" t="s">
        <v>407</v>
      </c>
      <c r="B164" t="s">
        <v>119</v>
      </c>
      <c r="C164" t="s">
        <v>743</v>
      </c>
      <c r="D164" t="s">
        <v>744</v>
      </c>
      <c r="AY164">
        <v>8.6</v>
      </c>
      <c r="AZ164">
        <v>8.3000000000000007</v>
      </c>
      <c r="BA164">
        <v>8.5</v>
      </c>
      <c r="BB164">
        <v>8.1999999999999993</v>
      </c>
      <c r="BC164">
        <v>8.4</v>
      </c>
      <c r="BD164">
        <v>8.5</v>
      </c>
      <c r="BE164">
        <v>8.4</v>
      </c>
      <c r="BF164">
        <v>8.6</v>
      </c>
      <c r="BG164">
        <v>8.6</v>
      </c>
      <c r="BH164">
        <v>8.5</v>
      </c>
      <c r="BI164">
        <v>8.6</v>
      </c>
      <c r="BJ164">
        <v>8.5</v>
      </c>
      <c r="BK164">
        <v>8.6</v>
      </c>
      <c r="BL164">
        <v>8.1999999999999993</v>
      </c>
      <c r="BM164">
        <v>8</v>
      </c>
      <c r="BN164">
        <v>8.3000000000000007</v>
      </c>
      <c r="BO164">
        <v>7.3</v>
      </c>
    </row>
    <row r="165" spans="1:67" x14ac:dyDescent="0.35">
      <c r="A165" t="s">
        <v>433</v>
      </c>
      <c r="B165" t="s">
        <v>69</v>
      </c>
      <c r="C165" t="s">
        <v>743</v>
      </c>
      <c r="D165" t="s">
        <v>744</v>
      </c>
      <c r="BH165">
        <v>7.3</v>
      </c>
      <c r="BJ165">
        <v>8.9</v>
      </c>
    </row>
    <row r="166" spans="1:67" x14ac:dyDescent="0.35">
      <c r="A166" t="s">
        <v>660</v>
      </c>
      <c r="B166" t="s">
        <v>553</v>
      </c>
      <c r="C166" t="s">
        <v>743</v>
      </c>
      <c r="D166" t="s">
        <v>744</v>
      </c>
    </row>
    <row r="167" spans="1:67" x14ac:dyDescent="0.35">
      <c r="A167" t="s">
        <v>412</v>
      </c>
      <c r="B167" t="s">
        <v>201</v>
      </c>
      <c r="C167" t="s">
        <v>743</v>
      </c>
      <c r="D167" t="s">
        <v>744</v>
      </c>
      <c r="AX167">
        <v>8.5</v>
      </c>
      <c r="AY167">
        <v>8.4</v>
      </c>
      <c r="AZ167">
        <v>8.1</v>
      </c>
      <c r="BA167">
        <v>8.4</v>
      </c>
      <c r="BB167">
        <v>8.3000000000000007</v>
      </c>
      <c r="BC167">
        <v>8.6999999999999993</v>
      </c>
      <c r="BD167">
        <v>8.1999999999999993</v>
      </c>
      <c r="BE167">
        <v>4.5</v>
      </c>
      <c r="BF167">
        <v>5.2</v>
      </c>
      <c r="BG167">
        <v>5.0999999999999996</v>
      </c>
      <c r="BH167">
        <v>5.2</v>
      </c>
      <c r="BI167">
        <v>5.2</v>
      </c>
      <c r="BJ167">
        <v>5.2</v>
      </c>
      <c r="BK167">
        <v>5.3</v>
      </c>
      <c r="BL167">
        <v>5.9</v>
      </c>
      <c r="BM167">
        <v>6.1</v>
      </c>
      <c r="BN167">
        <v>6.2</v>
      </c>
    </row>
    <row r="168" spans="1:67" x14ac:dyDescent="0.35">
      <c r="A168" t="s">
        <v>405</v>
      </c>
      <c r="B168" t="s">
        <v>481</v>
      </c>
      <c r="C168" t="s">
        <v>743</v>
      </c>
      <c r="D168" t="s">
        <v>744</v>
      </c>
      <c r="AN168">
        <v>7.4</v>
      </c>
      <c r="AQ168">
        <v>7.7</v>
      </c>
      <c r="AU168">
        <v>7.5</v>
      </c>
      <c r="AZ168">
        <v>7.3</v>
      </c>
      <c r="BC168">
        <v>7.8</v>
      </c>
      <c r="BD168">
        <v>7.8</v>
      </c>
      <c r="BE168">
        <v>7.6</v>
      </c>
      <c r="BG168">
        <v>8.1</v>
      </c>
      <c r="BI168">
        <v>8</v>
      </c>
      <c r="BK168">
        <v>7.9</v>
      </c>
      <c r="BO168">
        <v>8.1999999999999993</v>
      </c>
    </row>
    <row r="169" spans="1:67" x14ac:dyDescent="0.35">
      <c r="A169" t="s">
        <v>184</v>
      </c>
      <c r="B169" t="s">
        <v>613</v>
      </c>
      <c r="C169" t="s">
        <v>743</v>
      </c>
      <c r="D169" t="s">
        <v>744</v>
      </c>
    </row>
    <row r="170" spans="1:67" x14ac:dyDescent="0.35">
      <c r="A170" t="s">
        <v>606</v>
      </c>
      <c r="B170" t="s">
        <v>141</v>
      </c>
      <c r="C170" t="s">
        <v>743</v>
      </c>
      <c r="D170" t="s">
        <v>744</v>
      </c>
      <c r="AO170">
        <v>4.2</v>
      </c>
      <c r="AU170">
        <v>5.5</v>
      </c>
      <c r="BA170">
        <v>5.3</v>
      </c>
      <c r="BG170">
        <v>4.2</v>
      </c>
      <c r="BL170">
        <v>4.5</v>
      </c>
      <c r="BO170">
        <v>4.7</v>
      </c>
    </row>
    <row r="171" spans="1:67" x14ac:dyDescent="0.35">
      <c r="A171" t="s">
        <v>59</v>
      </c>
      <c r="B171" t="s">
        <v>419</v>
      </c>
      <c r="C171" t="s">
        <v>743</v>
      </c>
      <c r="D171" t="s">
        <v>744</v>
      </c>
      <c r="AF171">
        <v>4.2</v>
      </c>
      <c r="AL171">
        <v>5.2</v>
      </c>
      <c r="AN171">
        <v>6.4</v>
      </c>
      <c r="AS171">
        <v>6.2</v>
      </c>
      <c r="AW171">
        <v>6.5</v>
      </c>
      <c r="BA171">
        <v>6.7</v>
      </c>
      <c r="BG171">
        <v>7.5</v>
      </c>
      <c r="BL171">
        <v>7.8</v>
      </c>
    </row>
    <row r="172" spans="1:67" x14ac:dyDescent="0.35">
      <c r="A172" t="s">
        <v>52</v>
      </c>
      <c r="B172" t="s">
        <v>429</v>
      </c>
      <c r="C172" t="s">
        <v>743</v>
      </c>
      <c r="D172" t="s">
        <v>744</v>
      </c>
      <c r="AY172">
        <v>7.6</v>
      </c>
      <c r="BE172">
        <v>7</v>
      </c>
      <c r="BJ172">
        <v>7.2</v>
      </c>
    </row>
    <row r="173" spans="1:67" x14ac:dyDescent="0.35">
      <c r="A173" t="s">
        <v>543</v>
      </c>
      <c r="B173" t="s">
        <v>247</v>
      </c>
      <c r="C173" t="s">
        <v>743</v>
      </c>
      <c r="D173" t="s">
        <v>744</v>
      </c>
      <c r="AP173">
        <v>3.9</v>
      </c>
      <c r="AW173">
        <v>6.9</v>
      </c>
      <c r="BC173">
        <v>5.5</v>
      </c>
      <c r="BI173">
        <v>6.4</v>
      </c>
      <c r="BL173">
        <v>7</v>
      </c>
    </row>
    <row r="174" spans="1:67" x14ac:dyDescent="0.35">
      <c r="A174" t="s">
        <v>452</v>
      </c>
      <c r="B174" t="s">
        <v>588</v>
      </c>
      <c r="C174" t="s">
        <v>743</v>
      </c>
      <c r="D174" t="s">
        <v>744</v>
      </c>
      <c r="AC174">
        <v>4.5999999999999996</v>
      </c>
      <c r="AF174">
        <v>4.9000000000000004</v>
      </c>
      <c r="AH174">
        <v>5.0999999999999996</v>
      </c>
      <c r="AK174">
        <v>4.7</v>
      </c>
      <c r="AN174">
        <v>4.5</v>
      </c>
      <c r="AP174">
        <v>4.4000000000000004</v>
      </c>
      <c r="AV174">
        <v>4.5999999999999996</v>
      </c>
      <c r="AY174">
        <v>5</v>
      </c>
      <c r="BA174">
        <v>4.8</v>
      </c>
      <c r="BD174">
        <v>5.2</v>
      </c>
      <c r="BF174">
        <v>5.8</v>
      </c>
      <c r="BH174">
        <v>5.8</v>
      </c>
      <c r="BK174">
        <v>5.7</v>
      </c>
      <c r="BN174">
        <v>5.9</v>
      </c>
    </row>
    <row r="175" spans="1:67" x14ac:dyDescent="0.35">
      <c r="A175" t="s">
        <v>227</v>
      </c>
      <c r="B175" t="s">
        <v>664</v>
      </c>
      <c r="C175" t="s">
        <v>743</v>
      </c>
      <c r="D175" t="s">
        <v>744</v>
      </c>
    </row>
    <row r="176" spans="1:67" x14ac:dyDescent="0.35">
      <c r="A176" t="s">
        <v>157</v>
      </c>
      <c r="B176" t="s">
        <v>270</v>
      </c>
      <c r="C176" t="s">
        <v>743</v>
      </c>
      <c r="D176" t="s">
        <v>744</v>
      </c>
      <c r="AL176">
        <v>1.7</v>
      </c>
      <c r="AV176">
        <v>3</v>
      </c>
      <c r="BB176">
        <v>3.3</v>
      </c>
      <c r="BH176">
        <v>2.8</v>
      </c>
    </row>
    <row r="177" spans="1:69" x14ac:dyDescent="0.35">
      <c r="A177" t="s">
        <v>723</v>
      </c>
      <c r="B177" t="s">
        <v>198</v>
      </c>
      <c r="C177" t="s">
        <v>743</v>
      </c>
      <c r="D177" t="s">
        <v>744</v>
      </c>
    </row>
    <row r="178" spans="1:69" x14ac:dyDescent="0.35">
      <c r="A178" t="s">
        <v>181</v>
      </c>
      <c r="B178" t="s">
        <v>142</v>
      </c>
      <c r="C178" t="s">
        <v>743</v>
      </c>
      <c r="D178" t="s">
        <v>744</v>
      </c>
      <c r="AK178">
        <v>7.5</v>
      </c>
      <c r="AM178">
        <v>6</v>
      </c>
      <c r="AX178">
        <v>5.9</v>
      </c>
      <c r="AZ178">
        <v>7.7</v>
      </c>
      <c r="BD178">
        <v>8.9</v>
      </c>
      <c r="BG178">
        <v>7.8</v>
      </c>
      <c r="BK178">
        <v>7.6</v>
      </c>
      <c r="BN178">
        <v>8.6999999999999993</v>
      </c>
    </row>
    <row r="179" spans="1:69" x14ac:dyDescent="0.35">
      <c r="A179" t="s">
        <v>304</v>
      </c>
      <c r="B179" t="s">
        <v>685</v>
      </c>
      <c r="C179" t="s">
        <v>743</v>
      </c>
      <c r="D179" t="s">
        <v>744</v>
      </c>
      <c r="AD179">
        <v>6</v>
      </c>
      <c r="AK179">
        <v>4</v>
      </c>
      <c r="AO179">
        <v>3.7</v>
      </c>
      <c r="AV179">
        <v>5.7</v>
      </c>
      <c r="BC179">
        <v>7.1</v>
      </c>
      <c r="BE179">
        <v>7.1</v>
      </c>
      <c r="BH179">
        <v>7</v>
      </c>
      <c r="BK179">
        <v>7.1</v>
      </c>
      <c r="BO179">
        <v>7.5</v>
      </c>
    </row>
    <row r="180" spans="1:69" x14ac:dyDescent="0.35">
      <c r="A180" t="s">
        <v>604</v>
      </c>
      <c r="B180" t="s">
        <v>220</v>
      </c>
      <c r="C180" t="s">
        <v>743</v>
      </c>
      <c r="D180" t="s">
        <v>744</v>
      </c>
      <c r="AL180">
        <v>2.2999999999999998</v>
      </c>
      <c r="AQ180">
        <v>3.1</v>
      </c>
      <c r="AT180">
        <v>3.9</v>
      </c>
      <c r="AX180">
        <v>4.8</v>
      </c>
      <c r="BB180">
        <v>5.3</v>
      </c>
      <c r="BG180">
        <v>5.0999999999999996</v>
      </c>
    </row>
    <row r="181" spans="1:69" x14ac:dyDescent="0.35">
      <c r="A181" t="s">
        <v>14</v>
      </c>
      <c r="B181" t="s">
        <v>517</v>
      </c>
      <c r="C181" t="s">
        <v>743</v>
      </c>
      <c r="D181" t="s">
        <v>744</v>
      </c>
      <c r="AB181">
        <v>9</v>
      </c>
      <c r="AF181">
        <v>9.8000000000000007</v>
      </c>
      <c r="AI181">
        <v>8.4</v>
      </c>
      <c r="AL181">
        <v>8</v>
      </c>
      <c r="AR181">
        <v>9.1999999999999993</v>
      </c>
      <c r="AW181">
        <v>8.4</v>
      </c>
      <c r="AX181">
        <v>8.6999999999999993</v>
      </c>
      <c r="AY181">
        <v>8.6999999999999993</v>
      </c>
      <c r="AZ181">
        <v>8.8000000000000007</v>
      </c>
      <c r="BA181">
        <v>8.6999999999999993</v>
      </c>
      <c r="BB181">
        <v>9</v>
      </c>
      <c r="BC181">
        <v>9</v>
      </c>
      <c r="BD181">
        <v>9.1</v>
      </c>
      <c r="BE181">
        <v>9.1</v>
      </c>
      <c r="BF181">
        <v>8.9</v>
      </c>
      <c r="BG181">
        <v>8.8000000000000007</v>
      </c>
      <c r="BH181">
        <v>8.9</v>
      </c>
      <c r="BI181">
        <v>8.8000000000000007</v>
      </c>
      <c r="BJ181">
        <v>8.8000000000000007</v>
      </c>
      <c r="BK181">
        <v>8.9</v>
      </c>
      <c r="BL181">
        <v>8.6</v>
      </c>
      <c r="BM181">
        <v>9.1999999999999993</v>
      </c>
      <c r="BN181">
        <v>9.4</v>
      </c>
    </row>
    <row r="182" spans="1:69" x14ac:dyDescent="0.35">
      <c r="A182" t="s">
        <v>680</v>
      </c>
      <c r="B182" t="s">
        <v>597</v>
      </c>
      <c r="C182" t="s">
        <v>743</v>
      </c>
      <c r="D182" t="s">
        <v>744</v>
      </c>
      <c r="X182">
        <v>9.6</v>
      </c>
      <c r="AE182">
        <v>10.3</v>
      </c>
      <c r="AJ182">
        <v>10.199999999999999</v>
      </c>
      <c r="AN182">
        <v>9.9</v>
      </c>
      <c r="AS182">
        <v>9.9</v>
      </c>
      <c r="AV182">
        <v>9.5</v>
      </c>
      <c r="AW182">
        <v>8.8000000000000007</v>
      </c>
      <c r="AX182">
        <v>9</v>
      </c>
      <c r="AY182">
        <v>9.1999999999999993</v>
      </c>
      <c r="AZ182">
        <v>9.4</v>
      </c>
      <c r="BA182">
        <v>9.1</v>
      </c>
      <c r="BB182">
        <v>9.4</v>
      </c>
      <c r="BC182">
        <v>9.5</v>
      </c>
      <c r="BD182">
        <v>9.5</v>
      </c>
      <c r="BE182">
        <v>9.4</v>
      </c>
      <c r="BF182">
        <v>9.3000000000000007</v>
      </c>
      <c r="BG182">
        <v>9.1</v>
      </c>
      <c r="BH182">
        <v>9</v>
      </c>
      <c r="BI182">
        <v>8.6</v>
      </c>
      <c r="BJ182">
        <v>8.9</v>
      </c>
      <c r="BK182">
        <v>8.9</v>
      </c>
      <c r="BL182">
        <v>8.8000000000000007</v>
      </c>
      <c r="BM182">
        <v>8.6</v>
      </c>
      <c r="BN182">
        <v>8.8000000000000007</v>
      </c>
      <c r="BO182">
        <v>9.1</v>
      </c>
      <c r="BP182">
        <v>9.1</v>
      </c>
    </row>
    <row r="183" spans="1:69" x14ac:dyDescent="0.35">
      <c r="A183" t="s">
        <v>216</v>
      </c>
      <c r="B183" t="s">
        <v>721</v>
      </c>
      <c r="C183" t="s">
        <v>743</v>
      </c>
      <c r="D183" t="s">
        <v>744</v>
      </c>
      <c r="AC183">
        <v>9.1</v>
      </c>
      <c r="AN183">
        <v>7.8</v>
      </c>
      <c r="AV183">
        <v>6.5</v>
      </c>
      <c r="BC183">
        <v>8.3000000000000007</v>
      </c>
      <c r="BO183">
        <v>8.6999999999999993</v>
      </c>
    </row>
    <row r="184" spans="1:69" x14ac:dyDescent="0.35">
      <c r="A184" t="s">
        <v>105</v>
      </c>
      <c r="B184" t="s">
        <v>272</v>
      </c>
      <c r="C184" t="s">
        <v>743</v>
      </c>
      <c r="D184" t="s">
        <v>744</v>
      </c>
      <c r="BE184">
        <v>8</v>
      </c>
    </row>
    <row r="185" spans="1:69" x14ac:dyDescent="0.35">
      <c r="A185" t="s">
        <v>561</v>
      </c>
      <c r="B185" t="s">
        <v>295</v>
      </c>
      <c r="C185" t="s">
        <v>743</v>
      </c>
      <c r="D185" t="s">
        <v>744</v>
      </c>
    </row>
    <row r="186" spans="1:69" x14ac:dyDescent="0.35">
      <c r="A186" t="s">
        <v>344</v>
      </c>
      <c r="B186" t="s">
        <v>653</v>
      </c>
      <c r="C186" t="s">
        <v>743</v>
      </c>
      <c r="D186" t="s">
        <v>744</v>
      </c>
    </row>
    <row r="187" spans="1:69" x14ac:dyDescent="0.35">
      <c r="A187" t="s">
        <v>697</v>
      </c>
      <c r="B187" t="s">
        <v>567</v>
      </c>
      <c r="C187" t="s">
        <v>743</v>
      </c>
      <c r="D187" t="s">
        <v>744</v>
      </c>
    </row>
    <row r="188" spans="1:69" x14ac:dyDescent="0.35">
      <c r="A188" t="s">
        <v>695</v>
      </c>
      <c r="B188" t="s">
        <v>421</v>
      </c>
      <c r="C188" t="s">
        <v>743</v>
      </c>
      <c r="D188" t="s">
        <v>744</v>
      </c>
    </row>
    <row r="189" spans="1:69" x14ac:dyDescent="0.35">
      <c r="A189" t="s">
        <v>740</v>
      </c>
      <c r="B189" t="s">
        <v>135</v>
      </c>
      <c r="C189" t="s">
        <v>743</v>
      </c>
      <c r="D189" t="s">
        <v>744</v>
      </c>
      <c r="AF189">
        <v>8.3000000000000007</v>
      </c>
      <c r="AI189">
        <v>8.1</v>
      </c>
      <c r="AO189">
        <v>10</v>
      </c>
      <c r="AQ189">
        <v>8.6999999999999993</v>
      </c>
      <c r="AT189">
        <v>9.8000000000000007</v>
      </c>
      <c r="AW189">
        <v>9.1999999999999993</v>
      </c>
      <c r="AX189">
        <v>9.3000000000000007</v>
      </c>
      <c r="AZ189">
        <v>9.6999999999999993</v>
      </c>
      <c r="BC189">
        <v>9.9</v>
      </c>
      <c r="BD189">
        <v>9.6999999999999993</v>
      </c>
      <c r="BF189">
        <v>9.5</v>
      </c>
      <c r="BH189">
        <v>9.3000000000000007</v>
      </c>
      <c r="BK189">
        <v>9.6</v>
      </c>
    </row>
    <row r="190" spans="1:69" x14ac:dyDescent="0.35">
      <c r="A190" t="s">
        <v>541</v>
      </c>
      <c r="B190" t="s">
        <v>465</v>
      </c>
      <c r="C190" t="s">
        <v>743</v>
      </c>
      <c r="D190" t="s">
        <v>744</v>
      </c>
      <c r="X190">
        <v>3.9</v>
      </c>
      <c r="AH190">
        <v>1.1000000000000001</v>
      </c>
      <c r="AJ190">
        <v>1.3</v>
      </c>
      <c r="AN190">
        <v>1.5</v>
      </c>
      <c r="AP190">
        <v>1.7</v>
      </c>
      <c r="AQ190">
        <v>1.7</v>
      </c>
      <c r="AR190">
        <v>2</v>
      </c>
      <c r="AS190">
        <v>2.2000000000000002</v>
      </c>
      <c r="AT190">
        <v>2</v>
      </c>
      <c r="AU190">
        <v>2.5</v>
      </c>
      <c r="AV190">
        <v>2.5</v>
      </c>
      <c r="AW190">
        <v>2.6</v>
      </c>
      <c r="AX190">
        <v>2.7</v>
      </c>
      <c r="AY190">
        <v>2.5</v>
      </c>
      <c r="AZ190">
        <v>3</v>
      </c>
      <c r="BA190">
        <v>3.2</v>
      </c>
      <c r="BB190">
        <v>3.5</v>
      </c>
      <c r="BC190">
        <v>3.3</v>
      </c>
      <c r="BD190">
        <v>3.4</v>
      </c>
      <c r="BE190">
        <v>3.2</v>
      </c>
      <c r="BF190">
        <v>3.3</v>
      </c>
      <c r="BG190">
        <v>3.4</v>
      </c>
      <c r="BH190">
        <v>3.4</v>
      </c>
      <c r="BI190">
        <v>3.3</v>
      </c>
      <c r="BJ190">
        <v>3.4</v>
      </c>
      <c r="BK190">
        <v>3.6</v>
      </c>
      <c r="BL190">
        <v>3.6</v>
      </c>
      <c r="BN190">
        <v>3.7</v>
      </c>
      <c r="BP190">
        <v>3.7</v>
      </c>
      <c r="BQ190">
        <v>3.6</v>
      </c>
    </row>
    <row r="191" spans="1:69" x14ac:dyDescent="0.35">
      <c r="A191" t="s">
        <v>495</v>
      </c>
      <c r="B191" t="s">
        <v>296</v>
      </c>
      <c r="C191" t="s">
        <v>743</v>
      </c>
      <c r="D191" t="s">
        <v>744</v>
      </c>
      <c r="AD191">
        <v>4.8</v>
      </c>
      <c r="AM191">
        <v>4.9000000000000004</v>
      </c>
      <c r="AP191">
        <v>3</v>
      </c>
      <c r="AQ191">
        <v>2.9</v>
      </c>
      <c r="AR191">
        <v>2.9</v>
      </c>
      <c r="AS191">
        <v>3.5</v>
      </c>
      <c r="AT191">
        <v>3.4</v>
      </c>
      <c r="AU191">
        <v>3.2</v>
      </c>
      <c r="AV191">
        <v>3.6</v>
      </c>
      <c r="AW191">
        <v>3.7</v>
      </c>
      <c r="AX191">
        <v>3.6</v>
      </c>
      <c r="AY191">
        <v>3.5</v>
      </c>
      <c r="AZ191">
        <v>3.5</v>
      </c>
      <c r="BA191">
        <v>3.8</v>
      </c>
      <c r="BB191">
        <v>4</v>
      </c>
      <c r="BC191">
        <v>4.3</v>
      </c>
      <c r="BD191">
        <v>4.4000000000000004</v>
      </c>
      <c r="BE191">
        <v>4.4000000000000004</v>
      </c>
      <c r="BF191">
        <v>4.5</v>
      </c>
      <c r="BG191">
        <v>4.7</v>
      </c>
      <c r="BH191">
        <v>4.7</v>
      </c>
      <c r="BI191">
        <v>4.5999999999999996</v>
      </c>
      <c r="BJ191">
        <v>4.7</v>
      </c>
      <c r="BK191">
        <v>5</v>
      </c>
      <c r="BL191">
        <v>5.2</v>
      </c>
      <c r="BM191">
        <v>4.8</v>
      </c>
      <c r="BN191">
        <v>5.8</v>
      </c>
      <c r="BO191">
        <v>5.7</v>
      </c>
      <c r="BP191">
        <v>5.5</v>
      </c>
      <c r="BQ191">
        <v>5.6</v>
      </c>
    </row>
    <row r="192" spans="1:69" x14ac:dyDescent="0.35">
      <c r="A192" t="s">
        <v>285</v>
      </c>
      <c r="B192" t="s">
        <v>580</v>
      </c>
      <c r="C192" t="s">
        <v>743</v>
      </c>
      <c r="D192" t="s">
        <v>744</v>
      </c>
      <c r="AD192">
        <v>6.4</v>
      </c>
      <c r="AG192">
        <v>6.5</v>
      </c>
      <c r="AJ192">
        <v>5.9</v>
      </c>
      <c r="AM192">
        <v>5.9</v>
      </c>
      <c r="AP192">
        <v>5.4</v>
      </c>
      <c r="AS192">
        <v>5.0999999999999996</v>
      </c>
      <c r="AV192">
        <v>5.2</v>
      </c>
      <c r="AY192">
        <v>5</v>
      </c>
      <c r="BB192">
        <v>5.3</v>
      </c>
      <c r="BE192">
        <v>5.2</v>
      </c>
      <c r="BH192">
        <v>5.6</v>
      </c>
      <c r="BK192">
        <v>6.2</v>
      </c>
      <c r="BN192">
        <v>6.5</v>
      </c>
      <c r="BP192">
        <v>6.9</v>
      </c>
    </row>
    <row r="193" spans="1:69" x14ac:dyDescent="0.35">
      <c r="A193" t="s">
        <v>679</v>
      </c>
      <c r="B193" t="s">
        <v>384</v>
      </c>
      <c r="C193" t="s">
        <v>743</v>
      </c>
      <c r="D193" t="s">
        <v>744</v>
      </c>
    </row>
    <row r="194" spans="1:69" x14ac:dyDescent="0.35">
      <c r="A194" t="s">
        <v>454</v>
      </c>
      <c r="B194" t="s">
        <v>262</v>
      </c>
      <c r="C194" t="s">
        <v>743</v>
      </c>
      <c r="D194" t="s">
        <v>744</v>
      </c>
      <c r="AO194">
        <v>4.9000000000000004</v>
      </c>
      <c r="BB194">
        <v>5.0999999999999996</v>
      </c>
    </row>
    <row r="195" spans="1:69" x14ac:dyDescent="0.35">
      <c r="A195" t="s">
        <v>75</v>
      </c>
      <c r="B195" t="s">
        <v>43</v>
      </c>
      <c r="C195" t="s">
        <v>743</v>
      </c>
      <c r="D195" t="s">
        <v>744</v>
      </c>
      <c r="AD195">
        <v>9.6999999999999993</v>
      </c>
      <c r="AE195">
        <v>8.6</v>
      </c>
      <c r="AF195">
        <v>9.6999999999999993</v>
      </c>
      <c r="AH195">
        <v>9.1999999999999993</v>
      </c>
      <c r="AK195">
        <v>8.8000000000000007</v>
      </c>
      <c r="AL195">
        <v>9.1999999999999993</v>
      </c>
      <c r="AN195">
        <v>6.9</v>
      </c>
      <c r="AO195">
        <v>8.1999999999999993</v>
      </c>
      <c r="AQ195">
        <v>8.1999999999999993</v>
      </c>
      <c r="AR195">
        <v>7.7</v>
      </c>
      <c r="AS195">
        <v>7.9</v>
      </c>
      <c r="AT195">
        <v>7.8</v>
      </c>
      <c r="AU195">
        <v>7.6</v>
      </c>
      <c r="AV195">
        <v>7.3</v>
      </c>
      <c r="AW195">
        <v>5.7</v>
      </c>
      <c r="AX195">
        <v>6.4</v>
      </c>
      <c r="AY195">
        <v>6.8</v>
      </c>
      <c r="AZ195">
        <v>7.2</v>
      </c>
      <c r="BA195">
        <v>7.3</v>
      </c>
      <c r="BB195">
        <v>7.3</v>
      </c>
      <c r="BC195">
        <v>7.3</v>
      </c>
      <c r="BD195">
        <v>7.3</v>
      </c>
      <c r="BE195">
        <v>7.3</v>
      </c>
      <c r="BF195">
        <v>7.2</v>
      </c>
      <c r="BG195">
        <v>7.3</v>
      </c>
      <c r="BH195">
        <v>7.4</v>
      </c>
      <c r="BI195">
        <v>8</v>
      </c>
      <c r="BJ195">
        <v>8.3000000000000007</v>
      </c>
      <c r="BK195">
        <v>8.1999999999999993</v>
      </c>
      <c r="BL195">
        <v>8.6</v>
      </c>
      <c r="BM195">
        <v>8.6</v>
      </c>
      <c r="BN195">
        <v>8.6</v>
      </c>
      <c r="BO195">
        <v>8.5</v>
      </c>
      <c r="BP195">
        <v>8.6</v>
      </c>
    </row>
    <row r="196" spans="1:69" x14ac:dyDescent="0.35">
      <c r="A196" t="s">
        <v>237</v>
      </c>
      <c r="B196" t="s">
        <v>294</v>
      </c>
      <c r="C196" t="s">
        <v>743</v>
      </c>
      <c r="D196" t="s">
        <v>744</v>
      </c>
    </row>
    <row r="197" spans="1:69" x14ac:dyDescent="0.35">
      <c r="A197" t="s">
        <v>269</v>
      </c>
      <c r="B197" t="s">
        <v>686</v>
      </c>
      <c r="C197" t="s">
        <v>743</v>
      </c>
      <c r="D197" t="s">
        <v>744</v>
      </c>
    </row>
    <row r="198" spans="1:69" x14ac:dyDescent="0.35">
      <c r="A198" t="s">
        <v>525</v>
      </c>
      <c r="B198" t="s">
        <v>60</v>
      </c>
      <c r="C198" t="s">
        <v>743</v>
      </c>
      <c r="D198" t="s">
        <v>744</v>
      </c>
    </row>
    <row r="199" spans="1:69" x14ac:dyDescent="0.35">
      <c r="A199" t="s">
        <v>434</v>
      </c>
      <c r="B199" t="s">
        <v>192</v>
      </c>
      <c r="C199" t="s">
        <v>743</v>
      </c>
      <c r="D199" t="s">
        <v>744</v>
      </c>
      <c r="AV199">
        <v>6.2</v>
      </c>
      <c r="AW199">
        <v>6.4</v>
      </c>
      <c r="AX199">
        <v>6.7</v>
      </c>
      <c r="AY199">
        <v>6.7</v>
      </c>
      <c r="AZ199">
        <v>6.9</v>
      </c>
      <c r="BA199">
        <v>6.9</v>
      </c>
      <c r="BB199">
        <v>7.2</v>
      </c>
      <c r="BC199">
        <v>7</v>
      </c>
      <c r="BD199">
        <v>6.8</v>
      </c>
      <c r="BE199">
        <v>6.5</v>
      </c>
      <c r="BF199">
        <v>6.2</v>
      </c>
      <c r="BG199">
        <v>6.5</v>
      </c>
      <c r="BH199">
        <v>6.7</v>
      </c>
      <c r="BI199">
        <v>6.9</v>
      </c>
      <c r="BJ199">
        <v>7.4</v>
      </c>
      <c r="BK199">
        <v>7.4</v>
      </c>
      <c r="BL199">
        <v>7.6</v>
      </c>
      <c r="BM199">
        <v>6.9</v>
      </c>
      <c r="BN199">
        <v>7.4</v>
      </c>
      <c r="BO199">
        <v>6.9</v>
      </c>
      <c r="BP199">
        <v>7.4</v>
      </c>
    </row>
    <row r="200" spans="1:69" x14ac:dyDescent="0.35">
      <c r="A200" t="s">
        <v>494</v>
      </c>
      <c r="B200" t="s">
        <v>72</v>
      </c>
      <c r="C200" t="s">
        <v>743</v>
      </c>
      <c r="D200" t="s">
        <v>744</v>
      </c>
      <c r="AI200">
        <v>5.8</v>
      </c>
      <c r="AN200">
        <v>2.4</v>
      </c>
      <c r="AP200">
        <v>2.5</v>
      </c>
      <c r="AR200">
        <v>2.8</v>
      </c>
      <c r="AT200">
        <v>3.1</v>
      </c>
      <c r="AU200">
        <v>2.9</v>
      </c>
      <c r="AV200">
        <v>3.4</v>
      </c>
      <c r="AW200">
        <v>4</v>
      </c>
      <c r="AX200">
        <v>3.9</v>
      </c>
      <c r="AY200">
        <v>3.6</v>
      </c>
      <c r="AZ200">
        <v>3.6</v>
      </c>
      <c r="BA200">
        <v>4.0999999999999996</v>
      </c>
      <c r="BB200">
        <v>4</v>
      </c>
      <c r="BC200">
        <v>3.8</v>
      </c>
      <c r="BD200">
        <v>3.5</v>
      </c>
      <c r="BE200">
        <v>4.2</v>
      </c>
      <c r="BF200">
        <v>4.4000000000000004</v>
      </c>
      <c r="BG200">
        <v>4</v>
      </c>
      <c r="BH200">
        <v>4.3</v>
      </c>
      <c r="BI200">
        <v>4.5</v>
      </c>
      <c r="BJ200">
        <v>4.7</v>
      </c>
      <c r="BK200">
        <v>4.8</v>
      </c>
      <c r="BL200">
        <v>4.8</v>
      </c>
      <c r="BM200">
        <v>5.3</v>
      </c>
      <c r="BN200">
        <v>5.5</v>
      </c>
      <c r="BO200">
        <v>5</v>
      </c>
      <c r="BP200">
        <v>5.2</v>
      </c>
      <c r="BQ200">
        <v>5.3</v>
      </c>
    </row>
    <row r="201" spans="1:69" x14ac:dyDescent="0.35">
      <c r="A201" t="s">
        <v>87</v>
      </c>
      <c r="B201" t="s">
        <v>199</v>
      </c>
      <c r="C201" t="s">
        <v>743</v>
      </c>
      <c r="D201" t="s">
        <v>744</v>
      </c>
      <c r="AW201">
        <v>7.5</v>
      </c>
      <c r="AX201">
        <v>7.3</v>
      </c>
      <c r="AY201">
        <v>7.8</v>
      </c>
      <c r="AZ201">
        <v>7.1</v>
      </c>
      <c r="BB201">
        <v>7.7</v>
      </c>
      <c r="BC201">
        <v>7.5</v>
      </c>
      <c r="BD201">
        <v>7.7</v>
      </c>
      <c r="BI201">
        <v>7.3</v>
      </c>
      <c r="BP201">
        <v>6.6</v>
      </c>
    </row>
    <row r="202" spans="1:69" x14ac:dyDescent="0.35">
      <c r="A202" t="s">
        <v>131</v>
      </c>
      <c r="B202" t="s">
        <v>210</v>
      </c>
      <c r="C202" t="s">
        <v>743</v>
      </c>
      <c r="D202" t="s">
        <v>744</v>
      </c>
    </row>
    <row r="203" spans="1:69" x14ac:dyDescent="0.35">
      <c r="A203" t="s">
        <v>592</v>
      </c>
      <c r="B203" t="s">
        <v>280</v>
      </c>
      <c r="C203" t="s">
        <v>743</v>
      </c>
      <c r="D203" t="s">
        <v>744</v>
      </c>
    </row>
    <row r="204" spans="1:69" x14ac:dyDescent="0.35">
      <c r="A204" t="s">
        <v>364</v>
      </c>
      <c r="B204" t="s">
        <v>577</v>
      </c>
      <c r="C204" t="s">
        <v>743</v>
      </c>
      <c r="D204" t="s">
        <v>744</v>
      </c>
    </row>
    <row r="205" spans="1:69" x14ac:dyDescent="0.35">
      <c r="A205" t="s">
        <v>614</v>
      </c>
      <c r="B205" t="s">
        <v>25</v>
      </c>
      <c r="C205" t="s">
        <v>743</v>
      </c>
      <c r="D205" t="s">
        <v>744</v>
      </c>
      <c r="BJ205">
        <v>6.5</v>
      </c>
    </row>
    <row r="206" spans="1:69" x14ac:dyDescent="0.35">
      <c r="A206" t="s">
        <v>554</v>
      </c>
      <c r="B206" t="s">
        <v>333</v>
      </c>
      <c r="C206" t="s">
        <v>743</v>
      </c>
      <c r="D206" t="s">
        <v>744</v>
      </c>
      <c r="AH206">
        <v>9.9</v>
      </c>
      <c r="AK206">
        <v>9.1999999999999993</v>
      </c>
      <c r="AM206">
        <v>8.9</v>
      </c>
      <c r="AN206">
        <v>8.1</v>
      </c>
      <c r="AP206">
        <v>8.3000000000000007</v>
      </c>
      <c r="AQ206">
        <v>8</v>
      </c>
      <c r="AR206">
        <v>8.5</v>
      </c>
      <c r="AS206">
        <v>8.5</v>
      </c>
      <c r="AT206">
        <v>8.4</v>
      </c>
      <c r="AU206">
        <v>8.1999999999999993</v>
      </c>
      <c r="AV206">
        <v>8.4</v>
      </c>
      <c r="AW206">
        <v>8.3000000000000007</v>
      </c>
      <c r="AX206">
        <v>8.4</v>
      </c>
      <c r="AY206">
        <v>5</v>
      </c>
      <c r="AZ206">
        <v>5.5</v>
      </c>
      <c r="BA206">
        <v>5.8</v>
      </c>
      <c r="BB206">
        <v>6</v>
      </c>
      <c r="BC206">
        <v>5.7</v>
      </c>
      <c r="BD206">
        <v>5.6</v>
      </c>
      <c r="BE206">
        <v>5.3</v>
      </c>
      <c r="BF206">
        <v>5</v>
      </c>
      <c r="BG206">
        <v>4.9000000000000004</v>
      </c>
      <c r="BH206">
        <v>5.0999999999999996</v>
      </c>
      <c r="BI206">
        <v>5.6</v>
      </c>
      <c r="BJ206">
        <v>5.3</v>
      </c>
      <c r="BK206">
        <v>5.4</v>
      </c>
      <c r="BL206">
        <v>5.7</v>
      </c>
      <c r="BM206">
        <v>5.6</v>
      </c>
      <c r="BN206">
        <v>6</v>
      </c>
      <c r="BO206">
        <v>5.9</v>
      </c>
      <c r="BP206">
        <v>7</v>
      </c>
    </row>
    <row r="207" spans="1:69" x14ac:dyDescent="0.35">
      <c r="A207" t="s">
        <v>2</v>
      </c>
      <c r="B207" t="s">
        <v>355</v>
      </c>
      <c r="C207" t="s">
        <v>743</v>
      </c>
      <c r="D207" t="s">
        <v>744</v>
      </c>
      <c r="AL207">
        <v>4.7</v>
      </c>
      <c r="AO207">
        <v>4.5</v>
      </c>
      <c r="AP207">
        <v>6.3</v>
      </c>
      <c r="AQ207">
        <v>6.2</v>
      </c>
      <c r="AR207">
        <v>6.3</v>
      </c>
      <c r="AS207">
        <v>6.4</v>
      </c>
      <c r="AT207">
        <v>6.6</v>
      </c>
      <c r="AU207">
        <v>6.6</v>
      </c>
      <c r="AV207">
        <v>6.1</v>
      </c>
      <c r="AW207">
        <v>6</v>
      </c>
      <c r="AX207">
        <v>5.8</v>
      </c>
      <c r="AY207">
        <v>5.9</v>
      </c>
      <c r="AZ207">
        <v>5.8</v>
      </c>
      <c r="BA207">
        <v>6.1</v>
      </c>
      <c r="BB207">
        <v>6.4</v>
      </c>
      <c r="BC207">
        <v>6.4</v>
      </c>
      <c r="BD207">
        <v>6.5</v>
      </c>
      <c r="BE207">
        <v>6.3</v>
      </c>
      <c r="BF207">
        <v>6.4</v>
      </c>
      <c r="BG207">
        <v>6.2</v>
      </c>
      <c r="BH207">
        <v>6.2</v>
      </c>
      <c r="BI207">
        <v>6.2</v>
      </c>
      <c r="BJ207">
        <v>6.5</v>
      </c>
      <c r="BK207">
        <v>6.7</v>
      </c>
      <c r="BL207">
        <v>6.7</v>
      </c>
      <c r="BM207">
        <v>7.4</v>
      </c>
      <c r="BN207">
        <v>6.9</v>
      </c>
      <c r="BO207">
        <v>7.5</v>
      </c>
      <c r="BP207">
        <v>7.7</v>
      </c>
    </row>
    <row r="208" spans="1:69" x14ac:dyDescent="0.35">
      <c r="A208" t="s">
        <v>273</v>
      </c>
      <c r="B208" t="s">
        <v>94</v>
      </c>
      <c r="C208" t="s">
        <v>743</v>
      </c>
      <c r="D208" t="s">
        <v>744</v>
      </c>
      <c r="AS208">
        <v>5.2</v>
      </c>
      <c r="AX208">
        <v>4.5999999999999996</v>
      </c>
      <c r="BC208">
        <v>5.6</v>
      </c>
      <c r="BF208">
        <v>6</v>
      </c>
      <c r="BI208">
        <v>6</v>
      </c>
      <c r="BP208">
        <v>7.4</v>
      </c>
    </row>
    <row r="209" spans="1:68" x14ac:dyDescent="0.35">
      <c r="A209" t="s">
        <v>90</v>
      </c>
      <c r="B209" t="s">
        <v>126</v>
      </c>
      <c r="C209" t="s">
        <v>743</v>
      </c>
      <c r="D209" t="s">
        <v>744</v>
      </c>
    </row>
    <row r="210" spans="1:68" x14ac:dyDescent="0.35">
      <c r="A210" t="s">
        <v>480</v>
      </c>
      <c r="B210" t="s">
        <v>249</v>
      </c>
      <c r="C210" t="s">
        <v>743</v>
      </c>
      <c r="D210" t="s">
        <v>744</v>
      </c>
    </row>
    <row r="211" spans="1:68" x14ac:dyDescent="0.35">
      <c r="A211" t="s">
        <v>232</v>
      </c>
      <c r="B211" t="s">
        <v>466</v>
      </c>
      <c r="C211" t="s">
        <v>743</v>
      </c>
      <c r="D211" t="s">
        <v>744</v>
      </c>
      <c r="BB211">
        <v>6.8</v>
      </c>
      <c r="BG211">
        <v>7.8</v>
      </c>
    </row>
    <row r="212" spans="1:68" x14ac:dyDescent="0.35">
      <c r="A212" t="s">
        <v>35</v>
      </c>
      <c r="B212" t="s">
        <v>560</v>
      </c>
      <c r="C212" t="s">
        <v>743</v>
      </c>
      <c r="D212" t="s">
        <v>744</v>
      </c>
      <c r="AJ212">
        <v>3.5</v>
      </c>
      <c r="AM212">
        <v>6.8</v>
      </c>
      <c r="AT212">
        <v>6.6</v>
      </c>
      <c r="AX212">
        <v>6.2</v>
      </c>
      <c r="BD212">
        <v>6.1</v>
      </c>
      <c r="BK212">
        <v>7.1</v>
      </c>
      <c r="BN212">
        <v>7.3</v>
      </c>
    </row>
    <row r="213" spans="1:68" x14ac:dyDescent="0.35">
      <c r="A213" t="s">
        <v>508</v>
      </c>
      <c r="B213" t="s">
        <v>83</v>
      </c>
      <c r="C213" t="s">
        <v>743</v>
      </c>
      <c r="D213" t="s">
        <v>744</v>
      </c>
    </row>
    <row r="214" spans="1:68" x14ac:dyDescent="0.35">
      <c r="A214" t="s">
        <v>101</v>
      </c>
      <c r="B214" t="s">
        <v>316</v>
      </c>
      <c r="C214" t="s">
        <v>743</v>
      </c>
      <c r="D214" t="s">
        <v>744</v>
      </c>
      <c r="AX214">
        <v>5</v>
      </c>
      <c r="BE214">
        <v>7</v>
      </c>
    </row>
    <row r="215" spans="1:68" x14ac:dyDescent="0.35">
      <c r="A215" t="s">
        <v>703</v>
      </c>
      <c r="B215" t="s">
        <v>644</v>
      </c>
      <c r="C215" t="s">
        <v>743</v>
      </c>
      <c r="D215" t="s">
        <v>744</v>
      </c>
      <c r="AV215">
        <v>6.6</v>
      </c>
      <c r="BD215">
        <v>7.9</v>
      </c>
      <c r="BK215">
        <v>7.9</v>
      </c>
    </row>
    <row r="216" spans="1:68" x14ac:dyDescent="0.35">
      <c r="A216" t="s">
        <v>573</v>
      </c>
      <c r="B216" t="s">
        <v>95</v>
      </c>
      <c r="C216" t="s">
        <v>743</v>
      </c>
      <c r="D216" t="s">
        <v>744</v>
      </c>
      <c r="AH216">
        <v>2.6</v>
      </c>
      <c r="AJ216">
        <v>2.7</v>
      </c>
      <c r="AN216">
        <v>3.7</v>
      </c>
      <c r="AO216">
        <v>3.5</v>
      </c>
      <c r="AQ216">
        <v>2.1</v>
      </c>
      <c r="AR216">
        <v>2.6</v>
      </c>
      <c r="AS216">
        <v>3.2</v>
      </c>
      <c r="AT216">
        <v>3.1</v>
      </c>
      <c r="AU216">
        <v>3</v>
      </c>
      <c r="AV216">
        <v>2.9</v>
      </c>
      <c r="AW216">
        <v>3.7</v>
      </c>
      <c r="AX216">
        <v>3.9</v>
      </c>
      <c r="AY216">
        <v>4.8</v>
      </c>
      <c r="AZ216">
        <v>5.2</v>
      </c>
      <c r="BA216">
        <v>4.5999999999999996</v>
      </c>
      <c r="BB216">
        <v>4.9000000000000004</v>
      </c>
      <c r="BC216">
        <v>5.0999999999999996</v>
      </c>
      <c r="BD216">
        <v>5.6</v>
      </c>
      <c r="BE216">
        <v>5.7</v>
      </c>
      <c r="BF216">
        <v>5.5</v>
      </c>
      <c r="BG216">
        <v>5.8</v>
      </c>
      <c r="BH216">
        <v>6.1</v>
      </c>
      <c r="BI216">
        <v>5.9</v>
      </c>
      <c r="BJ216">
        <v>6.4</v>
      </c>
      <c r="BK216">
        <v>6.2</v>
      </c>
      <c r="BL216">
        <v>6.3</v>
      </c>
      <c r="BN216">
        <v>5.6</v>
      </c>
      <c r="BO216">
        <v>5.6</v>
      </c>
      <c r="BP216">
        <v>5.6</v>
      </c>
    </row>
    <row r="217" spans="1:68" x14ac:dyDescent="0.35">
      <c r="A217" t="s">
        <v>457</v>
      </c>
      <c r="B217" t="s">
        <v>519</v>
      </c>
      <c r="C217" t="s">
        <v>743</v>
      </c>
      <c r="D217" t="s">
        <v>744</v>
      </c>
    </row>
    <row r="218" spans="1:68" x14ac:dyDescent="0.35">
      <c r="A218" t="s">
        <v>352</v>
      </c>
      <c r="B218" t="s">
        <v>32</v>
      </c>
      <c r="C218" t="s">
        <v>743</v>
      </c>
      <c r="D218" t="s">
        <v>744</v>
      </c>
    </row>
    <row r="219" spans="1:68" x14ac:dyDescent="0.35">
      <c r="A219" t="s">
        <v>321</v>
      </c>
      <c r="B219" t="s">
        <v>445</v>
      </c>
      <c r="C219" t="s">
        <v>743</v>
      </c>
      <c r="D219" t="s">
        <v>744</v>
      </c>
      <c r="AU219">
        <v>8</v>
      </c>
      <c r="AV219">
        <v>7.8</v>
      </c>
      <c r="AW219">
        <v>7.3</v>
      </c>
      <c r="AX219">
        <v>6.9</v>
      </c>
      <c r="AY219">
        <v>8.5</v>
      </c>
      <c r="AZ219">
        <v>8.9</v>
      </c>
      <c r="BA219">
        <v>9.3000000000000007</v>
      </c>
      <c r="BB219">
        <v>9</v>
      </c>
      <c r="BC219">
        <v>8.6</v>
      </c>
      <c r="BE219">
        <v>4.7</v>
      </c>
      <c r="BF219">
        <v>4.7</v>
      </c>
      <c r="BG219">
        <v>4.3</v>
      </c>
      <c r="BH219">
        <v>4.4000000000000004</v>
      </c>
      <c r="BI219">
        <v>4.5</v>
      </c>
      <c r="BJ219">
        <v>5.2</v>
      </c>
      <c r="BK219">
        <v>5.9</v>
      </c>
      <c r="BL219">
        <v>6.4</v>
      </c>
      <c r="BM219">
        <v>6.6</v>
      </c>
      <c r="BN219">
        <v>7.1</v>
      </c>
      <c r="BO219">
        <v>6.9</v>
      </c>
    </row>
    <row r="220" spans="1:68" x14ac:dyDescent="0.35">
      <c r="A220" t="s">
        <v>61</v>
      </c>
      <c r="B220" t="s">
        <v>460</v>
      </c>
      <c r="C220" t="s">
        <v>743</v>
      </c>
      <c r="D220" t="s">
        <v>744</v>
      </c>
    </row>
    <row r="221" spans="1:68" x14ac:dyDescent="0.35">
      <c r="A221" t="s">
        <v>288</v>
      </c>
      <c r="B221" t="s">
        <v>64</v>
      </c>
      <c r="C221" t="s">
        <v>743</v>
      </c>
      <c r="D221" t="s">
        <v>744</v>
      </c>
      <c r="BB221">
        <v>3.9</v>
      </c>
      <c r="BI221">
        <v>4.9000000000000004</v>
      </c>
    </row>
    <row r="222" spans="1:68" x14ac:dyDescent="0.35">
      <c r="A222" t="s">
        <v>313</v>
      </c>
      <c r="B222" t="s">
        <v>187</v>
      </c>
      <c r="C222" t="s">
        <v>743</v>
      </c>
      <c r="D222" t="s">
        <v>744</v>
      </c>
    </row>
    <row r="223" spans="1:68" x14ac:dyDescent="0.35">
      <c r="A223" t="s">
        <v>44</v>
      </c>
      <c r="B223" t="s">
        <v>196</v>
      </c>
      <c r="C223" t="s">
        <v>743</v>
      </c>
      <c r="D223" t="s">
        <v>744</v>
      </c>
    </row>
    <row r="224" spans="1:68" x14ac:dyDescent="0.35">
      <c r="A224" t="s">
        <v>255</v>
      </c>
      <c r="B224" t="s">
        <v>449</v>
      </c>
      <c r="C224" t="s">
        <v>743</v>
      </c>
      <c r="D224" t="s">
        <v>744</v>
      </c>
      <c r="AS224">
        <v>8</v>
      </c>
      <c r="BC224">
        <v>8.4</v>
      </c>
      <c r="BJ224">
        <v>6.4</v>
      </c>
    </row>
    <row r="225" spans="1:69" x14ac:dyDescent="0.35">
      <c r="A225" t="s">
        <v>512</v>
      </c>
      <c r="B225" t="s">
        <v>68</v>
      </c>
      <c r="C225" t="s">
        <v>743</v>
      </c>
      <c r="D225" t="s">
        <v>744</v>
      </c>
      <c r="AR225">
        <v>1.2</v>
      </c>
      <c r="BO225">
        <v>5.9</v>
      </c>
    </row>
    <row r="226" spans="1:69" x14ac:dyDescent="0.35">
      <c r="A226" t="s">
        <v>387</v>
      </c>
      <c r="B226" t="s">
        <v>151</v>
      </c>
      <c r="C226" t="s">
        <v>743</v>
      </c>
      <c r="D226" t="s">
        <v>744</v>
      </c>
      <c r="AK226">
        <v>11.7</v>
      </c>
      <c r="AO226">
        <v>8.9</v>
      </c>
      <c r="AW226">
        <v>8.6999999999999993</v>
      </c>
      <c r="AX226">
        <v>8.6999999999999993</v>
      </c>
      <c r="AY226">
        <v>9.3000000000000007</v>
      </c>
      <c r="AZ226">
        <v>9.5</v>
      </c>
      <c r="BA226">
        <v>9.1999999999999993</v>
      </c>
      <c r="BB226">
        <v>8.6</v>
      </c>
      <c r="BC226">
        <v>8.5</v>
      </c>
      <c r="BD226">
        <v>8.6999999999999993</v>
      </c>
      <c r="BE226">
        <v>8.6</v>
      </c>
      <c r="BF226">
        <v>8.3000000000000007</v>
      </c>
      <c r="BG226">
        <v>8.4</v>
      </c>
      <c r="BH226">
        <v>8.5</v>
      </c>
      <c r="BI226">
        <v>8.6999999999999993</v>
      </c>
      <c r="BJ226">
        <v>9.4</v>
      </c>
      <c r="BK226">
        <v>8.8000000000000007</v>
      </c>
      <c r="BL226">
        <v>9.5</v>
      </c>
      <c r="BM226">
        <v>9.1</v>
      </c>
      <c r="BN226">
        <v>9.1</v>
      </c>
      <c r="BO226">
        <v>8.4</v>
      </c>
      <c r="BP226">
        <v>9.1</v>
      </c>
    </row>
    <row r="227" spans="1:69" x14ac:dyDescent="0.35">
      <c r="A227" t="s">
        <v>378</v>
      </c>
      <c r="B227" t="s">
        <v>335</v>
      </c>
      <c r="C227" t="s">
        <v>743</v>
      </c>
      <c r="D227" t="s">
        <v>744</v>
      </c>
      <c r="AF227">
        <v>10.4</v>
      </c>
      <c r="AL227">
        <v>9.3000000000000007</v>
      </c>
      <c r="AP227">
        <v>10.1</v>
      </c>
      <c r="AQ227">
        <v>9.1</v>
      </c>
      <c r="AR227">
        <v>10.1</v>
      </c>
      <c r="AU227">
        <v>8.6999999999999993</v>
      </c>
      <c r="AV227">
        <v>8.1999999999999993</v>
      </c>
      <c r="AW227">
        <v>9.8000000000000007</v>
      </c>
      <c r="AX227">
        <v>9.9</v>
      </c>
      <c r="AY227">
        <v>10</v>
      </c>
      <c r="AZ227">
        <v>10</v>
      </c>
      <c r="BA227">
        <v>10.199999999999999</v>
      </c>
      <c r="BB227">
        <v>9.9</v>
      </c>
      <c r="BC227">
        <v>9.6999999999999993</v>
      </c>
      <c r="BD227">
        <v>9.6999999999999993</v>
      </c>
      <c r="BE227">
        <v>9.4</v>
      </c>
      <c r="BF227">
        <v>9.1999999999999993</v>
      </c>
      <c r="BG227">
        <v>9.4</v>
      </c>
      <c r="BH227">
        <v>9.6</v>
      </c>
      <c r="BI227">
        <v>9.6999999999999993</v>
      </c>
      <c r="BJ227">
        <v>10</v>
      </c>
      <c r="BK227">
        <v>10.1</v>
      </c>
      <c r="BL227">
        <v>10.1</v>
      </c>
      <c r="BM227">
        <v>10.3</v>
      </c>
      <c r="BN227">
        <v>10.199999999999999</v>
      </c>
      <c r="BO227">
        <v>10.199999999999999</v>
      </c>
      <c r="BP227">
        <v>10</v>
      </c>
    </row>
    <row r="228" spans="1:69" x14ac:dyDescent="0.35">
      <c r="A228" t="s">
        <v>73</v>
      </c>
      <c r="B228" t="s">
        <v>291</v>
      </c>
      <c r="C228" t="s">
        <v>743</v>
      </c>
      <c r="D228" t="s">
        <v>744</v>
      </c>
      <c r="T228">
        <v>10.1</v>
      </c>
      <c r="Z228">
        <v>10.1</v>
      </c>
      <c r="AF228">
        <v>10.5</v>
      </c>
      <c r="AK228">
        <v>9.8000000000000007</v>
      </c>
      <c r="AN228">
        <v>9.5</v>
      </c>
      <c r="AS228">
        <v>9.6</v>
      </c>
      <c r="AT228">
        <v>9.8000000000000007</v>
      </c>
      <c r="AU228">
        <v>9.6999999999999993</v>
      </c>
      <c r="AV228">
        <v>9.4</v>
      </c>
      <c r="AW228">
        <v>9.3000000000000007</v>
      </c>
      <c r="AX228">
        <v>8.6999999999999993</v>
      </c>
      <c r="AY228">
        <v>9.1999999999999993</v>
      </c>
      <c r="AZ228">
        <v>8.9</v>
      </c>
      <c r="BA228">
        <v>8.6</v>
      </c>
      <c r="BB228">
        <v>8.6</v>
      </c>
      <c r="BC228">
        <v>8.6</v>
      </c>
      <c r="BD228">
        <v>8.5</v>
      </c>
      <c r="BE228">
        <v>8.5</v>
      </c>
      <c r="BF228">
        <v>8.1</v>
      </c>
      <c r="BG228">
        <v>8.4</v>
      </c>
      <c r="BH228">
        <v>8.1999999999999993</v>
      </c>
      <c r="BI228">
        <v>8.1</v>
      </c>
      <c r="BJ228">
        <v>8.3000000000000007</v>
      </c>
      <c r="BK228">
        <v>7.8</v>
      </c>
      <c r="BL228">
        <v>8.1</v>
      </c>
      <c r="BM228">
        <v>8.1999999999999993</v>
      </c>
      <c r="BN228">
        <v>7.8</v>
      </c>
      <c r="BO228">
        <v>7.4</v>
      </c>
      <c r="BP228">
        <v>7.9</v>
      </c>
    </row>
    <row r="229" spans="1:69" x14ac:dyDescent="0.35">
      <c r="A229" t="s">
        <v>656</v>
      </c>
      <c r="B229" t="s">
        <v>139</v>
      </c>
      <c r="C229" t="s">
        <v>743</v>
      </c>
      <c r="D229" t="s">
        <v>744</v>
      </c>
      <c r="AM229">
        <v>3.4</v>
      </c>
      <c r="AS229">
        <v>4.5</v>
      </c>
      <c r="BB229">
        <v>4</v>
      </c>
      <c r="BI229">
        <v>3.7</v>
      </c>
    </row>
    <row r="230" spans="1:69" x14ac:dyDescent="0.35">
      <c r="A230" t="s">
        <v>368</v>
      </c>
      <c r="B230" t="s">
        <v>418</v>
      </c>
      <c r="C230" t="s">
        <v>743</v>
      </c>
      <c r="D230" t="s">
        <v>744</v>
      </c>
    </row>
    <row r="231" spans="1:69" x14ac:dyDescent="0.35">
      <c r="A231" t="s">
        <v>504</v>
      </c>
      <c r="B231" t="s">
        <v>155</v>
      </c>
      <c r="C231" t="s">
        <v>743</v>
      </c>
      <c r="D231" t="s">
        <v>744</v>
      </c>
      <c r="AR231">
        <v>5.7</v>
      </c>
      <c r="AY231">
        <v>5.8</v>
      </c>
      <c r="BF231">
        <v>5.4</v>
      </c>
      <c r="BK231">
        <v>7.1</v>
      </c>
    </row>
    <row r="232" spans="1:69" x14ac:dyDescent="0.35">
      <c r="A232" t="s">
        <v>179</v>
      </c>
      <c r="B232" t="s">
        <v>224</v>
      </c>
      <c r="C232" t="s">
        <v>743</v>
      </c>
      <c r="D232" t="s">
        <v>744</v>
      </c>
      <c r="AO232">
        <v>7.8</v>
      </c>
      <c r="AV232">
        <v>7.2</v>
      </c>
      <c r="AY232">
        <v>6.1</v>
      </c>
      <c r="BB232">
        <v>6.3</v>
      </c>
      <c r="BO232">
        <v>9.1999999999999993</v>
      </c>
    </row>
    <row r="233" spans="1:69" x14ac:dyDescent="0.35">
      <c r="A233" t="s">
        <v>124</v>
      </c>
      <c r="B233" t="s">
        <v>233</v>
      </c>
      <c r="C233" t="s">
        <v>743</v>
      </c>
      <c r="D233" t="s">
        <v>744</v>
      </c>
    </row>
    <row r="234" spans="1:69" x14ac:dyDescent="0.35">
      <c r="A234" t="s">
        <v>609</v>
      </c>
      <c r="B234" t="s">
        <v>582</v>
      </c>
      <c r="C234" t="s">
        <v>743</v>
      </c>
      <c r="D234" t="s">
        <v>744</v>
      </c>
      <c r="AV234">
        <v>6.3</v>
      </c>
      <c r="BD234">
        <v>4.9000000000000004</v>
      </c>
      <c r="BK234">
        <v>7.1</v>
      </c>
      <c r="BO234">
        <v>6.9</v>
      </c>
    </row>
    <row r="235" spans="1:69" x14ac:dyDescent="0.35">
      <c r="A235" t="s">
        <v>713</v>
      </c>
      <c r="B235" t="s">
        <v>379</v>
      </c>
      <c r="C235" t="s">
        <v>743</v>
      </c>
      <c r="D235" t="s">
        <v>744</v>
      </c>
    </row>
    <row r="236" spans="1:69" x14ac:dyDescent="0.35">
      <c r="A236" t="s">
        <v>489</v>
      </c>
      <c r="B236" t="s">
        <v>513</v>
      </c>
      <c r="C236" t="s">
        <v>743</v>
      </c>
      <c r="D236" t="s">
        <v>744</v>
      </c>
    </row>
    <row r="237" spans="1:69" x14ac:dyDescent="0.35">
      <c r="A237" t="s">
        <v>260</v>
      </c>
      <c r="B237" t="s">
        <v>388</v>
      </c>
      <c r="C237" t="s">
        <v>743</v>
      </c>
      <c r="D237" t="s">
        <v>744</v>
      </c>
      <c r="AY237">
        <v>6.1</v>
      </c>
      <c r="BD237">
        <v>4.8</v>
      </c>
      <c r="BH237">
        <v>5.0999999999999996</v>
      </c>
      <c r="BK237">
        <v>5.8</v>
      </c>
      <c r="BN237">
        <v>6.8</v>
      </c>
    </row>
    <row r="238" spans="1:69" x14ac:dyDescent="0.35">
      <c r="A238" t="s">
        <v>557</v>
      </c>
      <c r="B238" t="s">
        <v>450</v>
      </c>
      <c r="C238" t="s">
        <v>743</v>
      </c>
      <c r="D238" t="s">
        <v>744</v>
      </c>
      <c r="Z238">
        <v>5.4</v>
      </c>
      <c r="AG238">
        <v>6.1</v>
      </c>
      <c r="AI238">
        <v>5.9</v>
      </c>
      <c r="AK238">
        <v>5.4</v>
      </c>
      <c r="AM238">
        <v>6.1</v>
      </c>
      <c r="AO238">
        <v>6.2</v>
      </c>
      <c r="AQ238">
        <v>6.4</v>
      </c>
      <c r="AR238">
        <v>6.1</v>
      </c>
      <c r="AS238">
        <v>6.2</v>
      </c>
      <c r="AU238">
        <v>6.3</v>
      </c>
      <c r="AW238">
        <v>6.1</v>
      </c>
      <c r="AY238">
        <v>6</v>
      </c>
      <c r="AZ238">
        <v>6.5</v>
      </c>
      <c r="BA238">
        <v>6.4</v>
      </c>
      <c r="BB238">
        <v>6.5</v>
      </c>
      <c r="BC238">
        <v>6.6</v>
      </c>
      <c r="BD238">
        <v>7.2</v>
      </c>
      <c r="BE238">
        <v>6.7</v>
      </c>
      <c r="BF238">
        <v>6.9</v>
      </c>
      <c r="BG238">
        <v>7.1</v>
      </c>
      <c r="BH238">
        <v>7.5</v>
      </c>
      <c r="BI238">
        <v>7.3</v>
      </c>
      <c r="BJ238">
        <v>7.3</v>
      </c>
      <c r="BK238">
        <v>7.2</v>
      </c>
      <c r="BL238">
        <v>7.7</v>
      </c>
      <c r="BM238">
        <v>7.5</v>
      </c>
      <c r="BN238">
        <v>7.6</v>
      </c>
      <c r="BO238">
        <v>7.7</v>
      </c>
      <c r="BP238">
        <v>7.9</v>
      </c>
    </row>
    <row r="239" spans="1:69" x14ac:dyDescent="0.35">
      <c r="A239" t="s">
        <v>47</v>
      </c>
      <c r="B239" t="s">
        <v>49</v>
      </c>
      <c r="C239" t="s">
        <v>743</v>
      </c>
      <c r="D239" t="s">
        <v>744</v>
      </c>
      <c r="AR239">
        <v>8.3000000000000007</v>
      </c>
      <c r="AV239">
        <v>7.9</v>
      </c>
      <c r="AW239">
        <v>7.8</v>
      </c>
      <c r="AZ239">
        <v>7.4</v>
      </c>
      <c r="BB239">
        <v>8.4</v>
      </c>
      <c r="BH239">
        <v>7.4</v>
      </c>
      <c r="BN239">
        <v>7.6</v>
      </c>
      <c r="BO239">
        <v>6.4</v>
      </c>
      <c r="BP239">
        <v>6.6</v>
      </c>
      <c r="BQ239">
        <v>7.1</v>
      </c>
    </row>
    <row r="240" spans="1:69" x14ac:dyDescent="0.35">
      <c r="A240" t="s">
        <v>524</v>
      </c>
      <c r="B240" t="s">
        <v>267</v>
      </c>
      <c r="C240" t="s">
        <v>743</v>
      </c>
      <c r="D240" t="s">
        <v>744</v>
      </c>
      <c r="AQ240">
        <v>6.1</v>
      </c>
    </row>
    <row r="241" spans="1:69" x14ac:dyDescent="0.35">
      <c r="A241" t="s">
        <v>147</v>
      </c>
      <c r="B241" t="s">
        <v>611</v>
      </c>
      <c r="C241" t="s">
        <v>743</v>
      </c>
      <c r="D241" t="s">
        <v>744</v>
      </c>
    </row>
    <row r="242" spans="1:69" x14ac:dyDescent="0.35">
      <c r="A242" t="s">
        <v>673</v>
      </c>
      <c r="B242" t="s">
        <v>289</v>
      </c>
      <c r="C242" t="s">
        <v>743</v>
      </c>
      <c r="D242" t="s">
        <v>744</v>
      </c>
      <c r="AT242">
        <v>7.3</v>
      </c>
      <c r="AZ242">
        <v>9.5</v>
      </c>
      <c r="BG242">
        <v>9.4</v>
      </c>
    </row>
    <row r="243" spans="1:69" x14ac:dyDescent="0.35">
      <c r="A243" t="s">
        <v>718</v>
      </c>
      <c r="B243" t="s">
        <v>469</v>
      </c>
      <c r="C243" t="s">
        <v>743</v>
      </c>
      <c r="D243" t="s">
        <v>744</v>
      </c>
    </row>
    <row r="244" spans="1:69" x14ac:dyDescent="0.35">
      <c r="A244" t="s">
        <v>646</v>
      </c>
      <c r="B244" t="s">
        <v>624</v>
      </c>
      <c r="C244" t="s">
        <v>743</v>
      </c>
      <c r="D244" t="s">
        <v>744</v>
      </c>
      <c r="AS244">
        <v>6.3</v>
      </c>
      <c r="BB244">
        <v>6.7</v>
      </c>
      <c r="BH244">
        <v>7.7</v>
      </c>
      <c r="BN244">
        <v>9.3000000000000007</v>
      </c>
    </row>
    <row r="245" spans="1:69" x14ac:dyDescent="0.35">
      <c r="A245" t="s">
        <v>8</v>
      </c>
      <c r="B245" t="s">
        <v>91</v>
      </c>
      <c r="C245" t="s">
        <v>743</v>
      </c>
      <c r="D245" t="s">
        <v>744</v>
      </c>
    </row>
    <row r="246" spans="1:69" x14ac:dyDescent="0.35">
      <c r="A246" t="s">
        <v>240</v>
      </c>
      <c r="B246" t="s">
        <v>505</v>
      </c>
      <c r="C246" t="s">
        <v>743</v>
      </c>
      <c r="D246" t="s">
        <v>744</v>
      </c>
    </row>
    <row r="247" spans="1:69" x14ac:dyDescent="0.35">
      <c r="A247" t="s">
        <v>665</v>
      </c>
      <c r="B247" t="s">
        <v>176</v>
      </c>
      <c r="C247" t="s">
        <v>743</v>
      </c>
      <c r="D247" t="s">
        <v>744</v>
      </c>
      <c r="AG247">
        <v>4.9000000000000004</v>
      </c>
      <c r="AK247">
        <v>5.5</v>
      </c>
    </row>
    <row r="248" spans="1:69" x14ac:dyDescent="0.35">
      <c r="A248" t="s">
        <v>214</v>
      </c>
      <c r="B248" t="s">
        <v>21</v>
      </c>
      <c r="C248" t="s">
        <v>743</v>
      </c>
      <c r="D248" t="s">
        <v>744</v>
      </c>
      <c r="AD248">
        <v>5.5</v>
      </c>
      <c r="AI248">
        <v>5.9</v>
      </c>
      <c r="AN248">
        <v>5.7</v>
      </c>
      <c r="AS248">
        <v>6</v>
      </c>
      <c r="AX248">
        <v>6.4</v>
      </c>
      <c r="BC248">
        <v>6.3</v>
      </c>
      <c r="BH248">
        <v>7.8</v>
      </c>
      <c r="BN248">
        <v>7.7</v>
      </c>
    </row>
    <row r="249" spans="1:69" x14ac:dyDescent="0.35">
      <c r="A249" t="s">
        <v>121</v>
      </c>
      <c r="B249" t="s">
        <v>432</v>
      </c>
      <c r="C249" t="s">
        <v>743</v>
      </c>
      <c r="D249" t="s">
        <v>744</v>
      </c>
      <c r="AF249">
        <v>6.1</v>
      </c>
      <c r="AM249">
        <v>5.8</v>
      </c>
      <c r="AU249">
        <v>5.8</v>
      </c>
      <c r="AV249">
        <v>5.5</v>
      </c>
      <c r="AW249">
        <v>5.4</v>
      </c>
      <c r="AX249">
        <v>5.2</v>
      </c>
      <c r="AY249">
        <v>5.6</v>
      </c>
      <c r="AZ249">
        <v>5.8</v>
      </c>
      <c r="BA249">
        <v>5.7</v>
      </c>
      <c r="BB249">
        <v>5.9</v>
      </c>
      <c r="BC249">
        <v>5.9</v>
      </c>
      <c r="BD249">
        <v>5.8</v>
      </c>
      <c r="BE249">
        <v>5.8</v>
      </c>
      <c r="BF249">
        <v>5.8</v>
      </c>
      <c r="BG249">
        <v>5.8</v>
      </c>
      <c r="BH249">
        <v>5.6</v>
      </c>
      <c r="BI249">
        <v>5.7</v>
      </c>
      <c r="BJ249">
        <v>5.4</v>
      </c>
      <c r="BK249">
        <v>5.4</v>
      </c>
      <c r="BL249">
        <v>5.2</v>
      </c>
      <c r="BM249">
        <v>5.3</v>
      </c>
      <c r="BN249">
        <v>5.2</v>
      </c>
      <c r="BO249">
        <v>5.4</v>
      </c>
    </row>
    <row r="250" spans="1:69" x14ac:dyDescent="0.35">
      <c r="A250" t="s">
        <v>443</v>
      </c>
      <c r="B250" t="s">
        <v>98</v>
      </c>
      <c r="C250" t="s">
        <v>743</v>
      </c>
      <c r="D250" t="s">
        <v>744</v>
      </c>
      <c r="BC250">
        <v>6.6</v>
      </c>
    </row>
    <row r="251" spans="1:69" x14ac:dyDescent="0.35">
      <c r="A251" t="s">
        <v>569</v>
      </c>
      <c r="B251" t="s">
        <v>467</v>
      </c>
      <c r="C251" t="s">
        <v>743</v>
      </c>
      <c r="D251" t="s">
        <v>744</v>
      </c>
      <c r="AJ251">
        <v>7.2</v>
      </c>
      <c r="AS251">
        <v>6.8</v>
      </c>
      <c r="AZ251">
        <v>6.3</v>
      </c>
      <c r="BD251">
        <v>7.4</v>
      </c>
      <c r="BK251">
        <v>6.9</v>
      </c>
    </row>
    <row r="252" spans="1:69" x14ac:dyDescent="0.35">
      <c r="A252" t="s">
        <v>694</v>
      </c>
      <c r="B252" t="s">
        <v>161</v>
      </c>
      <c r="C252" t="s">
        <v>743</v>
      </c>
      <c r="D252" t="s">
        <v>744</v>
      </c>
      <c r="AH252">
        <v>4.9000000000000004</v>
      </c>
      <c r="AK252">
        <v>6.2</v>
      </c>
      <c r="AO252">
        <v>6.8</v>
      </c>
      <c r="AR252">
        <v>6</v>
      </c>
      <c r="AU252">
        <v>5.9</v>
      </c>
      <c r="AX252">
        <v>6.1</v>
      </c>
      <c r="BB252">
        <v>5.9</v>
      </c>
      <c r="BE252">
        <v>6.4</v>
      </c>
      <c r="BI252">
        <v>6.1</v>
      </c>
      <c r="BL252">
        <v>6.1</v>
      </c>
    </row>
    <row r="253" spans="1:69" x14ac:dyDescent="0.35">
      <c r="A253" t="s">
        <v>441</v>
      </c>
      <c r="B253" t="s">
        <v>510</v>
      </c>
      <c r="C253" t="s">
        <v>743</v>
      </c>
      <c r="D253" t="s">
        <v>744</v>
      </c>
      <c r="AK253">
        <v>8</v>
      </c>
      <c r="AL253">
        <v>8.8000000000000007</v>
      </c>
      <c r="AN253">
        <v>6.2</v>
      </c>
      <c r="AO253">
        <v>7.1</v>
      </c>
      <c r="AR253">
        <v>8.8000000000000007</v>
      </c>
      <c r="AU253">
        <v>8.8000000000000007</v>
      </c>
      <c r="AV253">
        <v>9.1</v>
      </c>
      <c r="AW253">
        <v>8.8000000000000007</v>
      </c>
      <c r="AX253">
        <v>8.8000000000000007</v>
      </c>
      <c r="AY253">
        <v>8.8000000000000007</v>
      </c>
      <c r="AZ253">
        <v>9.5</v>
      </c>
      <c r="BA253">
        <v>9.6</v>
      </c>
      <c r="BB253">
        <v>10</v>
      </c>
      <c r="BC253">
        <v>10.199999999999999</v>
      </c>
      <c r="BD253">
        <v>10.199999999999999</v>
      </c>
      <c r="BE253">
        <v>10.199999999999999</v>
      </c>
      <c r="BF253">
        <v>10.3</v>
      </c>
      <c r="BG253">
        <v>10.5</v>
      </c>
      <c r="BH253">
        <v>10</v>
      </c>
      <c r="BI253">
        <v>10.1</v>
      </c>
      <c r="BJ253">
        <v>9.8000000000000007</v>
      </c>
      <c r="BK253">
        <v>9.9</v>
      </c>
      <c r="BL253">
        <v>9.6999999999999993</v>
      </c>
      <c r="BM253">
        <v>10</v>
      </c>
    </row>
    <row r="254" spans="1:69" x14ac:dyDescent="0.35">
      <c r="A254" t="s">
        <v>166</v>
      </c>
      <c r="B254" t="s">
        <v>594</v>
      </c>
      <c r="C254" t="s">
        <v>743</v>
      </c>
      <c r="D254" t="s">
        <v>744</v>
      </c>
    </row>
    <row r="255" spans="1:69" x14ac:dyDescent="0.35">
      <c r="A255" t="s">
        <v>532</v>
      </c>
      <c r="B255" t="s">
        <v>730</v>
      </c>
      <c r="C255" t="s">
        <v>743</v>
      </c>
      <c r="D255" t="s">
        <v>744</v>
      </c>
      <c r="Z255">
        <v>5</v>
      </c>
      <c r="AH255">
        <v>5.3</v>
      </c>
      <c r="AK255">
        <v>5.4</v>
      </c>
      <c r="AN255">
        <v>5.4</v>
      </c>
      <c r="AO255">
        <v>5.4</v>
      </c>
      <c r="AP255">
        <v>5.4</v>
      </c>
      <c r="AQ255">
        <v>5.0999999999999996</v>
      </c>
      <c r="AS255">
        <v>5</v>
      </c>
      <c r="AT255">
        <v>4.8</v>
      </c>
      <c r="AU255">
        <v>4.7</v>
      </c>
      <c r="AV255">
        <v>5.0999999999999996</v>
      </c>
      <c r="AW255">
        <v>4.7</v>
      </c>
      <c r="AX255">
        <v>4.8</v>
      </c>
      <c r="AY255">
        <v>4.9000000000000004</v>
      </c>
      <c r="AZ255">
        <v>4.8</v>
      </c>
      <c r="BA255">
        <v>5</v>
      </c>
      <c r="BB255">
        <v>4.8</v>
      </c>
      <c r="BC255">
        <v>5</v>
      </c>
      <c r="BD255">
        <v>5.4</v>
      </c>
      <c r="BE255">
        <v>5.6</v>
      </c>
      <c r="BF255">
        <v>5.5</v>
      </c>
      <c r="BG255">
        <v>5.6</v>
      </c>
      <c r="BH255">
        <v>5.6</v>
      </c>
      <c r="BI255">
        <v>5.7</v>
      </c>
      <c r="BJ255">
        <v>5.9</v>
      </c>
      <c r="BK255">
        <v>5.9</v>
      </c>
      <c r="BL255">
        <v>5.8</v>
      </c>
      <c r="BM255">
        <v>5.7</v>
      </c>
      <c r="BN255">
        <v>5.7</v>
      </c>
      <c r="BO255">
        <v>5.6</v>
      </c>
      <c r="BP255">
        <v>5.6</v>
      </c>
      <c r="BQ255">
        <v>5.7</v>
      </c>
    </row>
    <row r="256" spans="1:69" x14ac:dyDescent="0.35">
      <c r="A256" t="s">
        <v>408</v>
      </c>
      <c r="B256" t="s">
        <v>617</v>
      </c>
      <c r="C256" t="s">
        <v>743</v>
      </c>
      <c r="D256" t="s">
        <v>744</v>
      </c>
      <c r="H256">
        <v>5.9</v>
      </c>
      <c r="I256">
        <v>5.8</v>
      </c>
      <c r="J256">
        <v>5.9</v>
      </c>
      <c r="K256">
        <v>5.8</v>
      </c>
      <c r="L256">
        <v>6</v>
      </c>
      <c r="M256">
        <v>6.1</v>
      </c>
      <c r="N256">
        <v>6.2</v>
      </c>
      <c r="O256">
        <v>6</v>
      </c>
      <c r="P256">
        <v>6</v>
      </c>
      <c r="Q256">
        <v>5.9</v>
      </c>
      <c r="R256">
        <v>6</v>
      </c>
      <c r="S256">
        <v>6.2</v>
      </c>
      <c r="T256">
        <v>6.1</v>
      </c>
      <c r="U256">
        <v>6.2</v>
      </c>
      <c r="V256">
        <v>6.3</v>
      </c>
      <c r="W256">
        <v>6.3</v>
      </c>
      <c r="X256">
        <v>6.5</v>
      </c>
      <c r="Y256">
        <v>6.5</v>
      </c>
      <c r="Z256">
        <v>6.3</v>
      </c>
      <c r="AA256">
        <v>5.9</v>
      </c>
      <c r="AB256">
        <v>5.6</v>
      </c>
      <c r="AC256">
        <v>5.7</v>
      </c>
      <c r="AD256">
        <v>5.7</v>
      </c>
      <c r="AE256">
        <v>5.6</v>
      </c>
      <c r="AF256">
        <v>5.7</v>
      </c>
      <c r="AG256">
        <v>5.7</v>
      </c>
      <c r="AH256">
        <v>5.7</v>
      </c>
      <c r="AI256">
        <v>5.7</v>
      </c>
      <c r="AJ256">
        <v>5.7</v>
      </c>
      <c r="AK256">
        <v>5.6</v>
      </c>
      <c r="AL256">
        <v>5.3</v>
      </c>
      <c r="AM256">
        <v>5.5</v>
      </c>
      <c r="AN256">
        <v>5.6</v>
      </c>
      <c r="AO256">
        <v>5.5</v>
      </c>
      <c r="AP256">
        <v>5.5</v>
      </c>
      <c r="AQ256">
        <v>5.5</v>
      </c>
      <c r="AR256">
        <v>5.6</v>
      </c>
      <c r="AS256">
        <v>5.6</v>
      </c>
      <c r="AT256">
        <v>5.5</v>
      </c>
      <c r="AU256">
        <v>5.4</v>
      </c>
      <c r="AV256">
        <v>5.3</v>
      </c>
      <c r="AW256">
        <v>5.4</v>
      </c>
      <c r="AX256">
        <v>5.3</v>
      </c>
      <c r="AY256">
        <v>5.3</v>
      </c>
      <c r="AZ256">
        <v>5.3</v>
      </c>
      <c r="BA256">
        <v>5.3</v>
      </c>
      <c r="BB256">
        <v>5.5</v>
      </c>
      <c r="BC256">
        <v>5.4</v>
      </c>
      <c r="BD256">
        <v>5.3</v>
      </c>
      <c r="BE256">
        <v>5.3</v>
      </c>
      <c r="BF256">
        <v>5.4</v>
      </c>
      <c r="BG256">
        <v>5.3</v>
      </c>
      <c r="BH256">
        <v>5.4</v>
      </c>
      <c r="BI256">
        <v>5.3</v>
      </c>
      <c r="BJ256">
        <v>5.2</v>
      </c>
      <c r="BK256">
        <v>5.2</v>
      </c>
      <c r="BL256">
        <v>5.2</v>
      </c>
      <c r="BM256">
        <v>5.7</v>
      </c>
      <c r="BN256">
        <v>6.1</v>
      </c>
      <c r="BO256">
        <v>5.2</v>
      </c>
      <c r="BP256">
        <v>5.0999999999999996</v>
      </c>
    </row>
    <row r="257" spans="1:69" x14ac:dyDescent="0.35">
      <c r="A257" t="s">
        <v>315</v>
      </c>
      <c r="B257" t="s">
        <v>158</v>
      </c>
      <c r="C257" t="s">
        <v>743</v>
      </c>
      <c r="D257" t="s">
        <v>744</v>
      </c>
      <c r="AQ257">
        <v>4.4000000000000004</v>
      </c>
      <c r="AS257">
        <v>7.2</v>
      </c>
      <c r="AU257">
        <v>8.1999999999999993</v>
      </c>
      <c r="AV257">
        <v>7.5</v>
      </c>
      <c r="BN257">
        <v>7</v>
      </c>
      <c r="BO257">
        <v>7.2</v>
      </c>
      <c r="BP257">
        <v>6.4</v>
      </c>
      <c r="BQ257">
        <v>6.6</v>
      </c>
    </row>
    <row r="258" spans="1:69" x14ac:dyDescent="0.35">
      <c r="A258" t="s">
        <v>55</v>
      </c>
      <c r="B258" t="s">
        <v>104</v>
      </c>
      <c r="C258" t="s">
        <v>743</v>
      </c>
      <c r="D258" t="s">
        <v>744</v>
      </c>
    </row>
    <row r="259" spans="1:69" x14ac:dyDescent="0.35">
      <c r="A259" t="s">
        <v>81</v>
      </c>
      <c r="B259" t="s">
        <v>324</v>
      </c>
      <c r="C259" t="s">
        <v>743</v>
      </c>
      <c r="D259" t="s">
        <v>744</v>
      </c>
      <c r="Z259">
        <v>3.1</v>
      </c>
      <c r="AF259">
        <v>3.4</v>
      </c>
      <c r="AH259">
        <v>4.5</v>
      </c>
      <c r="AK259">
        <v>5.0999999999999996</v>
      </c>
      <c r="AN259">
        <v>4.0999999999999996</v>
      </c>
      <c r="AQ259">
        <v>3.7</v>
      </c>
      <c r="AR259">
        <v>3.8</v>
      </c>
      <c r="AT259">
        <v>4</v>
      </c>
      <c r="AU259">
        <v>3.4</v>
      </c>
      <c r="AV259">
        <v>3.4</v>
      </c>
      <c r="AW259">
        <v>3.5</v>
      </c>
      <c r="AX259">
        <v>2.9</v>
      </c>
      <c r="AY259">
        <v>4.3</v>
      </c>
    </row>
    <row r="260" spans="1:69" x14ac:dyDescent="0.35">
      <c r="A260" t="s">
        <v>332</v>
      </c>
      <c r="B260" t="s">
        <v>595</v>
      </c>
      <c r="C260" t="s">
        <v>743</v>
      </c>
      <c r="D260" t="s">
        <v>744</v>
      </c>
    </row>
    <row r="261" spans="1:69" x14ac:dyDescent="0.35">
      <c r="A261" t="s">
        <v>436</v>
      </c>
      <c r="B261" t="s">
        <v>138</v>
      </c>
      <c r="C261" t="s">
        <v>743</v>
      </c>
      <c r="D261" t="s">
        <v>744</v>
      </c>
    </row>
    <row r="262" spans="1:69" x14ac:dyDescent="0.35">
      <c r="A262" t="s">
        <v>399</v>
      </c>
      <c r="B262" t="s">
        <v>636</v>
      </c>
      <c r="C262" t="s">
        <v>743</v>
      </c>
      <c r="D262" t="s">
        <v>744</v>
      </c>
      <c r="AK262">
        <v>7.8</v>
      </c>
      <c r="AP262">
        <v>8</v>
      </c>
      <c r="AU262">
        <v>7.5</v>
      </c>
      <c r="AW262">
        <v>7.2</v>
      </c>
      <c r="AY262">
        <v>7.2</v>
      </c>
      <c r="BA262">
        <v>7.4</v>
      </c>
      <c r="BC262">
        <v>6.5</v>
      </c>
      <c r="BE262">
        <v>7.1</v>
      </c>
      <c r="BG262">
        <v>7.1</v>
      </c>
      <c r="BI262">
        <v>6.9</v>
      </c>
      <c r="BK262">
        <v>6.7</v>
      </c>
      <c r="BM262">
        <v>6.6</v>
      </c>
      <c r="BO262">
        <v>6.8</v>
      </c>
    </row>
    <row r="263" spans="1:69" x14ac:dyDescent="0.35">
      <c r="A263" t="s">
        <v>633</v>
      </c>
      <c r="B263" t="s">
        <v>125</v>
      </c>
      <c r="C263" t="s">
        <v>743</v>
      </c>
      <c r="D263" t="s">
        <v>744</v>
      </c>
      <c r="BC263">
        <v>6.8</v>
      </c>
      <c r="BL263">
        <v>7.6</v>
      </c>
    </row>
    <row r="264" spans="1:69" x14ac:dyDescent="0.35">
      <c r="A264" t="s">
        <v>591</v>
      </c>
      <c r="B264" t="s">
        <v>717</v>
      </c>
      <c r="C264" t="s">
        <v>743</v>
      </c>
      <c r="D264" t="s">
        <v>744</v>
      </c>
    </row>
    <row r="265" spans="1:69" x14ac:dyDescent="0.35">
      <c r="A265" t="s">
        <v>185</v>
      </c>
      <c r="B265" t="s">
        <v>491</v>
      </c>
      <c r="C265" t="s">
        <v>743</v>
      </c>
      <c r="D265" t="s">
        <v>744</v>
      </c>
      <c r="AU265">
        <v>6.3</v>
      </c>
      <c r="BA265">
        <v>6.4</v>
      </c>
      <c r="BF265">
        <v>6.8</v>
      </c>
    </row>
    <row r="266" spans="1:69" x14ac:dyDescent="0.35">
      <c r="A266" t="s">
        <v>442</v>
      </c>
      <c r="B266" t="s">
        <v>218</v>
      </c>
      <c r="C266" t="s">
        <v>743</v>
      </c>
      <c r="D266" t="s">
        <v>744</v>
      </c>
      <c r="AV266">
        <v>9.1</v>
      </c>
      <c r="AX266">
        <v>8.1999999999999993</v>
      </c>
      <c r="AY266">
        <v>8.5</v>
      </c>
      <c r="BB266">
        <v>8</v>
      </c>
      <c r="BC266">
        <v>7.8</v>
      </c>
      <c r="BD266">
        <v>9</v>
      </c>
      <c r="BE266">
        <v>8.8000000000000007</v>
      </c>
      <c r="BF266">
        <v>9.6999999999999993</v>
      </c>
      <c r="BG266">
        <v>9.1</v>
      </c>
      <c r="BH266">
        <v>9.5</v>
      </c>
      <c r="BI266">
        <v>9.4</v>
      </c>
      <c r="BJ266">
        <v>3.5</v>
      </c>
      <c r="BK266">
        <v>3</v>
      </c>
      <c r="BL266">
        <v>4.3</v>
      </c>
      <c r="BM266">
        <v>1.7</v>
      </c>
      <c r="BN266">
        <v>1.9</v>
      </c>
      <c r="BO266">
        <v>4.5</v>
      </c>
    </row>
    <row r="267" spans="1:69" x14ac:dyDescent="0.35">
      <c r="A267" t="s">
        <v>700</v>
      </c>
      <c r="B267" t="s">
        <v>16</v>
      </c>
      <c r="C267" t="s">
        <v>743</v>
      </c>
      <c r="D267" t="s">
        <v>744</v>
      </c>
      <c r="AQ267">
        <v>7.1</v>
      </c>
      <c r="AX267">
        <v>7.9</v>
      </c>
      <c r="BG267">
        <v>7.3</v>
      </c>
    </row>
    <row r="268" spans="1:69" x14ac:dyDescent="0.35">
      <c r="A268" t="s">
        <v>493</v>
      </c>
      <c r="B268" t="s">
        <v>397</v>
      </c>
      <c r="C268" t="s">
        <v>743</v>
      </c>
      <c r="D268" t="s">
        <v>744</v>
      </c>
      <c r="AL268">
        <v>2.9</v>
      </c>
      <c r="AS268">
        <v>3.1</v>
      </c>
      <c r="AX268">
        <v>2.6</v>
      </c>
      <c r="BA268">
        <v>2.6</v>
      </c>
      <c r="BC268">
        <v>2.5</v>
      </c>
      <c r="BG268">
        <v>2.4</v>
      </c>
    </row>
    <row r="269" spans="1:69" x14ac:dyDescent="0.35">
      <c r="A269" t="s">
        <v>9</v>
      </c>
      <c r="B269" t="s">
        <v>437</v>
      </c>
      <c r="C269" t="s">
        <v>743</v>
      </c>
      <c r="D269" t="s">
        <v>744</v>
      </c>
      <c r="AJ269">
        <v>1.7</v>
      </c>
      <c r="AL269">
        <v>3.1</v>
      </c>
      <c r="AO269">
        <v>4.5</v>
      </c>
      <c r="AQ269">
        <v>4.3</v>
      </c>
      <c r="AU269">
        <v>6.1</v>
      </c>
      <c r="AW269">
        <v>3.6</v>
      </c>
      <c r="AY269">
        <v>3.6</v>
      </c>
      <c r="BC269">
        <v>4.0999999999999996</v>
      </c>
      <c r="BH269">
        <v>3.1</v>
      </c>
      <c r="BO269">
        <v>3.9</v>
      </c>
    </row>
    <row r="270" spans="1:69" x14ac:dyDescent="0.35">
      <c r="A270" t="s">
        <v>741</v>
      </c>
      <c r="B270" t="s">
        <v>350</v>
      </c>
      <c r="C270" t="s">
        <v>743</v>
      </c>
      <c r="D270" t="s">
        <v>744</v>
      </c>
      <c r="BD270">
        <v>5.8</v>
      </c>
      <c r="BJ270">
        <v>6</v>
      </c>
      <c r="BL270">
        <v>4.8</v>
      </c>
    </row>
  </sheetData>
  <pageMargins left="0.7" right="0.7" top="0.75" bottom="0.75" header="0.3" footer="0.3"/>
  <headerFooter alignWithMargins="0">
    <oddFooter>&amp;L_x000D_&amp;1#&amp;"Aptos"&amp;10&amp;K000000 LUT Group Confidential - Other information (3Y)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9152C-15C7-4E2F-97E4-0BB4FBEB9168}">
  <dimension ref="A1:BQ270"/>
  <sheetViews>
    <sheetView workbookViewId="0"/>
  </sheetViews>
  <sheetFormatPr defaultRowHeight="14.5" x14ac:dyDescent="0.35"/>
  <cols>
    <col min="1" max="1" width="60.1796875" bestFit="1" customWidth="1"/>
    <col min="2" max="2" width="25.6328125" bestFit="1" customWidth="1"/>
    <col min="3" max="3" width="28.1796875" bestFit="1" customWidth="1"/>
    <col min="4" max="4" width="13.453125" bestFit="1" customWidth="1"/>
    <col min="5" max="69" width="5" bestFit="1" customWidth="1"/>
  </cols>
  <sheetData>
    <row r="1" spans="1:69" x14ac:dyDescent="0.35">
      <c r="A1" t="s">
        <v>642</v>
      </c>
      <c r="B1" t="s">
        <v>413</v>
      </c>
    </row>
    <row r="2" spans="1:69" x14ac:dyDescent="0.35">
      <c r="A2" t="s">
        <v>66</v>
      </c>
      <c r="B2" s="2">
        <v>46007</v>
      </c>
    </row>
    <row r="4" spans="1:69" x14ac:dyDescent="0.35">
      <c r="A4" t="s">
        <v>720</v>
      </c>
      <c r="B4" t="s">
        <v>487</v>
      </c>
      <c r="C4" t="s">
        <v>231</v>
      </c>
      <c r="D4" t="s">
        <v>728</v>
      </c>
      <c r="E4" t="s">
        <v>658</v>
      </c>
      <c r="F4" t="s">
        <v>136</v>
      </c>
      <c r="G4" t="s">
        <v>193</v>
      </c>
      <c r="H4" t="s">
        <v>261</v>
      </c>
      <c r="I4" t="s">
        <v>323</v>
      </c>
      <c r="J4" t="s">
        <v>548</v>
      </c>
      <c r="K4" t="s">
        <v>602</v>
      </c>
      <c r="L4" t="s">
        <v>661</v>
      </c>
      <c r="M4" t="s">
        <v>712</v>
      </c>
      <c r="N4" t="s">
        <v>195</v>
      </c>
      <c r="O4" t="s">
        <v>727</v>
      </c>
      <c r="P4" t="s">
        <v>38</v>
      </c>
      <c r="Q4" t="s">
        <v>281</v>
      </c>
      <c r="R4" t="s">
        <v>337</v>
      </c>
      <c r="S4" t="s">
        <v>391</v>
      </c>
      <c r="T4" t="s">
        <v>447</v>
      </c>
      <c r="U4" t="s">
        <v>678</v>
      </c>
      <c r="V4" t="s">
        <v>733</v>
      </c>
      <c r="W4" t="s">
        <v>45</v>
      </c>
      <c r="X4" t="s">
        <v>116</v>
      </c>
      <c r="Y4" t="s">
        <v>62</v>
      </c>
      <c r="Z4" t="s">
        <v>133</v>
      </c>
      <c r="AA4" t="s">
        <v>186</v>
      </c>
      <c r="AB4" t="s">
        <v>403</v>
      </c>
      <c r="AC4" t="s">
        <v>464</v>
      </c>
      <c r="AD4" t="s">
        <v>544</v>
      </c>
      <c r="AE4" t="s">
        <v>598</v>
      </c>
      <c r="AF4" t="s">
        <v>67</v>
      </c>
      <c r="AG4" t="s">
        <v>137</v>
      </c>
      <c r="AH4" t="s">
        <v>194</v>
      </c>
      <c r="AI4" t="s">
        <v>148</v>
      </c>
      <c r="AJ4" t="s">
        <v>204</v>
      </c>
      <c r="AK4" t="s">
        <v>275</v>
      </c>
      <c r="AL4" t="s">
        <v>334</v>
      </c>
      <c r="AM4" t="s">
        <v>558</v>
      </c>
      <c r="AN4" t="s">
        <v>610</v>
      </c>
      <c r="AO4" t="s">
        <v>676</v>
      </c>
      <c r="AP4" t="s">
        <v>729</v>
      </c>
      <c r="AQ4" t="s">
        <v>211</v>
      </c>
      <c r="AR4" t="s">
        <v>282</v>
      </c>
      <c r="AS4" t="s">
        <v>579</v>
      </c>
      <c r="AT4" t="s">
        <v>631</v>
      </c>
      <c r="AU4" t="s">
        <v>107</v>
      </c>
      <c r="AV4" t="s">
        <v>173</v>
      </c>
      <c r="AW4" t="s">
        <v>236</v>
      </c>
      <c r="AX4" t="s">
        <v>308</v>
      </c>
      <c r="AY4" t="s">
        <v>523</v>
      </c>
      <c r="AZ4" t="s">
        <v>584</v>
      </c>
      <c r="BA4" t="s">
        <v>638</v>
      </c>
      <c r="BB4" t="s">
        <v>110</v>
      </c>
      <c r="BC4" t="s">
        <v>647</v>
      </c>
      <c r="BD4" t="s">
        <v>701</v>
      </c>
      <c r="BE4" t="s">
        <v>19</v>
      </c>
      <c r="BF4" t="s">
        <v>252</v>
      </c>
      <c r="BG4" t="s">
        <v>319</v>
      </c>
      <c r="BH4" t="s">
        <v>371</v>
      </c>
      <c r="BI4" t="s">
        <v>428</v>
      </c>
      <c r="BJ4" t="s">
        <v>652</v>
      </c>
      <c r="BK4" t="s">
        <v>705</v>
      </c>
      <c r="BL4" t="s">
        <v>23</v>
      </c>
      <c r="BM4" t="s">
        <v>719</v>
      </c>
      <c r="BN4" t="s">
        <v>34</v>
      </c>
      <c r="BO4" t="s">
        <v>103</v>
      </c>
      <c r="BP4" t="s">
        <v>171</v>
      </c>
      <c r="BQ4" t="s">
        <v>385</v>
      </c>
    </row>
    <row r="5" spans="1:69" x14ac:dyDescent="0.35">
      <c r="A5" t="s">
        <v>529</v>
      </c>
      <c r="B5" t="s">
        <v>12</v>
      </c>
      <c r="C5" t="s">
        <v>745</v>
      </c>
      <c r="D5" t="s">
        <v>746</v>
      </c>
    </row>
    <row r="6" spans="1:69" x14ac:dyDescent="0.35">
      <c r="A6" t="s">
        <v>542</v>
      </c>
      <c r="B6" t="s">
        <v>511</v>
      </c>
      <c r="C6" t="s">
        <v>745</v>
      </c>
      <c r="D6" t="s">
        <v>746</v>
      </c>
    </row>
    <row r="7" spans="1:69" x14ac:dyDescent="0.35">
      <c r="A7" t="s">
        <v>336</v>
      </c>
      <c r="B7" t="s">
        <v>628</v>
      </c>
      <c r="C7" t="s">
        <v>745</v>
      </c>
      <c r="D7" t="s">
        <v>746</v>
      </c>
    </row>
    <row r="8" spans="1:69" x14ac:dyDescent="0.35">
      <c r="A8" t="s">
        <v>706</v>
      </c>
      <c r="B8" t="s">
        <v>177</v>
      </c>
      <c r="C8" t="s">
        <v>745</v>
      </c>
      <c r="D8" t="s">
        <v>746</v>
      </c>
    </row>
    <row r="9" spans="1:69" x14ac:dyDescent="0.35">
      <c r="A9" t="s">
        <v>326</v>
      </c>
      <c r="B9" t="s">
        <v>18</v>
      </c>
      <c r="C9" t="s">
        <v>745</v>
      </c>
      <c r="D9" t="s">
        <v>746</v>
      </c>
      <c r="AS9">
        <v>7.9</v>
      </c>
      <c r="BA9">
        <v>9.6</v>
      </c>
      <c r="BK9">
        <v>7.7</v>
      </c>
    </row>
    <row r="10" spans="1:69" x14ac:dyDescent="0.35">
      <c r="A10" t="s">
        <v>207</v>
      </c>
      <c r="B10" t="s">
        <v>462</v>
      </c>
      <c r="C10" t="s">
        <v>745</v>
      </c>
      <c r="D10" t="s">
        <v>746</v>
      </c>
      <c r="AO10">
        <v>13.9</v>
      </c>
      <c r="AU10">
        <v>12.6</v>
      </c>
      <c r="AX10">
        <v>12.9</v>
      </c>
      <c r="BA10">
        <v>13.1</v>
      </c>
      <c r="BE10">
        <v>13.2</v>
      </c>
      <c r="BG10">
        <v>11.5</v>
      </c>
      <c r="BH10">
        <v>12.1</v>
      </c>
      <c r="BI10">
        <v>11.9</v>
      </c>
      <c r="BJ10">
        <v>12</v>
      </c>
      <c r="BK10">
        <v>13</v>
      </c>
      <c r="BL10">
        <v>13</v>
      </c>
      <c r="BM10">
        <v>13.2</v>
      </c>
    </row>
    <row r="11" spans="1:69" x14ac:dyDescent="0.35">
      <c r="A11" t="s">
        <v>351</v>
      </c>
      <c r="B11" t="s">
        <v>738</v>
      </c>
      <c r="C11" t="s">
        <v>745</v>
      </c>
      <c r="D11" t="s">
        <v>746</v>
      </c>
    </row>
    <row r="12" spans="1:69" x14ac:dyDescent="0.35">
      <c r="A12" t="s">
        <v>115</v>
      </c>
      <c r="B12" t="s">
        <v>618</v>
      </c>
      <c r="C12" t="s">
        <v>745</v>
      </c>
      <c r="D12" t="s">
        <v>746</v>
      </c>
    </row>
    <row r="13" spans="1:69" x14ac:dyDescent="0.35">
      <c r="A13" t="s">
        <v>46</v>
      </c>
      <c r="B13" t="s">
        <v>217</v>
      </c>
      <c r="C13" t="s">
        <v>745</v>
      </c>
      <c r="D13" t="s">
        <v>746</v>
      </c>
      <c r="BF13">
        <v>12</v>
      </c>
      <c r="BK13">
        <v>14.8</v>
      </c>
    </row>
    <row r="14" spans="1:69" x14ac:dyDescent="0.35">
      <c r="A14" t="s">
        <v>318</v>
      </c>
      <c r="B14" t="s">
        <v>500</v>
      </c>
      <c r="C14" t="s">
        <v>745</v>
      </c>
      <c r="D14" t="s">
        <v>746</v>
      </c>
      <c r="Y14">
        <v>10.199999999999999</v>
      </c>
      <c r="AE14">
        <v>9.9</v>
      </c>
      <c r="AF14">
        <v>9.3000000000000007</v>
      </c>
      <c r="AJ14">
        <v>9.1</v>
      </c>
      <c r="AK14">
        <v>9.1999999999999993</v>
      </c>
      <c r="AL14">
        <v>9.3000000000000007</v>
      </c>
      <c r="AM14">
        <v>9</v>
      </c>
      <c r="AN14">
        <v>8.4</v>
      </c>
      <c r="AO14">
        <v>8.1999999999999993</v>
      </c>
      <c r="AP14">
        <v>8.1999999999999993</v>
      </c>
      <c r="AQ14">
        <v>7.8</v>
      </c>
      <c r="AR14">
        <v>8</v>
      </c>
      <c r="AS14">
        <v>7.6</v>
      </c>
      <c r="AT14">
        <v>7.1</v>
      </c>
      <c r="AU14">
        <v>6.9</v>
      </c>
      <c r="AV14">
        <v>7.6</v>
      </c>
      <c r="AW14">
        <v>8.1</v>
      </c>
      <c r="AX14">
        <v>8.3000000000000007</v>
      </c>
      <c r="AY14">
        <v>8.6999999999999993</v>
      </c>
      <c r="AZ14">
        <v>8.6</v>
      </c>
      <c r="BA14">
        <v>9.1</v>
      </c>
      <c r="BB14">
        <v>9.4</v>
      </c>
      <c r="BC14">
        <v>9.4</v>
      </c>
      <c r="BD14">
        <v>9.6</v>
      </c>
      <c r="BE14">
        <v>9.9</v>
      </c>
      <c r="BF14">
        <v>10</v>
      </c>
      <c r="BG14">
        <v>9.6999999999999993</v>
      </c>
      <c r="BI14">
        <v>9.6999999999999993</v>
      </c>
      <c r="BJ14">
        <v>10</v>
      </c>
      <c r="BK14">
        <v>9.9</v>
      </c>
      <c r="BL14">
        <v>9.5</v>
      </c>
      <c r="BM14">
        <v>9.4</v>
      </c>
      <c r="BN14">
        <v>9.8000000000000007</v>
      </c>
      <c r="BO14">
        <v>10.1</v>
      </c>
      <c r="BP14">
        <v>9.6</v>
      </c>
      <c r="BQ14">
        <v>9.6999999999999993</v>
      </c>
    </row>
    <row r="15" spans="1:69" x14ac:dyDescent="0.35">
      <c r="A15" t="s">
        <v>89</v>
      </c>
      <c r="B15" t="s">
        <v>293</v>
      </c>
      <c r="C15" t="s">
        <v>745</v>
      </c>
      <c r="D15" t="s">
        <v>746</v>
      </c>
      <c r="AO15">
        <v>9.4</v>
      </c>
      <c r="AR15">
        <v>11.6</v>
      </c>
      <c r="AT15">
        <v>11.9</v>
      </c>
      <c r="AU15">
        <v>12</v>
      </c>
      <c r="AV15">
        <v>12.4</v>
      </c>
      <c r="AW15">
        <v>11.5</v>
      </c>
      <c r="AX15">
        <v>11.8</v>
      </c>
      <c r="AY15">
        <v>13.1</v>
      </c>
      <c r="AZ15">
        <v>12.8</v>
      </c>
      <c r="BA15">
        <v>13.1</v>
      </c>
      <c r="BB15">
        <v>13.5</v>
      </c>
      <c r="BC15">
        <v>13</v>
      </c>
      <c r="BD15">
        <v>13.2</v>
      </c>
      <c r="BE15">
        <v>13.2</v>
      </c>
      <c r="BF15">
        <v>12.9</v>
      </c>
      <c r="BG15">
        <v>12.7</v>
      </c>
      <c r="BH15">
        <v>12.6</v>
      </c>
      <c r="BI15">
        <v>12.1</v>
      </c>
      <c r="BJ15">
        <v>12.4</v>
      </c>
      <c r="BK15">
        <v>12.2</v>
      </c>
      <c r="BL15">
        <v>13.2</v>
      </c>
      <c r="BM15">
        <v>14.3</v>
      </c>
      <c r="BN15">
        <v>13.8</v>
      </c>
      <c r="BO15">
        <v>13.6</v>
      </c>
      <c r="BP15">
        <v>14</v>
      </c>
    </row>
    <row r="16" spans="1:69" x14ac:dyDescent="0.35">
      <c r="A16" t="s">
        <v>112</v>
      </c>
      <c r="B16" t="s">
        <v>360</v>
      </c>
      <c r="C16" t="s">
        <v>745</v>
      </c>
      <c r="D16" t="s">
        <v>746</v>
      </c>
    </row>
    <row r="17" spans="1:68" x14ac:dyDescent="0.35">
      <c r="A17" t="s">
        <v>417</v>
      </c>
      <c r="B17" t="s">
        <v>499</v>
      </c>
      <c r="C17" t="s">
        <v>745</v>
      </c>
      <c r="D17" t="s">
        <v>746</v>
      </c>
    </row>
    <row r="18" spans="1:68" x14ac:dyDescent="0.35">
      <c r="A18" t="s">
        <v>439</v>
      </c>
      <c r="B18" t="s">
        <v>309</v>
      </c>
      <c r="C18" t="s">
        <v>745</v>
      </c>
      <c r="D18" t="s">
        <v>746</v>
      </c>
      <c r="Z18">
        <v>12.9</v>
      </c>
      <c r="AD18">
        <v>12.6</v>
      </c>
      <c r="AH18">
        <v>12.4</v>
      </c>
      <c r="AN18">
        <v>12.5</v>
      </c>
      <c r="AT18">
        <v>12.2</v>
      </c>
      <c r="AV18">
        <v>12.2</v>
      </c>
      <c r="AW18">
        <v>12.3</v>
      </c>
      <c r="BA18">
        <v>11.6</v>
      </c>
      <c r="BC18">
        <v>11.8</v>
      </c>
      <c r="BG18">
        <v>12.2</v>
      </c>
      <c r="BI18">
        <v>12.2</v>
      </c>
      <c r="BK18">
        <v>12.2</v>
      </c>
      <c r="BM18">
        <v>12.4</v>
      </c>
    </row>
    <row r="19" spans="1:68" x14ac:dyDescent="0.35">
      <c r="A19" t="s">
        <v>63</v>
      </c>
      <c r="B19" t="s">
        <v>361</v>
      </c>
      <c r="C19" t="s">
        <v>745</v>
      </c>
      <c r="D19" t="s">
        <v>746</v>
      </c>
      <c r="AM19">
        <v>13.2</v>
      </c>
      <c r="AN19">
        <v>13.4</v>
      </c>
      <c r="AO19">
        <v>13.5</v>
      </c>
      <c r="AP19">
        <v>13.5</v>
      </c>
      <c r="AQ19">
        <v>13</v>
      </c>
      <c r="AR19">
        <v>13.1</v>
      </c>
      <c r="AS19">
        <v>13.4</v>
      </c>
      <c r="AV19">
        <v>13.4</v>
      </c>
      <c r="AW19">
        <v>13.2</v>
      </c>
      <c r="AX19">
        <v>13.4</v>
      </c>
      <c r="AY19">
        <v>13.3</v>
      </c>
      <c r="AZ19">
        <v>13.2</v>
      </c>
      <c r="BA19">
        <v>13.3</v>
      </c>
      <c r="BB19">
        <v>13</v>
      </c>
      <c r="BC19">
        <v>13.2</v>
      </c>
      <c r="BD19">
        <v>13.1</v>
      </c>
      <c r="BE19">
        <v>13.3</v>
      </c>
      <c r="BF19">
        <v>13.1</v>
      </c>
      <c r="BG19">
        <v>13.2</v>
      </c>
      <c r="BH19">
        <v>13.2</v>
      </c>
      <c r="BI19">
        <v>13.2</v>
      </c>
      <c r="BJ19">
        <v>13.3</v>
      </c>
      <c r="BK19">
        <v>13</v>
      </c>
      <c r="BL19">
        <v>13.3</v>
      </c>
      <c r="BM19">
        <v>13.5</v>
      </c>
      <c r="BN19">
        <v>13.3</v>
      </c>
      <c r="BO19">
        <v>13.4</v>
      </c>
      <c r="BP19">
        <v>13.2</v>
      </c>
    </row>
    <row r="20" spans="1:68" x14ac:dyDescent="0.35">
      <c r="A20" t="s">
        <v>537</v>
      </c>
      <c r="B20" t="s">
        <v>528</v>
      </c>
      <c r="C20" t="s">
        <v>745</v>
      </c>
      <c r="D20" t="s">
        <v>746</v>
      </c>
      <c r="AN20">
        <v>12</v>
      </c>
      <c r="AT20">
        <v>11.5</v>
      </c>
      <c r="AU20">
        <v>14.3</v>
      </c>
      <c r="AV20">
        <v>13.9</v>
      </c>
      <c r="AW20">
        <v>14</v>
      </c>
      <c r="AX20">
        <v>13.9</v>
      </c>
    </row>
    <row r="21" spans="1:68" x14ac:dyDescent="0.35">
      <c r="A21" t="s">
        <v>477</v>
      </c>
      <c r="B21" t="s">
        <v>550</v>
      </c>
      <c r="C21" t="s">
        <v>745</v>
      </c>
      <c r="D21" t="s">
        <v>746</v>
      </c>
      <c r="AK21">
        <v>12.1</v>
      </c>
      <c r="AQ21">
        <v>10.3</v>
      </c>
      <c r="AY21">
        <v>11.9</v>
      </c>
      <c r="BF21">
        <v>11</v>
      </c>
      <c r="BM21">
        <v>11.2</v>
      </c>
    </row>
    <row r="22" spans="1:68" x14ac:dyDescent="0.35">
      <c r="A22" t="s">
        <v>643</v>
      </c>
      <c r="B22" t="s">
        <v>48</v>
      </c>
      <c r="C22" t="s">
        <v>745</v>
      </c>
      <c r="D22" t="s">
        <v>746</v>
      </c>
      <c r="AD22">
        <v>14.4</v>
      </c>
      <c r="AG22">
        <v>14.4</v>
      </c>
      <c r="AK22">
        <v>14.6</v>
      </c>
      <c r="AN22">
        <v>13.9</v>
      </c>
      <c r="AP22">
        <v>14.3</v>
      </c>
      <c r="AS22">
        <v>12.9</v>
      </c>
      <c r="AV22">
        <v>13.9</v>
      </c>
      <c r="AW22">
        <v>13.4</v>
      </c>
      <c r="AX22">
        <v>13.7</v>
      </c>
      <c r="AY22">
        <v>13.9</v>
      </c>
      <c r="AZ22">
        <v>13.6</v>
      </c>
      <c r="BA22">
        <v>13.9</v>
      </c>
      <c r="BB22">
        <v>13.9</v>
      </c>
      <c r="BC22">
        <v>13.9</v>
      </c>
      <c r="BD22">
        <v>14</v>
      </c>
      <c r="BE22">
        <v>14.2</v>
      </c>
      <c r="BF22">
        <v>14.1</v>
      </c>
      <c r="BG22">
        <v>13.9</v>
      </c>
      <c r="BH22">
        <v>14</v>
      </c>
      <c r="BI22">
        <v>14.1</v>
      </c>
      <c r="BJ22">
        <v>14.2</v>
      </c>
      <c r="BK22">
        <v>14.3</v>
      </c>
      <c r="BL22">
        <v>14.2</v>
      </c>
      <c r="BM22">
        <v>14.5</v>
      </c>
      <c r="BN22">
        <v>14.4</v>
      </c>
      <c r="BO22">
        <v>14.5</v>
      </c>
      <c r="BP22">
        <v>14.4</v>
      </c>
    </row>
    <row r="23" spans="1:68" x14ac:dyDescent="0.35">
      <c r="A23" t="s">
        <v>629</v>
      </c>
      <c r="B23" t="s">
        <v>343</v>
      </c>
      <c r="C23" t="s">
        <v>745</v>
      </c>
      <c r="D23" t="s">
        <v>746</v>
      </c>
      <c r="AV23">
        <v>10.9</v>
      </c>
      <c r="BD23">
        <v>9.6</v>
      </c>
      <c r="BH23">
        <v>9.6</v>
      </c>
      <c r="BK23">
        <v>11</v>
      </c>
      <c r="BN23">
        <v>11.9</v>
      </c>
    </row>
    <row r="24" spans="1:68" x14ac:dyDescent="0.35">
      <c r="A24" t="s">
        <v>120</v>
      </c>
      <c r="B24" t="s">
        <v>463</v>
      </c>
      <c r="C24" t="s">
        <v>745</v>
      </c>
      <c r="D24" t="s">
        <v>746</v>
      </c>
      <c r="AM24">
        <v>8.6999999999999993</v>
      </c>
      <c r="AQ24">
        <v>8.6999999999999993</v>
      </c>
      <c r="AV24">
        <v>9.6999999999999993</v>
      </c>
      <c r="BB24">
        <v>10.7</v>
      </c>
      <c r="BG24">
        <v>11.7</v>
      </c>
      <c r="BK24">
        <v>9.8000000000000007</v>
      </c>
      <c r="BN24">
        <v>11.2</v>
      </c>
    </row>
    <row r="25" spans="1:68" x14ac:dyDescent="0.35">
      <c r="A25" t="s">
        <v>39</v>
      </c>
      <c r="B25" t="s">
        <v>152</v>
      </c>
      <c r="C25" t="s">
        <v>745</v>
      </c>
      <c r="D25" t="s">
        <v>746</v>
      </c>
      <c r="AB25">
        <v>14.3</v>
      </c>
      <c r="AD25">
        <v>13.8</v>
      </c>
      <c r="AG25">
        <v>13.4</v>
      </c>
      <c r="AJ25">
        <v>13.6</v>
      </c>
      <c r="AN25">
        <v>12.5</v>
      </c>
      <c r="AS25">
        <v>12.1</v>
      </c>
      <c r="AX25">
        <v>12.2</v>
      </c>
      <c r="BC25">
        <v>12.5</v>
      </c>
      <c r="BI25">
        <v>12.4</v>
      </c>
      <c r="BO25">
        <v>12.8</v>
      </c>
    </row>
    <row r="26" spans="1:68" x14ac:dyDescent="0.35">
      <c r="A26" t="s">
        <v>608</v>
      </c>
      <c r="B26" t="s">
        <v>154</v>
      </c>
      <c r="C26" t="s">
        <v>745</v>
      </c>
      <c r="D26" t="s">
        <v>746</v>
      </c>
      <c r="AH26">
        <v>14.7</v>
      </c>
      <c r="AK26">
        <v>13</v>
      </c>
      <c r="AM26">
        <v>14.7</v>
      </c>
      <c r="AN26">
        <v>12.8</v>
      </c>
      <c r="AP26">
        <v>13.9</v>
      </c>
      <c r="AT26">
        <v>12.8</v>
      </c>
      <c r="AV26">
        <v>13.7</v>
      </c>
      <c r="AY26">
        <v>12.6</v>
      </c>
      <c r="AZ26">
        <v>11.9</v>
      </c>
      <c r="BA26">
        <v>12.6</v>
      </c>
      <c r="BB26">
        <v>12.5</v>
      </c>
      <c r="BC26">
        <v>12.1</v>
      </c>
      <c r="BD26">
        <v>12.7</v>
      </c>
      <c r="BE26">
        <v>12.2</v>
      </c>
      <c r="BF26">
        <v>12.2</v>
      </c>
      <c r="BG26">
        <v>11.8</v>
      </c>
      <c r="BH26">
        <v>11.6</v>
      </c>
      <c r="BI26">
        <v>11</v>
      </c>
      <c r="BJ26">
        <v>11</v>
      </c>
      <c r="BK26">
        <v>10.8</v>
      </c>
      <c r="BL26">
        <v>11</v>
      </c>
      <c r="BM26">
        <v>10.9</v>
      </c>
      <c r="BN26">
        <v>11</v>
      </c>
      <c r="BO26">
        <v>11.7</v>
      </c>
      <c r="BP26">
        <v>11.3</v>
      </c>
    </row>
    <row r="27" spans="1:68" x14ac:dyDescent="0.35">
      <c r="A27" t="s">
        <v>372</v>
      </c>
      <c r="B27" t="s">
        <v>71</v>
      </c>
      <c r="C27" t="s">
        <v>745</v>
      </c>
      <c r="D27" t="s">
        <v>746</v>
      </c>
    </row>
    <row r="28" spans="1:68" x14ac:dyDescent="0.35">
      <c r="A28" t="s">
        <v>169</v>
      </c>
      <c r="B28" t="s">
        <v>302</v>
      </c>
      <c r="C28" t="s">
        <v>745</v>
      </c>
      <c r="D28" t="s">
        <v>746</v>
      </c>
    </row>
    <row r="29" spans="1:68" x14ac:dyDescent="0.35">
      <c r="A29" t="s">
        <v>398</v>
      </c>
      <c r="B29" t="s">
        <v>556</v>
      </c>
      <c r="C29" t="s">
        <v>745</v>
      </c>
      <c r="D29" t="s">
        <v>746</v>
      </c>
      <c r="AT29">
        <v>13.3</v>
      </c>
      <c r="AW29">
        <v>12.1</v>
      </c>
      <c r="AZ29">
        <v>12.2</v>
      </c>
      <c r="BD29">
        <v>12.3</v>
      </c>
    </row>
    <row r="30" spans="1:68" x14ac:dyDescent="0.35">
      <c r="A30" t="s">
        <v>590</v>
      </c>
      <c r="B30" t="s">
        <v>226</v>
      </c>
      <c r="C30" t="s">
        <v>745</v>
      </c>
      <c r="D30" t="s">
        <v>746</v>
      </c>
      <c r="AL30">
        <v>15.3</v>
      </c>
      <c r="AN30">
        <v>13.5</v>
      </c>
      <c r="AQ30">
        <v>12.6</v>
      </c>
      <c r="AR30">
        <v>12.6</v>
      </c>
      <c r="AS30">
        <v>12.9</v>
      </c>
      <c r="AT30">
        <v>13.1</v>
      </c>
      <c r="AU30">
        <v>13.1</v>
      </c>
      <c r="AV30">
        <v>13.5</v>
      </c>
      <c r="AW30">
        <v>14</v>
      </c>
      <c r="AX30">
        <v>13.8</v>
      </c>
      <c r="AY30">
        <v>13.5</v>
      </c>
      <c r="AZ30">
        <v>13.2</v>
      </c>
      <c r="BA30">
        <v>13.6</v>
      </c>
      <c r="BB30">
        <v>13.8</v>
      </c>
      <c r="BC30">
        <v>13.4</v>
      </c>
      <c r="BD30">
        <v>13.9</v>
      </c>
      <c r="BE30">
        <v>14</v>
      </c>
      <c r="BF30">
        <v>14</v>
      </c>
      <c r="BG30">
        <v>14</v>
      </c>
      <c r="BH30">
        <v>14.3</v>
      </c>
      <c r="BI30">
        <v>14.4</v>
      </c>
      <c r="BJ30">
        <v>14.3</v>
      </c>
      <c r="BK30">
        <v>14.4</v>
      </c>
      <c r="BL30">
        <v>14.3</v>
      </c>
      <c r="BM30">
        <v>14.5</v>
      </c>
    </row>
    <row r="31" spans="1:68" x14ac:dyDescent="0.35">
      <c r="A31" t="s">
        <v>322</v>
      </c>
      <c r="B31" t="s">
        <v>299</v>
      </c>
      <c r="C31" t="s">
        <v>745</v>
      </c>
      <c r="D31" t="s">
        <v>746</v>
      </c>
      <c r="AL31">
        <v>6.5</v>
      </c>
      <c r="AM31">
        <v>6.5</v>
      </c>
      <c r="AN31">
        <v>5.9</v>
      </c>
      <c r="AO31">
        <v>7.1</v>
      </c>
      <c r="AP31">
        <v>6.4</v>
      </c>
      <c r="AQ31">
        <v>7</v>
      </c>
      <c r="AR31">
        <v>7.7</v>
      </c>
      <c r="BK31">
        <v>10.5</v>
      </c>
    </row>
    <row r="32" spans="1:68" x14ac:dyDescent="0.35">
      <c r="A32" t="s">
        <v>380</v>
      </c>
      <c r="B32" t="s">
        <v>639</v>
      </c>
      <c r="C32" t="s">
        <v>745</v>
      </c>
      <c r="D32" t="s">
        <v>746</v>
      </c>
    </row>
    <row r="33" spans="1:68" x14ac:dyDescent="0.35">
      <c r="A33" t="s">
        <v>56</v>
      </c>
      <c r="B33" t="s">
        <v>518</v>
      </c>
      <c r="C33" t="s">
        <v>745</v>
      </c>
      <c r="D33" t="s">
        <v>746</v>
      </c>
      <c r="AI33">
        <v>9.6999999999999993</v>
      </c>
      <c r="AK33">
        <v>8.5</v>
      </c>
      <c r="AP33">
        <v>6.4</v>
      </c>
      <c r="AR33">
        <v>5.7</v>
      </c>
      <c r="AS33">
        <v>5.3</v>
      </c>
      <c r="AT33">
        <v>6.5</v>
      </c>
      <c r="AU33">
        <v>6.1</v>
      </c>
      <c r="AW33">
        <v>7.2</v>
      </c>
      <c r="AX33">
        <v>6.1</v>
      </c>
      <c r="AY33">
        <v>6.5</v>
      </c>
      <c r="AZ33">
        <v>6.8</v>
      </c>
      <c r="BA33">
        <v>8</v>
      </c>
      <c r="BB33">
        <v>8.5</v>
      </c>
      <c r="BD33">
        <v>9.1999999999999993</v>
      </c>
      <c r="BE33">
        <v>9</v>
      </c>
      <c r="BF33">
        <v>8.8000000000000007</v>
      </c>
      <c r="BG33">
        <v>8.8000000000000007</v>
      </c>
      <c r="BH33">
        <v>9</v>
      </c>
      <c r="BI33">
        <v>9.3000000000000007</v>
      </c>
      <c r="BJ33">
        <v>9.4</v>
      </c>
      <c r="BK33">
        <v>10</v>
      </c>
      <c r="BL33">
        <v>10.3</v>
      </c>
      <c r="BM33">
        <v>9.8000000000000007</v>
      </c>
      <c r="BN33">
        <v>10.4</v>
      </c>
      <c r="BO33">
        <v>10.3</v>
      </c>
      <c r="BP33">
        <v>10</v>
      </c>
    </row>
    <row r="34" spans="1:68" x14ac:dyDescent="0.35">
      <c r="A34" t="s">
        <v>593</v>
      </c>
      <c r="B34" t="s">
        <v>341</v>
      </c>
      <c r="C34" t="s">
        <v>745</v>
      </c>
      <c r="D34" t="s">
        <v>746</v>
      </c>
      <c r="Z34">
        <v>6.2</v>
      </c>
      <c r="AA34">
        <v>6</v>
      </c>
      <c r="AB34">
        <v>5.9</v>
      </c>
      <c r="AC34">
        <v>6</v>
      </c>
      <c r="AD34">
        <v>6.5</v>
      </c>
      <c r="AE34">
        <v>6</v>
      </c>
      <c r="AF34">
        <v>5.7</v>
      </c>
      <c r="AG34">
        <v>5.3</v>
      </c>
      <c r="AH34">
        <v>5</v>
      </c>
      <c r="AI34">
        <v>5.5</v>
      </c>
      <c r="AK34">
        <v>7.1</v>
      </c>
      <c r="AL34">
        <v>5.8</v>
      </c>
      <c r="AN34">
        <v>5.8</v>
      </c>
      <c r="AO34">
        <v>5.7</v>
      </c>
      <c r="AP34">
        <v>5.7</v>
      </c>
      <c r="AQ34">
        <v>5.8</v>
      </c>
      <c r="AR34">
        <v>5.9</v>
      </c>
      <c r="AT34">
        <v>6</v>
      </c>
      <c r="AU34">
        <v>6.1</v>
      </c>
      <c r="AV34">
        <v>6.2</v>
      </c>
      <c r="AW34">
        <v>6.5</v>
      </c>
      <c r="AX34">
        <v>6.5</v>
      </c>
      <c r="AY34">
        <v>6.7</v>
      </c>
      <c r="AZ34">
        <v>6.9</v>
      </c>
      <c r="BA34">
        <v>7.1</v>
      </c>
      <c r="BB34">
        <v>7.2</v>
      </c>
      <c r="BD34">
        <v>7.5</v>
      </c>
      <c r="BE34">
        <v>7.4</v>
      </c>
      <c r="BF34">
        <v>7.5</v>
      </c>
      <c r="BG34">
        <v>7.7</v>
      </c>
      <c r="BH34">
        <v>7.7</v>
      </c>
      <c r="BI34">
        <v>7.4</v>
      </c>
      <c r="BJ34">
        <v>7.4</v>
      </c>
      <c r="BK34">
        <v>7.3</v>
      </c>
      <c r="BL34">
        <v>7.3</v>
      </c>
      <c r="BM34">
        <v>8.6999999999999993</v>
      </c>
      <c r="BN34">
        <v>7.5</v>
      </c>
      <c r="BO34">
        <v>7.7</v>
      </c>
      <c r="BP34">
        <v>7.8</v>
      </c>
    </row>
    <row r="35" spans="1:68" x14ac:dyDescent="0.35">
      <c r="A35" t="s">
        <v>563</v>
      </c>
      <c r="B35" t="s">
        <v>395</v>
      </c>
      <c r="C35" t="s">
        <v>745</v>
      </c>
      <c r="D35" t="s">
        <v>746</v>
      </c>
      <c r="BI35">
        <v>12.2</v>
      </c>
    </row>
    <row r="36" spans="1:68" x14ac:dyDescent="0.35">
      <c r="A36" t="s">
        <v>435</v>
      </c>
      <c r="B36" t="s">
        <v>129</v>
      </c>
      <c r="C36" t="s">
        <v>745</v>
      </c>
      <c r="D36" t="s">
        <v>746</v>
      </c>
    </row>
    <row r="37" spans="1:68" x14ac:dyDescent="0.35">
      <c r="A37" t="s">
        <v>572</v>
      </c>
      <c r="B37" t="s">
        <v>122</v>
      </c>
      <c r="C37" t="s">
        <v>745</v>
      </c>
      <c r="D37" t="s">
        <v>746</v>
      </c>
      <c r="AV37">
        <v>10</v>
      </c>
      <c r="AZ37">
        <v>10.8</v>
      </c>
      <c r="BE37">
        <v>10.8</v>
      </c>
      <c r="BJ37">
        <v>10.8</v>
      </c>
      <c r="BO37">
        <v>13.5</v>
      </c>
    </row>
    <row r="38" spans="1:68" x14ac:dyDescent="0.35">
      <c r="A38" t="s">
        <v>51</v>
      </c>
      <c r="B38" t="s">
        <v>402</v>
      </c>
      <c r="C38" t="s">
        <v>745</v>
      </c>
      <c r="D38" t="s">
        <v>746</v>
      </c>
      <c r="AD38">
        <v>6.9</v>
      </c>
      <c r="AL38">
        <v>6</v>
      </c>
      <c r="AU38">
        <v>5.3</v>
      </c>
      <c r="BB38">
        <v>6.6</v>
      </c>
      <c r="BH38">
        <v>6.7</v>
      </c>
    </row>
    <row r="39" spans="1:68" x14ac:dyDescent="0.35">
      <c r="A39" t="s">
        <v>188</v>
      </c>
      <c r="B39" t="s">
        <v>492</v>
      </c>
      <c r="C39" t="s">
        <v>745</v>
      </c>
      <c r="D39" t="s">
        <v>746</v>
      </c>
      <c r="AK39">
        <v>4.9000000000000004</v>
      </c>
      <c r="BA39">
        <v>7</v>
      </c>
      <c r="BN39">
        <v>9.6999999999999993</v>
      </c>
    </row>
    <row r="40" spans="1:68" x14ac:dyDescent="0.35">
      <c r="A40" t="s">
        <v>203</v>
      </c>
      <c r="B40" t="s">
        <v>564</v>
      </c>
      <c r="C40" t="s">
        <v>745</v>
      </c>
      <c r="D40" t="s">
        <v>746</v>
      </c>
      <c r="P40">
        <v>11.7</v>
      </c>
      <c r="R40">
        <v>12.3</v>
      </c>
      <c r="T40">
        <v>12.5</v>
      </c>
      <c r="V40">
        <v>12.5</v>
      </c>
      <c r="X40">
        <v>12.5</v>
      </c>
      <c r="Z40">
        <v>12.6</v>
      </c>
      <c r="AA40">
        <v>12.7</v>
      </c>
      <c r="AC40">
        <v>12.7</v>
      </c>
      <c r="AD40">
        <v>12.7</v>
      </c>
      <c r="AE40">
        <v>13.1</v>
      </c>
      <c r="AF40">
        <v>13</v>
      </c>
      <c r="AG40">
        <v>13.1</v>
      </c>
      <c r="AH40">
        <v>13.2</v>
      </c>
      <c r="AI40">
        <v>13.1</v>
      </c>
      <c r="AJ40">
        <v>13</v>
      </c>
      <c r="AK40">
        <v>13</v>
      </c>
      <c r="AL40">
        <v>13</v>
      </c>
      <c r="AM40">
        <v>13.1</v>
      </c>
      <c r="AN40">
        <v>13</v>
      </c>
      <c r="AO40">
        <v>12.6</v>
      </c>
      <c r="AP40">
        <v>12.5</v>
      </c>
      <c r="AQ40">
        <v>12.6</v>
      </c>
      <c r="AR40">
        <v>12.6</v>
      </c>
      <c r="AS40">
        <v>12.5</v>
      </c>
      <c r="AT40">
        <v>12.5</v>
      </c>
      <c r="AU40">
        <v>12.4</v>
      </c>
      <c r="AV40">
        <v>12.4</v>
      </c>
      <c r="AW40">
        <v>12.4</v>
      </c>
      <c r="AX40">
        <v>12.4</v>
      </c>
      <c r="AY40">
        <v>12.3</v>
      </c>
      <c r="AZ40">
        <v>12.4</v>
      </c>
      <c r="BA40">
        <v>12.4</v>
      </c>
      <c r="BB40">
        <v>12.3</v>
      </c>
      <c r="BC40">
        <v>12.5</v>
      </c>
      <c r="BD40">
        <v>12.7</v>
      </c>
      <c r="BE40">
        <v>12.4</v>
      </c>
      <c r="BF40">
        <v>12.4</v>
      </c>
      <c r="BG40">
        <v>12.5</v>
      </c>
      <c r="BH40">
        <v>12.5</v>
      </c>
      <c r="BI40">
        <v>12.6</v>
      </c>
      <c r="BJ40">
        <v>12.4</v>
      </c>
      <c r="BK40">
        <v>12.7</v>
      </c>
      <c r="BL40">
        <v>12.8</v>
      </c>
      <c r="BM40">
        <v>13.3</v>
      </c>
      <c r="BN40">
        <v>12.9</v>
      </c>
    </row>
    <row r="41" spans="1:68" x14ac:dyDescent="0.35">
      <c r="A41" t="s">
        <v>444</v>
      </c>
      <c r="B41" t="s">
        <v>239</v>
      </c>
      <c r="C41" t="s">
        <v>745</v>
      </c>
      <c r="D41" t="s">
        <v>746</v>
      </c>
    </row>
    <row r="42" spans="1:68" x14ac:dyDescent="0.35">
      <c r="A42" t="s">
        <v>191</v>
      </c>
      <c r="B42" t="s">
        <v>648</v>
      </c>
      <c r="C42" t="s">
        <v>745</v>
      </c>
      <c r="D42" t="s">
        <v>746</v>
      </c>
      <c r="AA42">
        <v>11.6</v>
      </c>
      <c r="AK42">
        <v>12.2</v>
      </c>
      <c r="AS42">
        <v>12.2</v>
      </c>
      <c r="AU42">
        <v>12.4</v>
      </c>
      <c r="AW42">
        <v>12.5</v>
      </c>
      <c r="AY42">
        <v>12</v>
      </c>
      <c r="AZ42">
        <v>12</v>
      </c>
      <c r="BA42">
        <v>12</v>
      </c>
      <c r="BB42">
        <v>12.3</v>
      </c>
      <c r="BC42">
        <v>12.5</v>
      </c>
      <c r="BD42">
        <v>12.6</v>
      </c>
      <c r="BE42">
        <v>12.7</v>
      </c>
      <c r="BF42">
        <v>12.4</v>
      </c>
      <c r="BG42">
        <v>12.5</v>
      </c>
      <c r="BH42">
        <v>12.5</v>
      </c>
      <c r="BI42">
        <v>12.4</v>
      </c>
      <c r="BJ42">
        <v>12.5</v>
      </c>
      <c r="BK42">
        <v>12.4</v>
      </c>
      <c r="BL42">
        <v>12.2</v>
      </c>
      <c r="BM42">
        <v>12.2</v>
      </c>
      <c r="BN42">
        <v>12.2</v>
      </c>
      <c r="BO42">
        <v>12.3</v>
      </c>
    </row>
    <row r="43" spans="1:68" x14ac:dyDescent="0.35">
      <c r="A43" t="s">
        <v>396</v>
      </c>
      <c r="B43" t="s">
        <v>320</v>
      </c>
      <c r="C43" t="s">
        <v>745</v>
      </c>
      <c r="D43" t="s">
        <v>746</v>
      </c>
    </row>
    <row r="44" spans="1:68" x14ac:dyDescent="0.35">
      <c r="A44" t="s">
        <v>167</v>
      </c>
      <c r="B44" t="s">
        <v>655</v>
      </c>
      <c r="C44" t="s">
        <v>745</v>
      </c>
      <c r="D44" t="s">
        <v>746</v>
      </c>
      <c r="AF44">
        <v>6.7</v>
      </c>
      <c r="AI44">
        <v>6.6</v>
      </c>
      <c r="AK44">
        <v>7.2</v>
      </c>
      <c r="AM44">
        <v>6.7</v>
      </c>
      <c r="AO44">
        <v>7.1</v>
      </c>
      <c r="AQ44">
        <v>6.9</v>
      </c>
      <c r="AS44">
        <v>7.7</v>
      </c>
      <c r="AV44">
        <v>7.9</v>
      </c>
      <c r="AY44">
        <v>8.8000000000000007</v>
      </c>
      <c r="BB44">
        <v>8.9</v>
      </c>
      <c r="BD44">
        <v>9.1</v>
      </c>
      <c r="BF44">
        <v>9</v>
      </c>
      <c r="BH44">
        <v>9.4</v>
      </c>
      <c r="BJ44">
        <v>9.4</v>
      </c>
      <c r="BM44">
        <v>9.1</v>
      </c>
      <c r="BO44">
        <v>9.9</v>
      </c>
    </row>
    <row r="45" spans="1:68" x14ac:dyDescent="0.35">
      <c r="A45" t="s">
        <v>506</v>
      </c>
      <c r="B45" t="s">
        <v>189</v>
      </c>
      <c r="C45" t="s">
        <v>745</v>
      </c>
      <c r="D45" t="s">
        <v>746</v>
      </c>
      <c r="Z45">
        <v>13.5</v>
      </c>
      <c r="AC45">
        <v>13.8</v>
      </c>
      <c r="AF45">
        <v>13.2</v>
      </c>
      <c r="AI45">
        <v>12.4</v>
      </c>
      <c r="AL45">
        <v>12</v>
      </c>
      <c r="AO45">
        <v>11.5</v>
      </c>
      <c r="AR45">
        <v>10.5</v>
      </c>
      <c r="AU45">
        <v>9.6</v>
      </c>
      <c r="AX45">
        <v>10</v>
      </c>
      <c r="BA45">
        <v>9.4</v>
      </c>
      <c r="BC45">
        <v>9.1999999999999993</v>
      </c>
      <c r="BD45">
        <v>9.6</v>
      </c>
      <c r="BE45">
        <v>9.6999999999999993</v>
      </c>
      <c r="BF45">
        <v>10.3</v>
      </c>
      <c r="BG45">
        <v>10.5</v>
      </c>
      <c r="BH45">
        <v>10.6</v>
      </c>
      <c r="BI45">
        <v>10.7</v>
      </c>
      <c r="BJ45">
        <v>10.5</v>
      </c>
      <c r="BK45">
        <v>10.7</v>
      </c>
      <c r="BL45">
        <v>10.7</v>
      </c>
      <c r="BM45">
        <v>11</v>
      </c>
      <c r="BN45">
        <v>11.4</v>
      </c>
      <c r="BO45">
        <v>11.4</v>
      </c>
    </row>
    <row r="46" spans="1:68" x14ac:dyDescent="0.35">
      <c r="A46" t="s">
        <v>688</v>
      </c>
      <c r="B46" t="s">
        <v>338</v>
      </c>
      <c r="C46" t="s">
        <v>745</v>
      </c>
      <c r="D46" t="s">
        <v>746</v>
      </c>
      <c r="AD46">
        <v>9.3000000000000007</v>
      </c>
      <c r="AE46">
        <v>10.9</v>
      </c>
      <c r="AF46">
        <v>10.4</v>
      </c>
      <c r="AG46">
        <v>11.3</v>
      </c>
      <c r="AK46">
        <v>10.6</v>
      </c>
      <c r="AN46">
        <v>10.199999999999999</v>
      </c>
      <c r="AQ46">
        <v>10.8</v>
      </c>
      <c r="AU46">
        <v>11.2</v>
      </c>
      <c r="BA46">
        <v>9.9</v>
      </c>
      <c r="BH46">
        <v>10.199999999999999</v>
      </c>
      <c r="BK46">
        <v>11</v>
      </c>
      <c r="BN46">
        <v>11.6</v>
      </c>
    </row>
    <row r="47" spans="1:68" x14ac:dyDescent="0.35">
      <c r="A47" t="s">
        <v>742</v>
      </c>
      <c r="B47" t="s">
        <v>79</v>
      </c>
      <c r="C47" t="s">
        <v>745</v>
      </c>
      <c r="D47" t="s">
        <v>746</v>
      </c>
      <c r="AO47">
        <v>9.6</v>
      </c>
      <c r="AT47">
        <v>10</v>
      </c>
      <c r="AZ47">
        <v>9.5</v>
      </c>
      <c r="BG47">
        <v>8.5</v>
      </c>
      <c r="BN47">
        <v>9.6</v>
      </c>
    </row>
    <row r="48" spans="1:68" x14ac:dyDescent="0.35">
      <c r="A48" t="s">
        <v>498</v>
      </c>
      <c r="B48" t="s">
        <v>230</v>
      </c>
      <c r="C48" t="s">
        <v>745</v>
      </c>
      <c r="D48" t="s">
        <v>746</v>
      </c>
      <c r="AW48">
        <v>9.9</v>
      </c>
      <c r="BE48">
        <v>10</v>
      </c>
      <c r="BM48">
        <v>9.6</v>
      </c>
    </row>
    <row r="49" spans="1:69" x14ac:dyDescent="0.35">
      <c r="A49" t="s">
        <v>394</v>
      </c>
      <c r="B49" t="s">
        <v>411</v>
      </c>
      <c r="C49" t="s">
        <v>745</v>
      </c>
      <c r="D49" t="s">
        <v>746</v>
      </c>
      <c r="AX49">
        <v>8.6</v>
      </c>
      <c r="BD49">
        <v>8.1999999999999993</v>
      </c>
    </row>
    <row r="50" spans="1:69" x14ac:dyDescent="0.35">
      <c r="A50" t="s">
        <v>559</v>
      </c>
      <c r="B50" t="s">
        <v>305</v>
      </c>
      <c r="C50" t="s">
        <v>745</v>
      </c>
      <c r="D50" t="s">
        <v>746</v>
      </c>
      <c r="Y50">
        <v>6.6</v>
      </c>
      <c r="AG50">
        <v>7.2</v>
      </c>
      <c r="AH50">
        <v>7.3</v>
      </c>
      <c r="AJ50">
        <v>7.6</v>
      </c>
      <c r="AK50">
        <v>8</v>
      </c>
      <c r="AO50">
        <v>7</v>
      </c>
      <c r="AR50">
        <v>6.5</v>
      </c>
      <c r="AS50">
        <v>6.7</v>
      </c>
      <c r="AT50">
        <v>6.9</v>
      </c>
      <c r="AU50">
        <v>6.8</v>
      </c>
      <c r="AV50">
        <v>7.5</v>
      </c>
      <c r="AW50">
        <v>7.1</v>
      </c>
      <c r="AX50">
        <v>7.3</v>
      </c>
      <c r="BA50">
        <v>6.9</v>
      </c>
      <c r="BB50">
        <v>7.1</v>
      </c>
      <c r="BC50">
        <v>7.1</v>
      </c>
      <c r="BD50">
        <v>7.3</v>
      </c>
      <c r="BE50">
        <v>7.5</v>
      </c>
      <c r="BF50">
        <v>7.5</v>
      </c>
      <c r="BG50">
        <v>7.6</v>
      </c>
      <c r="BH50">
        <v>7.9</v>
      </c>
      <c r="BI50">
        <v>8.1</v>
      </c>
      <c r="BJ50">
        <v>8.3000000000000007</v>
      </c>
      <c r="BK50">
        <v>8.1</v>
      </c>
      <c r="BL50">
        <v>7.9</v>
      </c>
      <c r="BM50">
        <v>7.5</v>
      </c>
      <c r="BN50">
        <v>7</v>
      </c>
      <c r="BO50">
        <v>7.1</v>
      </c>
      <c r="BP50">
        <v>7.2</v>
      </c>
    </row>
    <row r="51" spans="1:69" x14ac:dyDescent="0.35">
      <c r="A51" t="s">
        <v>362</v>
      </c>
      <c r="B51" t="s">
        <v>358</v>
      </c>
      <c r="C51" t="s">
        <v>745</v>
      </c>
      <c r="D51" t="s">
        <v>746</v>
      </c>
      <c r="AW51">
        <v>7.3</v>
      </c>
      <c r="BG51">
        <v>9.1</v>
      </c>
    </row>
    <row r="52" spans="1:69" x14ac:dyDescent="0.35">
      <c r="A52" t="s">
        <v>496</v>
      </c>
      <c r="B52" t="s">
        <v>568</v>
      </c>
      <c r="C52" t="s">
        <v>745</v>
      </c>
      <c r="D52" t="s">
        <v>746</v>
      </c>
      <c r="AT52">
        <v>7.6</v>
      </c>
      <c r="AZ52">
        <v>8.6999999999999993</v>
      </c>
      <c r="BH52">
        <v>9.6999999999999993</v>
      </c>
    </row>
    <row r="53" spans="1:69" x14ac:dyDescent="0.35">
      <c r="A53" t="s">
        <v>346</v>
      </c>
      <c r="B53" t="s">
        <v>11</v>
      </c>
      <c r="C53" t="s">
        <v>745</v>
      </c>
      <c r="D53" t="s">
        <v>746</v>
      </c>
      <c r="Z53">
        <v>8.3000000000000007</v>
      </c>
      <c r="AE53">
        <v>12.2</v>
      </c>
      <c r="AH53">
        <v>9.4</v>
      </c>
      <c r="AI53">
        <v>9.5</v>
      </c>
      <c r="AJ53">
        <v>9.1</v>
      </c>
      <c r="AK53">
        <v>9.4</v>
      </c>
      <c r="AL53">
        <v>9.1999999999999993</v>
      </c>
      <c r="AM53">
        <v>9.1</v>
      </c>
      <c r="AN53">
        <v>9.3000000000000007</v>
      </c>
      <c r="AO53">
        <v>9.1</v>
      </c>
      <c r="AP53">
        <v>9.1999999999999993</v>
      </c>
      <c r="AQ53">
        <v>9.1999999999999993</v>
      </c>
      <c r="AR53">
        <v>8.8000000000000007</v>
      </c>
      <c r="AS53">
        <v>8.9</v>
      </c>
      <c r="AT53">
        <v>7.8</v>
      </c>
      <c r="AU53">
        <v>7.8</v>
      </c>
      <c r="AV53">
        <v>8.1999999999999993</v>
      </c>
      <c r="AW53">
        <v>8.5</v>
      </c>
      <c r="AX53">
        <v>8.6999999999999993</v>
      </c>
      <c r="AY53">
        <v>8.3000000000000007</v>
      </c>
      <c r="AZ53">
        <v>8.4</v>
      </c>
      <c r="BA53">
        <v>8.5</v>
      </c>
      <c r="BB53">
        <v>8</v>
      </c>
      <c r="BC53">
        <v>8.5</v>
      </c>
      <c r="BD53">
        <v>8.1999999999999993</v>
      </c>
      <c r="BE53">
        <v>8.4</v>
      </c>
      <c r="BF53">
        <v>8.1999999999999993</v>
      </c>
      <c r="BG53">
        <v>8.3000000000000007</v>
      </c>
      <c r="BH53">
        <v>8.4</v>
      </c>
      <c r="BI53">
        <v>8.3000000000000007</v>
      </c>
      <c r="BJ53">
        <v>8.4</v>
      </c>
      <c r="BK53">
        <v>8.5</v>
      </c>
      <c r="BL53">
        <v>8.4</v>
      </c>
      <c r="BM53">
        <v>8.1</v>
      </c>
      <c r="BN53">
        <v>8.1999999999999993</v>
      </c>
      <c r="BO53">
        <v>8.6</v>
      </c>
      <c r="BP53">
        <v>8.6999999999999993</v>
      </c>
      <c r="BQ53">
        <v>8.8000000000000007</v>
      </c>
    </row>
    <row r="54" spans="1:69" x14ac:dyDescent="0.35">
      <c r="A54" t="s">
        <v>347</v>
      </c>
      <c r="B54" t="s">
        <v>300</v>
      </c>
      <c r="C54" t="s">
        <v>745</v>
      </c>
      <c r="D54" t="s">
        <v>746</v>
      </c>
    </row>
    <row r="55" spans="1:69" x14ac:dyDescent="0.35">
      <c r="A55" t="s">
        <v>99</v>
      </c>
      <c r="B55" t="s">
        <v>257</v>
      </c>
      <c r="C55" t="s">
        <v>745</v>
      </c>
      <c r="D55" t="s">
        <v>746</v>
      </c>
    </row>
    <row r="56" spans="1:69" x14ac:dyDescent="0.35">
      <c r="A56" t="s">
        <v>375</v>
      </c>
      <c r="B56" t="s">
        <v>100</v>
      </c>
      <c r="C56" t="s">
        <v>745</v>
      </c>
      <c r="D56" t="s">
        <v>746</v>
      </c>
    </row>
    <row r="57" spans="1:69" x14ac:dyDescent="0.35">
      <c r="A57" t="s">
        <v>482</v>
      </c>
      <c r="B57" t="s">
        <v>651</v>
      </c>
      <c r="C57" t="s">
        <v>745</v>
      </c>
      <c r="D57" t="s">
        <v>746</v>
      </c>
    </row>
    <row r="58" spans="1:69" x14ac:dyDescent="0.35">
      <c r="A58" t="s">
        <v>448</v>
      </c>
      <c r="B58" t="s">
        <v>258</v>
      </c>
      <c r="C58" t="s">
        <v>745</v>
      </c>
      <c r="D58" t="s">
        <v>746</v>
      </c>
      <c r="AW58">
        <v>13</v>
      </c>
      <c r="AX58">
        <v>12.9</v>
      </c>
      <c r="AY58">
        <v>12.8</v>
      </c>
      <c r="AZ58">
        <v>12.6</v>
      </c>
      <c r="BA58">
        <v>12.5</v>
      </c>
      <c r="BB58">
        <v>12.5</v>
      </c>
      <c r="BC58">
        <v>12.8</v>
      </c>
      <c r="BD58">
        <v>12.5</v>
      </c>
      <c r="BE58">
        <v>12.1</v>
      </c>
      <c r="BF58">
        <v>11.4</v>
      </c>
      <c r="BG58">
        <v>11.8</v>
      </c>
      <c r="BH58">
        <v>12.1</v>
      </c>
      <c r="BI58">
        <v>12.4</v>
      </c>
      <c r="BJ58">
        <v>12.9</v>
      </c>
      <c r="BK58">
        <v>12.5</v>
      </c>
      <c r="BL58">
        <v>12.8</v>
      </c>
      <c r="BM58">
        <v>12.8</v>
      </c>
      <c r="BN58">
        <v>12.8</v>
      </c>
      <c r="BO58">
        <v>12.7</v>
      </c>
      <c r="BP58">
        <v>12.7</v>
      </c>
    </row>
    <row r="59" spans="1:69" x14ac:dyDescent="0.35">
      <c r="A59" t="s">
        <v>354</v>
      </c>
      <c r="B59" t="s">
        <v>668</v>
      </c>
      <c r="C59" t="s">
        <v>745</v>
      </c>
      <c r="D59" t="s">
        <v>746</v>
      </c>
      <c r="AK59">
        <v>15.7</v>
      </c>
      <c r="AL59">
        <v>13.8</v>
      </c>
      <c r="AO59">
        <v>14.6</v>
      </c>
      <c r="AU59">
        <v>14.4</v>
      </c>
      <c r="AW59">
        <v>14.3</v>
      </c>
      <c r="AX59">
        <v>14.5</v>
      </c>
      <c r="AY59">
        <v>14.5</v>
      </c>
      <c r="AZ59">
        <v>14.6</v>
      </c>
      <c r="BA59">
        <v>14.6</v>
      </c>
      <c r="BB59">
        <v>14.6</v>
      </c>
      <c r="BC59">
        <v>14.5</v>
      </c>
      <c r="BD59">
        <v>14.6</v>
      </c>
      <c r="BE59">
        <v>14.5</v>
      </c>
      <c r="BF59">
        <v>14.5</v>
      </c>
      <c r="BG59">
        <v>14.6</v>
      </c>
      <c r="BH59">
        <v>14.7</v>
      </c>
      <c r="BI59">
        <v>14.7</v>
      </c>
      <c r="BJ59">
        <v>14.7</v>
      </c>
      <c r="BK59">
        <v>14.7</v>
      </c>
      <c r="BL59">
        <v>14.5</v>
      </c>
      <c r="BM59">
        <v>14.4</v>
      </c>
      <c r="BN59">
        <v>14.4</v>
      </c>
      <c r="BO59">
        <v>14.5</v>
      </c>
      <c r="BP59">
        <v>14.7</v>
      </c>
    </row>
    <row r="60" spans="1:69" x14ac:dyDescent="0.35">
      <c r="A60" t="s">
        <v>485</v>
      </c>
      <c r="B60" t="s">
        <v>488</v>
      </c>
      <c r="C60" t="s">
        <v>745</v>
      </c>
      <c r="D60" t="s">
        <v>746</v>
      </c>
      <c r="AJ60">
        <v>13.1</v>
      </c>
      <c r="AK60">
        <v>13.3</v>
      </c>
      <c r="AL60">
        <v>13.4</v>
      </c>
      <c r="AM60">
        <v>13.4</v>
      </c>
      <c r="AN60">
        <v>13.6</v>
      </c>
      <c r="AO60">
        <v>13.7</v>
      </c>
      <c r="AP60">
        <v>13.6</v>
      </c>
      <c r="AQ60">
        <v>13.6</v>
      </c>
      <c r="AR60">
        <v>13.5</v>
      </c>
      <c r="AS60">
        <v>13.5</v>
      </c>
      <c r="AT60">
        <v>13.2</v>
      </c>
      <c r="AU60">
        <v>13.2</v>
      </c>
      <c r="AV60">
        <v>13.4</v>
      </c>
      <c r="AW60">
        <v>13.2</v>
      </c>
      <c r="AX60">
        <v>12.8</v>
      </c>
      <c r="AY60">
        <v>13</v>
      </c>
      <c r="AZ60">
        <v>12.9</v>
      </c>
      <c r="BA60">
        <v>13</v>
      </c>
      <c r="BB60">
        <v>13.1</v>
      </c>
      <c r="BC60">
        <v>13.2</v>
      </c>
      <c r="BD60">
        <v>13.1</v>
      </c>
      <c r="BE60">
        <v>13</v>
      </c>
      <c r="BF60">
        <v>12.9</v>
      </c>
      <c r="BG60">
        <v>13.1</v>
      </c>
      <c r="BH60">
        <v>12.9</v>
      </c>
      <c r="BI60">
        <v>13</v>
      </c>
      <c r="BJ60">
        <v>13.1</v>
      </c>
      <c r="BK60">
        <v>12.9</v>
      </c>
      <c r="BL60">
        <v>13.1</v>
      </c>
      <c r="BM60">
        <v>12.8</v>
      </c>
    </row>
    <row r="61" spans="1:69" x14ac:dyDescent="0.35">
      <c r="A61" t="s">
        <v>22</v>
      </c>
      <c r="B61" t="s">
        <v>250</v>
      </c>
      <c r="C61" t="s">
        <v>745</v>
      </c>
      <c r="D61" t="s">
        <v>746</v>
      </c>
      <c r="AU61">
        <v>10.6</v>
      </c>
      <c r="BE61">
        <v>9.8000000000000007</v>
      </c>
      <c r="BF61">
        <v>9.6999999999999993</v>
      </c>
      <c r="BJ61">
        <v>10.4</v>
      </c>
    </row>
    <row r="62" spans="1:69" x14ac:dyDescent="0.35">
      <c r="A62" t="s">
        <v>690</v>
      </c>
      <c r="B62" t="s">
        <v>265</v>
      </c>
      <c r="C62" t="s">
        <v>745</v>
      </c>
      <c r="D62" t="s">
        <v>746</v>
      </c>
    </row>
    <row r="63" spans="1:69" x14ac:dyDescent="0.35">
      <c r="A63" t="s">
        <v>312</v>
      </c>
      <c r="B63" t="s">
        <v>531</v>
      </c>
      <c r="C63" t="s">
        <v>745</v>
      </c>
      <c r="D63" t="s">
        <v>746</v>
      </c>
      <c r="AF63">
        <v>14.4</v>
      </c>
      <c r="AK63">
        <v>14.9</v>
      </c>
      <c r="AN63">
        <v>15</v>
      </c>
      <c r="AS63">
        <v>14.7</v>
      </c>
      <c r="AV63">
        <v>14.3</v>
      </c>
      <c r="AW63">
        <v>14.5</v>
      </c>
      <c r="AX63">
        <v>14.6</v>
      </c>
      <c r="AY63">
        <v>14.3</v>
      </c>
      <c r="AZ63">
        <v>14.4</v>
      </c>
      <c r="BA63">
        <v>14.5</v>
      </c>
      <c r="BB63">
        <v>14.3</v>
      </c>
      <c r="BC63">
        <v>14.1</v>
      </c>
      <c r="BD63">
        <v>14</v>
      </c>
      <c r="BE63">
        <v>14</v>
      </c>
      <c r="BF63">
        <v>13.8</v>
      </c>
      <c r="BG63">
        <v>13.9</v>
      </c>
      <c r="BH63">
        <v>13.9</v>
      </c>
      <c r="BI63">
        <v>13.9</v>
      </c>
      <c r="BJ63">
        <v>13.7</v>
      </c>
      <c r="BK63">
        <v>13.8</v>
      </c>
      <c r="BL63">
        <v>14</v>
      </c>
      <c r="BM63">
        <v>14</v>
      </c>
      <c r="BN63">
        <v>13.9</v>
      </c>
      <c r="BO63">
        <v>13.6</v>
      </c>
      <c r="BP63">
        <v>13.5</v>
      </c>
    </row>
    <row r="64" spans="1:69" x14ac:dyDescent="0.35">
      <c r="A64" t="s">
        <v>422</v>
      </c>
      <c r="B64" t="s">
        <v>715</v>
      </c>
      <c r="C64" t="s">
        <v>745</v>
      </c>
      <c r="D64" t="s">
        <v>746</v>
      </c>
      <c r="AE64">
        <v>8.6</v>
      </c>
      <c r="AH64">
        <v>7.9</v>
      </c>
      <c r="AK64">
        <v>8.1</v>
      </c>
      <c r="AO64">
        <v>8.8000000000000007</v>
      </c>
      <c r="AP64">
        <v>8.5</v>
      </c>
      <c r="AS64">
        <v>7.7</v>
      </c>
      <c r="AT64">
        <v>8.1</v>
      </c>
      <c r="AU64">
        <v>8.3000000000000007</v>
      </c>
      <c r="AV64">
        <v>7.7</v>
      </c>
      <c r="AW64">
        <v>7.8</v>
      </c>
      <c r="AX64">
        <v>8.1</v>
      </c>
      <c r="AY64">
        <v>7.7</v>
      </c>
      <c r="AZ64">
        <v>8.4</v>
      </c>
      <c r="BA64">
        <v>8.6</v>
      </c>
      <c r="BB64">
        <v>8.4</v>
      </c>
      <c r="BC64">
        <v>8.5</v>
      </c>
      <c r="BD64">
        <v>8.6</v>
      </c>
      <c r="BE64">
        <v>9</v>
      </c>
      <c r="BF64">
        <v>8.6999999999999993</v>
      </c>
      <c r="BG64">
        <v>9.3000000000000007</v>
      </c>
      <c r="BH64">
        <v>9.3000000000000007</v>
      </c>
      <c r="BI64">
        <v>9.1</v>
      </c>
      <c r="BJ64">
        <v>10.199999999999999</v>
      </c>
      <c r="BK64">
        <v>9.8000000000000007</v>
      </c>
      <c r="BL64">
        <v>10.1</v>
      </c>
      <c r="BM64">
        <v>10.7</v>
      </c>
      <c r="BN64">
        <v>11.1</v>
      </c>
      <c r="BO64">
        <v>11.3</v>
      </c>
      <c r="BP64">
        <v>11</v>
      </c>
      <c r="BQ64">
        <v>10.7</v>
      </c>
    </row>
    <row r="65" spans="1:69" x14ac:dyDescent="0.35">
      <c r="A65" t="s">
        <v>689</v>
      </c>
      <c r="B65" t="s">
        <v>31</v>
      </c>
      <c r="C65" t="s">
        <v>745</v>
      </c>
      <c r="D65" t="s">
        <v>746</v>
      </c>
      <c r="AG65">
        <v>11.2</v>
      </c>
      <c r="AN65">
        <v>11.6</v>
      </c>
      <c r="BD65">
        <v>13.7</v>
      </c>
    </row>
    <row r="66" spans="1:69" x14ac:dyDescent="0.35">
      <c r="A66" t="s">
        <v>213</v>
      </c>
      <c r="B66" t="s">
        <v>241</v>
      </c>
      <c r="C66" t="s">
        <v>745</v>
      </c>
      <c r="D66" t="s">
        <v>746</v>
      </c>
    </row>
    <row r="67" spans="1:69" x14ac:dyDescent="0.35">
      <c r="A67" t="s">
        <v>693</v>
      </c>
      <c r="B67" t="s">
        <v>363</v>
      </c>
      <c r="C67" t="s">
        <v>745</v>
      </c>
      <c r="D67" t="s">
        <v>746</v>
      </c>
    </row>
    <row r="68" spans="1:69" x14ac:dyDescent="0.35">
      <c r="A68" t="s">
        <v>490</v>
      </c>
      <c r="B68" t="s">
        <v>586</v>
      </c>
      <c r="C68" t="s">
        <v>745</v>
      </c>
      <c r="D68" t="s">
        <v>746</v>
      </c>
    </row>
    <row r="69" spans="1:69" x14ac:dyDescent="0.35">
      <c r="A69" t="s">
        <v>279</v>
      </c>
      <c r="B69" t="s">
        <v>328</v>
      </c>
      <c r="C69" t="s">
        <v>745</v>
      </c>
      <c r="D69" t="s">
        <v>746</v>
      </c>
    </row>
    <row r="70" spans="1:69" x14ac:dyDescent="0.35">
      <c r="A70" t="s">
        <v>400</v>
      </c>
      <c r="B70" t="s">
        <v>585</v>
      </c>
      <c r="C70" t="s">
        <v>745</v>
      </c>
      <c r="D70" t="s">
        <v>746</v>
      </c>
    </row>
    <row r="71" spans="1:69" x14ac:dyDescent="0.35">
      <c r="A71" t="s">
        <v>251</v>
      </c>
      <c r="B71" t="s">
        <v>111</v>
      </c>
      <c r="C71" t="s">
        <v>745</v>
      </c>
      <c r="D71" t="s">
        <v>746</v>
      </c>
      <c r="AF71">
        <v>8.1</v>
      </c>
      <c r="AM71">
        <v>7.7</v>
      </c>
      <c r="AN71">
        <v>8.1999999999999993</v>
      </c>
      <c r="AQ71">
        <v>8.1</v>
      </c>
      <c r="AR71">
        <v>6.5</v>
      </c>
      <c r="AS71">
        <v>6.9</v>
      </c>
      <c r="AV71">
        <v>7.3</v>
      </c>
      <c r="AW71">
        <v>7.3</v>
      </c>
      <c r="AX71">
        <v>7.4</v>
      </c>
      <c r="AY71">
        <v>7.7</v>
      </c>
      <c r="AZ71">
        <v>7.4</v>
      </c>
      <c r="BA71">
        <v>8.1</v>
      </c>
      <c r="BB71">
        <v>8.5</v>
      </c>
      <c r="BC71">
        <v>8.4</v>
      </c>
      <c r="BD71">
        <v>9</v>
      </c>
      <c r="BE71">
        <v>9</v>
      </c>
      <c r="BF71">
        <v>8.6999999999999993</v>
      </c>
      <c r="BG71">
        <v>9.3000000000000007</v>
      </c>
      <c r="BH71">
        <v>9.1</v>
      </c>
      <c r="BI71">
        <v>9.4</v>
      </c>
      <c r="BJ71">
        <v>9.4</v>
      </c>
      <c r="BK71">
        <v>9.1999999999999993</v>
      </c>
      <c r="BL71">
        <v>9.1</v>
      </c>
      <c r="BM71">
        <v>8.9</v>
      </c>
      <c r="BN71">
        <v>9</v>
      </c>
      <c r="BO71">
        <v>9.1</v>
      </c>
      <c r="BP71">
        <v>9.3000000000000007</v>
      </c>
      <c r="BQ71">
        <v>9.1</v>
      </c>
    </row>
    <row r="72" spans="1:69" x14ac:dyDescent="0.35">
      <c r="A72" t="s">
        <v>263</v>
      </c>
      <c r="B72" t="s">
        <v>672</v>
      </c>
      <c r="C72" t="s">
        <v>745</v>
      </c>
      <c r="D72" t="s">
        <v>746</v>
      </c>
      <c r="AI72">
        <v>12.5</v>
      </c>
      <c r="AN72">
        <v>13</v>
      </c>
      <c r="AR72">
        <v>12.8</v>
      </c>
      <c r="AW72">
        <v>12.7</v>
      </c>
      <c r="BA72">
        <v>13</v>
      </c>
      <c r="BC72">
        <v>13.1</v>
      </c>
      <c r="BE72">
        <v>13.6</v>
      </c>
      <c r="BH72">
        <v>12.8</v>
      </c>
      <c r="BJ72">
        <v>12.8</v>
      </c>
      <c r="BL72">
        <v>12.8</v>
      </c>
      <c r="BN72">
        <v>13.5</v>
      </c>
    </row>
    <row r="73" spans="1:69" x14ac:dyDescent="0.35">
      <c r="A73" t="s">
        <v>144</v>
      </c>
      <c r="B73" t="s">
        <v>410</v>
      </c>
      <c r="C73" t="s">
        <v>745</v>
      </c>
      <c r="D73" t="s">
        <v>746</v>
      </c>
    </row>
    <row r="74" spans="1:69" x14ac:dyDescent="0.35">
      <c r="A74" t="s">
        <v>725</v>
      </c>
      <c r="B74" t="s">
        <v>172</v>
      </c>
      <c r="C74" t="s">
        <v>745</v>
      </c>
      <c r="D74" t="s">
        <v>746</v>
      </c>
    </row>
    <row r="75" spans="1:69" x14ac:dyDescent="0.35">
      <c r="A75" t="s">
        <v>82</v>
      </c>
      <c r="B75" t="s">
        <v>256</v>
      </c>
      <c r="C75" t="s">
        <v>745</v>
      </c>
      <c r="D75" t="s">
        <v>746</v>
      </c>
      <c r="Y75">
        <v>12.2</v>
      </c>
      <c r="AD75">
        <v>12.2</v>
      </c>
      <c r="AI75">
        <v>12.8</v>
      </c>
      <c r="AL75">
        <v>11.9</v>
      </c>
      <c r="AM75">
        <v>12</v>
      </c>
      <c r="AN75">
        <v>12</v>
      </c>
      <c r="AO75">
        <v>11.8</v>
      </c>
      <c r="AP75">
        <v>11.9</v>
      </c>
      <c r="AQ75">
        <v>12.2</v>
      </c>
      <c r="AR75">
        <v>12.4</v>
      </c>
      <c r="AS75">
        <v>12.3</v>
      </c>
      <c r="AV75">
        <v>13</v>
      </c>
      <c r="AW75">
        <v>12.5</v>
      </c>
      <c r="AX75">
        <v>12.8</v>
      </c>
      <c r="AY75">
        <v>12.5</v>
      </c>
      <c r="AZ75">
        <v>12.2</v>
      </c>
      <c r="BA75">
        <v>12.3</v>
      </c>
      <c r="BB75">
        <v>12.2</v>
      </c>
      <c r="BC75">
        <v>12</v>
      </c>
      <c r="BD75">
        <v>11.8</v>
      </c>
      <c r="BE75">
        <v>11.9</v>
      </c>
      <c r="BF75">
        <v>11.7</v>
      </c>
      <c r="BG75">
        <v>11.8</v>
      </c>
      <c r="BH75">
        <v>11.8</v>
      </c>
      <c r="BI75">
        <v>12</v>
      </c>
      <c r="BJ75">
        <v>12.2</v>
      </c>
      <c r="BK75">
        <v>12.2</v>
      </c>
      <c r="BL75">
        <v>12.3</v>
      </c>
      <c r="BM75">
        <v>12.1</v>
      </c>
      <c r="BN75">
        <v>12.3</v>
      </c>
      <c r="BO75">
        <v>12.5</v>
      </c>
      <c r="BP75">
        <v>12.6</v>
      </c>
    </row>
    <row r="76" spans="1:69" x14ac:dyDescent="0.35">
      <c r="A76" t="s">
        <v>516</v>
      </c>
      <c r="B76" t="s">
        <v>657</v>
      </c>
      <c r="C76" t="s">
        <v>745</v>
      </c>
      <c r="D76" t="s">
        <v>746</v>
      </c>
      <c r="AL76">
        <v>10.7</v>
      </c>
      <c r="AN76">
        <v>12.9</v>
      </c>
      <c r="AQ76">
        <v>11</v>
      </c>
      <c r="AS76">
        <v>11.7</v>
      </c>
      <c r="AT76">
        <v>11.6</v>
      </c>
      <c r="AU76">
        <v>11.7</v>
      </c>
      <c r="AV76">
        <v>11.9</v>
      </c>
      <c r="AW76">
        <v>12.8</v>
      </c>
      <c r="AX76">
        <v>12.7</v>
      </c>
      <c r="AY76">
        <v>12.6</v>
      </c>
      <c r="AZ76">
        <v>13</v>
      </c>
      <c r="BA76">
        <v>13</v>
      </c>
      <c r="BB76">
        <v>13.3</v>
      </c>
      <c r="BC76">
        <v>13.2</v>
      </c>
      <c r="BD76">
        <v>13</v>
      </c>
      <c r="BE76">
        <v>12.9</v>
      </c>
      <c r="BF76">
        <v>12.2</v>
      </c>
      <c r="BG76">
        <v>12.3</v>
      </c>
      <c r="BH76">
        <v>12.5</v>
      </c>
      <c r="BI76">
        <v>12.7</v>
      </c>
      <c r="BJ76">
        <v>12.8</v>
      </c>
      <c r="BK76">
        <v>12.8</v>
      </c>
      <c r="BL76">
        <v>12.9</v>
      </c>
      <c r="BM76">
        <v>13</v>
      </c>
      <c r="BN76">
        <v>12.3</v>
      </c>
      <c r="BO76">
        <v>12.4</v>
      </c>
      <c r="BP76">
        <v>13</v>
      </c>
    </row>
    <row r="77" spans="1:69" x14ac:dyDescent="0.35">
      <c r="A77" t="s">
        <v>159</v>
      </c>
      <c r="B77" t="s">
        <v>102</v>
      </c>
      <c r="C77" t="s">
        <v>745</v>
      </c>
      <c r="D77" t="s">
        <v>746</v>
      </c>
      <c r="AN77">
        <v>9.9</v>
      </c>
      <c r="AR77">
        <v>13.2</v>
      </c>
      <c r="AW77">
        <v>13</v>
      </c>
      <c r="BC77">
        <v>12.6</v>
      </c>
      <c r="BH77">
        <v>12.1</v>
      </c>
      <c r="BN77">
        <v>12.8</v>
      </c>
    </row>
    <row r="78" spans="1:69" x14ac:dyDescent="0.35">
      <c r="A78" t="s">
        <v>42</v>
      </c>
      <c r="B78" t="s">
        <v>704</v>
      </c>
      <c r="C78" t="s">
        <v>745</v>
      </c>
      <c r="D78" t="s">
        <v>746</v>
      </c>
    </row>
    <row r="79" spans="1:69" x14ac:dyDescent="0.35">
      <c r="A79" t="s">
        <v>222</v>
      </c>
      <c r="B79" t="s">
        <v>359</v>
      </c>
      <c r="C79" t="s">
        <v>745</v>
      </c>
      <c r="D79" t="s">
        <v>746</v>
      </c>
    </row>
    <row r="80" spans="1:69" x14ac:dyDescent="0.35">
      <c r="A80" t="s">
        <v>54</v>
      </c>
      <c r="B80" t="s">
        <v>27</v>
      </c>
      <c r="C80" t="s">
        <v>745</v>
      </c>
      <c r="D80" t="s">
        <v>746</v>
      </c>
      <c r="AF80">
        <v>15.2</v>
      </c>
      <c r="AJ80">
        <v>14.9</v>
      </c>
      <c r="AN80">
        <v>14.8</v>
      </c>
      <c r="AS80">
        <v>14</v>
      </c>
      <c r="AV80">
        <v>13.9</v>
      </c>
      <c r="AW80">
        <v>13.8</v>
      </c>
      <c r="AX80">
        <v>13.8</v>
      </c>
      <c r="AY80">
        <v>13.7</v>
      </c>
      <c r="AZ80">
        <v>13.7</v>
      </c>
      <c r="BA80">
        <v>13.8</v>
      </c>
      <c r="BB80">
        <v>13.9</v>
      </c>
      <c r="BC80">
        <v>13.8</v>
      </c>
      <c r="BD80">
        <v>13.9</v>
      </c>
      <c r="BE80">
        <v>14</v>
      </c>
      <c r="BF80">
        <v>14</v>
      </c>
      <c r="BG80">
        <v>14.1</v>
      </c>
      <c r="BH80">
        <v>14</v>
      </c>
      <c r="BI80">
        <v>14</v>
      </c>
      <c r="BJ80">
        <v>14</v>
      </c>
      <c r="BK80">
        <v>14</v>
      </c>
      <c r="BL80">
        <v>13.9</v>
      </c>
      <c r="BM80">
        <v>14</v>
      </c>
      <c r="BN80">
        <v>13.9</v>
      </c>
      <c r="BO80">
        <v>13.8</v>
      </c>
      <c r="BP80">
        <v>14</v>
      </c>
    </row>
    <row r="81" spans="1:69" x14ac:dyDescent="0.35">
      <c r="A81" t="s">
        <v>149</v>
      </c>
      <c r="B81" t="s">
        <v>392</v>
      </c>
      <c r="C81" t="s">
        <v>745</v>
      </c>
      <c r="D81" t="s">
        <v>746</v>
      </c>
      <c r="AU81">
        <v>11</v>
      </c>
      <c r="BA81">
        <v>10.8</v>
      </c>
      <c r="BF81">
        <v>11.3</v>
      </c>
      <c r="BL81">
        <v>12.9</v>
      </c>
    </row>
    <row r="82" spans="1:69" x14ac:dyDescent="0.35">
      <c r="A82" t="s">
        <v>381</v>
      </c>
      <c r="B82" t="s">
        <v>626</v>
      </c>
      <c r="C82" t="s">
        <v>745</v>
      </c>
      <c r="D82" t="s">
        <v>746</v>
      </c>
      <c r="O82">
        <v>11.1</v>
      </c>
      <c r="T82">
        <v>11.7</v>
      </c>
      <c r="X82">
        <v>12.2</v>
      </c>
      <c r="AC82">
        <v>12.4</v>
      </c>
      <c r="AI82">
        <v>12.6</v>
      </c>
      <c r="AO82">
        <v>12.7</v>
      </c>
      <c r="AP82">
        <v>12.8</v>
      </c>
      <c r="AQ82">
        <v>12.8</v>
      </c>
      <c r="AR82">
        <v>12.6</v>
      </c>
      <c r="AS82">
        <v>12.6</v>
      </c>
      <c r="AT82">
        <v>12.6</v>
      </c>
      <c r="AU82">
        <v>12.7</v>
      </c>
      <c r="AV82">
        <v>12.8</v>
      </c>
      <c r="AW82">
        <v>12.9</v>
      </c>
      <c r="AX82">
        <v>13.2</v>
      </c>
      <c r="AY82">
        <v>13.2</v>
      </c>
      <c r="AZ82">
        <v>12.7</v>
      </c>
      <c r="BA82">
        <v>12.6</v>
      </c>
      <c r="BB82">
        <v>12.7</v>
      </c>
      <c r="BC82">
        <v>12.4</v>
      </c>
      <c r="BD82">
        <v>12.5</v>
      </c>
      <c r="BE82">
        <v>12.6</v>
      </c>
      <c r="BF82">
        <v>12.7</v>
      </c>
      <c r="BG82">
        <v>12.7</v>
      </c>
      <c r="BH82">
        <v>12.8</v>
      </c>
      <c r="BI82">
        <v>12.9</v>
      </c>
      <c r="BJ82">
        <v>13</v>
      </c>
      <c r="BK82">
        <v>12.9</v>
      </c>
      <c r="BL82">
        <v>13.1</v>
      </c>
      <c r="BM82">
        <v>13.2</v>
      </c>
      <c r="BN82">
        <v>13.1</v>
      </c>
      <c r="BO82">
        <v>13.1</v>
      </c>
      <c r="BP82">
        <v>12.9</v>
      </c>
    </row>
    <row r="83" spans="1:69" x14ac:dyDescent="0.35">
      <c r="A83" t="s">
        <v>345</v>
      </c>
      <c r="B83" t="s">
        <v>473</v>
      </c>
      <c r="C83" t="s">
        <v>745</v>
      </c>
      <c r="D83" t="s">
        <v>746</v>
      </c>
    </row>
    <row r="84" spans="1:69" x14ac:dyDescent="0.35">
      <c r="A84" t="s">
        <v>389</v>
      </c>
      <c r="B84" t="s">
        <v>286</v>
      </c>
      <c r="C84" t="s">
        <v>745</v>
      </c>
      <c r="D84" t="s">
        <v>746</v>
      </c>
      <c r="AX84">
        <v>9.8000000000000007</v>
      </c>
      <c r="BF84">
        <v>10.7</v>
      </c>
    </row>
    <row r="85" spans="1:69" x14ac:dyDescent="0.35">
      <c r="A85" t="s">
        <v>501</v>
      </c>
      <c r="B85" t="s">
        <v>373</v>
      </c>
      <c r="C85" t="s">
        <v>745</v>
      </c>
      <c r="D85" t="s">
        <v>746</v>
      </c>
      <c r="AX85">
        <v>10.1</v>
      </c>
      <c r="BJ85">
        <v>10.8</v>
      </c>
    </row>
    <row r="86" spans="1:69" x14ac:dyDescent="0.35">
      <c r="A86" t="s">
        <v>669</v>
      </c>
      <c r="B86" t="s">
        <v>587</v>
      </c>
      <c r="C86" t="s">
        <v>745</v>
      </c>
      <c r="D86" t="s">
        <v>746</v>
      </c>
      <c r="M86">
        <v>13.7</v>
      </c>
      <c r="N86">
        <v>13.6</v>
      </c>
      <c r="O86">
        <v>13.5</v>
      </c>
      <c r="P86">
        <v>13.2</v>
      </c>
      <c r="Q86">
        <v>13.4</v>
      </c>
      <c r="R86">
        <v>13.2</v>
      </c>
      <c r="S86">
        <v>13.4</v>
      </c>
      <c r="T86">
        <v>13.6</v>
      </c>
      <c r="U86">
        <v>13.6</v>
      </c>
      <c r="V86">
        <v>13.7</v>
      </c>
      <c r="W86">
        <v>13.7</v>
      </c>
      <c r="X86">
        <v>13.6</v>
      </c>
      <c r="Y86">
        <v>13.6</v>
      </c>
      <c r="Z86">
        <v>13.2</v>
      </c>
      <c r="AA86">
        <v>13.1</v>
      </c>
      <c r="AB86">
        <v>13.1</v>
      </c>
      <c r="AC86">
        <v>13.4</v>
      </c>
      <c r="AD86">
        <v>12.9</v>
      </c>
      <c r="AE86">
        <v>12.6</v>
      </c>
      <c r="AF86">
        <v>12.2</v>
      </c>
      <c r="AG86">
        <v>12</v>
      </c>
      <c r="AH86">
        <v>12.2</v>
      </c>
      <c r="AI86">
        <v>11.6</v>
      </c>
      <c r="AJ86">
        <v>11.8</v>
      </c>
      <c r="AK86">
        <v>11.9</v>
      </c>
      <c r="AL86">
        <v>11.9</v>
      </c>
      <c r="AM86">
        <v>11.6</v>
      </c>
      <c r="AN86">
        <v>11.7</v>
      </c>
      <c r="AO86">
        <v>11.8</v>
      </c>
      <c r="AP86">
        <v>11.7</v>
      </c>
      <c r="AQ86">
        <v>11.5</v>
      </c>
      <c r="AR86">
        <v>11.5</v>
      </c>
      <c r="AS86">
        <v>11.1</v>
      </c>
      <c r="AT86">
        <v>11.5</v>
      </c>
      <c r="AU86">
        <v>12</v>
      </c>
      <c r="AV86">
        <v>12</v>
      </c>
      <c r="AW86">
        <v>12</v>
      </c>
      <c r="AX86">
        <v>11.8</v>
      </c>
      <c r="AY86">
        <v>11.8</v>
      </c>
      <c r="AZ86">
        <v>12</v>
      </c>
      <c r="BA86">
        <v>11.9</v>
      </c>
      <c r="BB86">
        <v>11.9</v>
      </c>
      <c r="BC86">
        <v>12.2</v>
      </c>
      <c r="BD86">
        <v>12.3</v>
      </c>
      <c r="BE86">
        <v>12.4</v>
      </c>
      <c r="BF86">
        <v>12.3</v>
      </c>
      <c r="BG86">
        <v>12.3</v>
      </c>
      <c r="BH86">
        <v>12.3</v>
      </c>
      <c r="BI86">
        <v>12.4</v>
      </c>
      <c r="BJ86">
        <v>12.5</v>
      </c>
      <c r="BK86">
        <v>12.2</v>
      </c>
      <c r="BL86">
        <v>12.5</v>
      </c>
      <c r="BM86">
        <v>12.4</v>
      </c>
      <c r="BN86">
        <v>12.5</v>
      </c>
    </row>
    <row r="87" spans="1:69" x14ac:dyDescent="0.35">
      <c r="A87" t="s">
        <v>620</v>
      </c>
      <c r="B87" t="s">
        <v>468</v>
      </c>
      <c r="C87" t="s">
        <v>745</v>
      </c>
      <c r="D87" t="s">
        <v>746</v>
      </c>
      <c r="AO87">
        <v>11.3</v>
      </c>
      <c r="AP87">
        <v>10.4</v>
      </c>
      <c r="AQ87">
        <v>10.5</v>
      </c>
      <c r="AR87">
        <v>10.6</v>
      </c>
      <c r="AS87">
        <v>10.6</v>
      </c>
      <c r="AT87">
        <v>10.9</v>
      </c>
      <c r="AU87">
        <v>11.3</v>
      </c>
      <c r="AV87">
        <v>11.4</v>
      </c>
      <c r="AW87">
        <v>11.5</v>
      </c>
      <c r="AX87">
        <v>11.2</v>
      </c>
      <c r="AY87">
        <v>11.4</v>
      </c>
      <c r="AZ87">
        <v>11.1</v>
      </c>
      <c r="BA87">
        <v>10.9</v>
      </c>
      <c r="BB87">
        <v>11</v>
      </c>
      <c r="BC87">
        <v>10.7</v>
      </c>
      <c r="BD87">
        <v>10.8</v>
      </c>
      <c r="BE87">
        <v>10.8</v>
      </c>
      <c r="BF87">
        <v>10.8</v>
      </c>
      <c r="BG87">
        <v>11.2</v>
      </c>
      <c r="BH87">
        <v>11.3</v>
      </c>
      <c r="BI87">
        <v>11.5</v>
      </c>
      <c r="BJ87">
        <v>11.1</v>
      </c>
      <c r="BK87">
        <v>11.5</v>
      </c>
      <c r="BL87">
        <v>11.7</v>
      </c>
      <c r="BM87">
        <v>12</v>
      </c>
      <c r="BN87">
        <v>12.1</v>
      </c>
      <c r="BO87">
        <v>12.3</v>
      </c>
      <c r="BP87">
        <v>12</v>
      </c>
      <c r="BQ87">
        <v>12.2</v>
      </c>
    </row>
    <row r="88" spans="1:69" x14ac:dyDescent="0.35">
      <c r="A88" t="s">
        <v>170</v>
      </c>
      <c r="B88" t="s">
        <v>551</v>
      </c>
      <c r="C88" t="s">
        <v>745</v>
      </c>
      <c r="D88" t="s">
        <v>746</v>
      </c>
      <c r="AF88">
        <v>11.7</v>
      </c>
      <c r="AG88">
        <v>11.5</v>
      </c>
      <c r="AJ88">
        <v>10.9</v>
      </c>
      <c r="AQ88">
        <v>10.3</v>
      </c>
      <c r="AX88">
        <v>9.9</v>
      </c>
      <c r="BE88">
        <v>9.8000000000000007</v>
      </c>
      <c r="BI88">
        <v>9.6</v>
      </c>
    </row>
    <row r="89" spans="1:69" x14ac:dyDescent="0.35">
      <c r="A89" t="s">
        <v>132</v>
      </c>
      <c r="B89" t="s">
        <v>683</v>
      </c>
      <c r="C89" t="s">
        <v>745</v>
      </c>
      <c r="D89" t="s">
        <v>746</v>
      </c>
    </row>
    <row r="90" spans="1:69" x14ac:dyDescent="0.35">
      <c r="A90" t="s">
        <v>576</v>
      </c>
      <c r="B90" t="s">
        <v>571</v>
      </c>
      <c r="C90" t="s">
        <v>745</v>
      </c>
      <c r="D90" t="s">
        <v>746</v>
      </c>
      <c r="AJ90">
        <v>8.1999999999999993</v>
      </c>
      <c r="AM90">
        <v>8.8000000000000007</v>
      </c>
      <c r="AU90">
        <v>9.8000000000000007</v>
      </c>
      <c r="AZ90">
        <v>10.7</v>
      </c>
      <c r="BE90">
        <v>12.2</v>
      </c>
      <c r="BK90">
        <v>13.1</v>
      </c>
    </row>
    <row r="91" spans="1:69" x14ac:dyDescent="0.35">
      <c r="A91" t="s">
        <v>26</v>
      </c>
      <c r="B91" t="s">
        <v>86</v>
      </c>
      <c r="C91" t="s">
        <v>745</v>
      </c>
      <c r="D91" t="s">
        <v>746</v>
      </c>
      <c r="AQ91">
        <v>8.6</v>
      </c>
      <c r="AV91">
        <v>8.6999999999999993</v>
      </c>
      <c r="BC91">
        <v>9.8000000000000007</v>
      </c>
      <c r="BH91">
        <v>11.6</v>
      </c>
      <c r="BM91">
        <v>10.9</v>
      </c>
    </row>
    <row r="92" spans="1:69" x14ac:dyDescent="0.35">
      <c r="A92" t="s">
        <v>581</v>
      </c>
      <c r="B92" t="s">
        <v>163</v>
      </c>
      <c r="C92" t="s">
        <v>745</v>
      </c>
      <c r="D92" t="s">
        <v>746</v>
      </c>
      <c r="AJ92">
        <v>6.6</v>
      </c>
      <c r="AL92">
        <v>9.5</v>
      </c>
      <c r="AU92">
        <v>11.8</v>
      </c>
      <c r="BC92">
        <v>8.3000000000000007</v>
      </c>
      <c r="BK92">
        <v>11.6</v>
      </c>
      <c r="BN92">
        <v>11.9</v>
      </c>
    </row>
    <row r="93" spans="1:69" x14ac:dyDescent="0.35">
      <c r="A93" t="s">
        <v>645</v>
      </c>
      <c r="B93" t="s">
        <v>234</v>
      </c>
      <c r="C93" t="s">
        <v>745</v>
      </c>
      <c r="D93" t="s">
        <v>746</v>
      </c>
      <c r="BO93">
        <v>10.6</v>
      </c>
    </row>
    <row r="94" spans="1:69" x14ac:dyDescent="0.35">
      <c r="A94" t="s">
        <v>691</v>
      </c>
      <c r="B94" t="s">
        <v>545</v>
      </c>
      <c r="C94" t="s">
        <v>745</v>
      </c>
      <c r="D94" t="s">
        <v>746</v>
      </c>
      <c r="AN94">
        <v>11.6</v>
      </c>
      <c r="AS94">
        <v>12</v>
      </c>
      <c r="AU94">
        <v>11.8</v>
      </c>
      <c r="AV94">
        <v>12.4</v>
      </c>
      <c r="AW94">
        <v>12.3</v>
      </c>
      <c r="AX94">
        <v>12</v>
      </c>
      <c r="AY94">
        <v>11.9</v>
      </c>
      <c r="AZ94">
        <v>12.3</v>
      </c>
      <c r="BA94">
        <v>12.5</v>
      </c>
      <c r="BB94">
        <v>12.5</v>
      </c>
      <c r="BC94">
        <v>12.3</v>
      </c>
      <c r="BD94">
        <v>12.2</v>
      </c>
      <c r="BE94">
        <v>11.7</v>
      </c>
      <c r="BF94">
        <v>11.8</v>
      </c>
      <c r="BG94">
        <v>11.9</v>
      </c>
      <c r="BH94">
        <v>11.8</v>
      </c>
      <c r="BI94">
        <v>12.2</v>
      </c>
      <c r="BJ94">
        <v>12.3</v>
      </c>
      <c r="BK94">
        <v>12.4</v>
      </c>
      <c r="BL94">
        <v>12.6</v>
      </c>
      <c r="BM94">
        <v>12.5</v>
      </c>
      <c r="BN94">
        <v>12.5</v>
      </c>
      <c r="BO94">
        <v>12.5</v>
      </c>
      <c r="BP94">
        <v>12.6</v>
      </c>
    </row>
    <row r="95" spans="1:69" x14ac:dyDescent="0.35">
      <c r="A95" t="s">
        <v>76</v>
      </c>
      <c r="B95" t="s">
        <v>599</v>
      </c>
      <c r="C95" t="s">
        <v>745</v>
      </c>
      <c r="D95" t="s">
        <v>746</v>
      </c>
      <c r="BK95">
        <v>9.6999999999999993</v>
      </c>
    </row>
    <row r="96" spans="1:69" x14ac:dyDescent="0.35">
      <c r="A96" t="s">
        <v>526</v>
      </c>
      <c r="B96" t="s">
        <v>663</v>
      </c>
      <c r="C96" t="s">
        <v>745</v>
      </c>
      <c r="D96" t="s">
        <v>746</v>
      </c>
    </row>
    <row r="97" spans="1:69" x14ac:dyDescent="0.35">
      <c r="A97" t="s">
        <v>268</v>
      </c>
      <c r="B97" t="s">
        <v>140</v>
      </c>
      <c r="C97" t="s">
        <v>745</v>
      </c>
      <c r="D97" t="s">
        <v>746</v>
      </c>
      <c r="AE97">
        <v>6.8</v>
      </c>
      <c r="AH97">
        <v>5.8</v>
      </c>
      <c r="AQ97">
        <v>7.9</v>
      </c>
      <c r="AS97">
        <v>7.4</v>
      </c>
      <c r="AY97">
        <v>7</v>
      </c>
      <c r="BG97">
        <v>8.6</v>
      </c>
      <c r="BP97">
        <v>9.3000000000000007</v>
      </c>
    </row>
    <row r="98" spans="1:69" x14ac:dyDescent="0.35">
      <c r="A98" t="s">
        <v>735</v>
      </c>
      <c r="B98" t="s">
        <v>41</v>
      </c>
      <c r="C98" t="s">
        <v>745</v>
      </c>
      <c r="D98" t="s">
        <v>746</v>
      </c>
    </row>
    <row r="99" spans="1:69" x14ac:dyDescent="0.35">
      <c r="A99" t="s">
        <v>365</v>
      </c>
      <c r="B99" t="s">
        <v>533</v>
      </c>
      <c r="C99" t="s">
        <v>745</v>
      </c>
      <c r="D99" t="s">
        <v>746</v>
      </c>
      <c r="AK99">
        <v>10.5</v>
      </c>
      <c r="AQ99">
        <v>9.8000000000000007</v>
      </c>
    </row>
    <row r="100" spans="1:69" x14ac:dyDescent="0.35">
      <c r="A100" t="s">
        <v>353</v>
      </c>
      <c r="B100" t="s">
        <v>534</v>
      </c>
      <c r="C100" t="s">
        <v>745</v>
      </c>
      <c r="D100" t="s">
        <v>746</v>
      </c>
    </row>
    <row r="101" spans="1:69" x14ac:dyDescent="0.35">
      <c r="A101" t="s">
        <v>274</v>
      </c>
      <c r="B101" t="s">
        <v>342</v>
      </c>
      <c r="C101" t="s">
        <v>745</v>
      </c>
      <c r="D101" t="s">
        <v>746</v>
      </c>
    </row>
    <row r="102" spans="1:69" x14ac:dyDescent="0.35">
      <c r="A102" t="s">
        <v>552</v>
      </c>
      <c r="B102" t="s">
        <v>65</v>
      </c>
      <c r="C102" t="s">
        <v>745</v>
      </c>
      <c r="D102" t="s">
        <v>746</v>
      </c>
      <c r="AH102">
        <v>6.5</v>
      </c>
      <c r="AI102">
        <v>6.5</v>
      </c>
      <c r="AJ102">
        <v>7.7</v>
      </c>
      <c r="AK102">
        <v>7.8</v>
      </c>
      <c r="AL102">
        <v>7.4</v>
      </c>
      <c r="AM102">
        <v>7</v>
      </c>
      <c r="AN102">
        <v>6.8</v>
      </c>
      <c r="AO102">
        <v>6.8</v>
      </c>
      <c r="AP102">
        <v>7.4</v>
      </c>
      <c r="AQ102">
        <v>6.4</v>
      </c>
      <c r="AR102">
        <v>6.8</v>
      </c>
      <c r="AT102">
        <v>6.4</v>
      </c>
      <c r="AU102">
        <v>6.5</v>
      </c>
      <c r="AV102">
        <v>5.9</v>
      </c>
      <c r="AW102">
        <v>5.9</v>
      </c>
      <c r="AX102">
        <v>5.6</v>
      </c>
      <c r="AY102">
        <v>6</v>
      </c>
      <c r="AZ102">
        <v>6.5</v>
      </c>
      <c r="BA102">
        <v>6.7</v>
      </c>
      <c r="BB102">
        <v>7.5</v>
      </c>
      <c r="BC102">
        <v>7.1</v>
      </c>
      <c r="BD102">
        <v>7.3</v>
      </c>
      <c r="BE102">
        <v>7</v>
      </c>
      <c r="BF102">
        <v>7.8</v>
      </c>
      <c r="BG102">
        <v>7.7</v>
      </c>
      <c r="BH102">
        <v>7.9</v>
      </c>
      <c r="BI102">
        <v>7.7</v>
      </c>
      <c r="BJ102">
        <v>8</v>
      </c>
      <c r="BK102">
        <v>8</v>
      </c>
      <c r="BL102">
        <v>8</v>
      </c>
      <c r="BP102">
        <v>8.5</v>
      </c>
      <c r="BQ102">
        <v>9</v>
      </c>
    </row>
    <row r="103" spans="1:69" x14ac:dyDescent="0.35">
      <c r="A103" t="s">
        <v>684</v>
      </c>
      <c r="B103" t="s">
        <v>160</v>
      </c>
      <c r="C103" t="s">
        <v>745</v>
      </c>
      <c r="D103" t="s">
        <v>746</v>
      </c>
    </row>
    <row r="104" spans="1:69" x14ac:dyDescent="0.35">
      <c r="A104" t="s">
        <v>521</v>
      </c>
      <c r="B104" t="s">
        <v>625</v>
      </c>
      <c r="C104" t="s">
        <v>745</v>
      </c>
      <c r="D104" t="s">
        <v>746</v>
      </c>
      <c r="AG104">
        <v>15.2</v>
      </c>
      <c r="AQ104">
        <v>13.4</v>
      </c>
      <c r="AR104">
        <v>13.8</v>
      </c>
      <c r="AS104">
        <v>12.7</v>
      </c>
      <c r="AT104">
        <v>12.7</v>
      </c>
      <c r="AW104">
        <v>13.2</v>
      </c>
      <c r="BA104">
        <v>12.4</v>
      </c>
      <c r="BB104">
        <v>12.7</v>
      </c>
      <c r="BC104">
        <v>12.9</v>
      </c>
      <c r="BD104">
        <v>12.7</v>
      </c>
      <c r="BE104">
        <v>12.7</v>
      </c>
      <c r="BF104">
        <v>12.8</v>
      </c>
      <c r="BG104">
        <v>12.8</v>
      </c>
      <c r="BH104">
        <v>13.1</v>
      </c>
      <c r="BI104">
        <v>13.2</v>
      </c>
      <c r="BJ104">
        <v>13.3</v>
      </c>
      <c r="BK104">
        <v>13.5</v>
      </c>
      <c r="BL104">
        <v>13.7</v>
      </c>
      <c r="BM104">
        <v>13.4</v>
      </c>
      <c r="BN104">
        <v>13.6</v>
      </c>
      <c r="BO104">
        <v>13.4</v>
      </c>
      <c r="BP104">
        <v>13.4</v>
      </c>
    </row>
    <row r="105" spans="1:69" x14ac:dyDescent="0.35">
      <c r="A105" t="s">
        <v>5</v>
      </c>
      <c r="B105" t="s">
        <v>93</v>
      </c>
      <c r="C105" t="s">
        <v>745</v>
      </c>
      <c r="D105" t="s">
        <v>746</v>
      </c>
      <c r="AT105">
        <v>6.1</v>
      </c>
      <c r="BE105">
        <v>10.3</v>
      </c>
    </row>
    <row r="106" spans="1:69" x14ac:dyDescent="0.35">
      <c r="A106" t="s">
        <v>53</v>
      </c>
      <c r="B106" t="s">
        <v>637</v>
      </c>
      <c r="C106" t="s">
        <v>745</v>
      </c>
      <c r="D106" t="s">
        <v>746</v>
      </c>
      <c r="AF106">
        <v>15.4</v>
      </c>
      <c r="AH106">
        <v>14.2</v>
      </c>
      <c r="AJ106">
        <v>14.2</v>
      </c>
      <c r="AL106">
        <v>13.7</v>
      </c>
      <c r="AM106">
        <v>12.8</v>
      </c>
      <c r="AQ106">
        <v>14</v>
      </c>
      <c r="AR106">
        <v>13.3</v>
      </c>
      <c r="AS106">
        <v>13.9</v>
      </c>
      <c r="AT106">
        <v>14</v>
      </c>
      <c r="AU106">
        <v>13.9</v>
      </c>
      <c r="AV106">
        <v>12.9</v>
      </c>
      <c r="AW106">
        <v>13.5</v>
      </c>
      <c r="AX106">
        <v>12.5</v>
      </c>
      <c r="AY106">
        <v>13.8</v>
      </c>
      <c r="AZ106">
        <v>13.8</v>
      </c>
      <c r="BA106">
        <v>13.9</v>
      </c>
      <c r="BB106">
        <v>14.1</v>
      </c>
      <c r="BC106">
        <v>13.4</v>
      </c>
      <c r="BD106">
        <v>13.8</v>
      </c>
      <c r="BE106">
        <v>13.3</v>
      </c>
      <c r="BF106">
        <v>13</v>
      </c>
      <c r="BG106">
        <v>13.2</v>
      </c>
      <c r="BH106">
        <v>13.3</v>
      </c>
      <c r="BI106">
        <v>13.2</v>
      </c>
      <c r="BJ106">
        <v>13.2</v>
      </c>
    </row>
    <row r="107" spans="1:69" x14ac:dyDescent="0.35">
      <c r="A107" t="s">
        <v>716</v>
      </c>
      <c r="B107" t="s">
        <v>145</v>
      </c>
      <c r="C107" t="s">
        <v>745</v>
      </c>
      <c r="D107" t="s">
        <v>746</v>
      </c>
    </row>
    <row r="108" spans="1:69" x14ac:dyDescent="0.35">
      <c r="A108" t="s">
        <v>80</v>
      </c>
      <c r="B108" t="s">
        <v>278</v>
      </c>
      <c r="C108" t="s">
        <v>745</v>
      </c>
      <c r="D108" t="s">
        <v>746</v>
      </c>
    </row>
    <row r="109" spans="1:69" x14ac:dyDescent="0.35">
      <c r="A109" t="s">
        <v>737</v>
      </c>
      <c r="B109" t="s">
        <v>549</v>
      </c>
      <c r="C109" t="s">
        <v>745</v>
      </c>
      <c r="D109" t="s">
        <v>746</v>
      </c>
    </row>
    <row r="110" spans="1:69" x14ac:dyDescent="0.35">
      <c r="A110" t="s">
        <v>503</v>
      </c>
      <c r="B110" t="s">
        <v>1</v>
      </c>
      <c r="C110" t="s">
        <v>745</v>
      </c>
      <c r="D110" t="s">
        <v>746</v>
      </c>
    </row>
    <row r="111" spans="1:69" x14ac:dyDescent="0.35">
      <c r="A111" t="s">
        <v>472</v>
      </c>
      <c r="B111" t="s">
        <v>479</v>
      </c>
      <c r="C111" t="s">
        <v>745</v>
      </c>
      <c r="D111" t="s">
        <v>746</v>
      </c>
      <c r="AC111">
        <v>12.4</v>
      </c>
      <c r="AF111">
        <v>12.9</v>
      </c>
      <c r="AI111">
        <v>12.7</v>
      </c>
      <c r="AL111">
        <v>12.6</v>
      </c>
      <c r="AO111">
        <v>12</v>
      </c>
      <c r="AQ111">
        <v>12.9</v>
      </c>
      <c r="AR111">
        <v>13</v>
      </c>
      <c r="AS111">
        <v>13</v>
      </c>
      <c r="AT111">
        <v>12.8</v>
      </c>
      <c r="AU111">
        <v>13</v>
      </c>
      <c r="AV111">
        <v>13.2</v>
      </c>
      <c r="AW111">
        <v>12.9</v>
      </c>
      <c r="AX111">
        <v>13.1</v>
      </c>
      <c r="AY111">
        <v>12.7</v>
      </c>
      <c r="AZ111">
        <v>12.2</v>
      </c>
      <c r="BA111">
        <v>12.3</v>
      </c>
      <c r="BB111">
        <v>12.2</v>
      </c>
      <c r="BC111">
        <v>11.6</v>
      </c>
      <c r="BD111">
        <v>10.9</v>
      </c>
      <c r="BE111">
        <v>11.1</v>
      </c>
      <c r="BF111">
        <v>10.6</v>
      </c>
      <c r="BG111">
        <v>10.6</v>
      </c>
      <c r="BH111">
        <v>11</v>
      </c>
      <c r="BI111">
        <v>11.1</v>
      </c>
      <c r="BJ111">
        <v>11.2</v>
      </c>
      <c r="BK111">
        <v>11.3</v>
      </c>
      <c r="BL111">
        <v>11.5</v>
      </c>
      <c r="BM111">
        <v>11.5</v>
      </c>
      <c r="BN111">
        <v>11.6</v>
      </c>
      <c r="BO111">
        <v>11.7</v>
      </c>
      <c r="BP111">
        <v>11.6</v>
      </c>
      <c r="BQ111">
        <v>11.8</v>
      </c>
    </row>
    <row r="112" spans="1:69" x14ac:dyDescent="0.35">
      <c r="A112" t="s">
        <v>731</v>
      </c>
      <c r="B112" t="s">
        <v>675</v>
      </c>
      <c r="C112" t="s">
        <v>745</v>
      </c>
      <c r="D112" t="s">
        <v>746</v>
      </c>
    </row>
    <row r="113" spans="1:68" x14ac:dyDescent="0.35">
      <c r="A113" t="s">
        <v>303</v>
      </c>
      <c r="B113" t="s">
        <v>117</v>
      </c>
      <c r="C113" t="s">
        <v>745</v>
      </c>
      <c r="D113" t="s">
        <v>746</v>
      </c>
    </row>
    <row r="114" spans="1:68" x14ac:dyDescent="0.35">
      <c r="A114" t="s">
        <v>208</v>
      </c>
      <c r="B114" t="s">
        <v>596</v>
      </c>
      <c r="C114" t="s">
        <v>745</v>
      </c>
      <c r="D114" t="s">
        <v>746</v>
      </c>
      <c r="V114">
        <v>13.3</v>
      </c>
      <c r="AB114">
        <v>13.8</v>
      </c>
      <c r="AF114">
        <v>13.7</v>
      </c>
      <c r="AL114">
        <v>14.1</v>
      </c>
      <c r="AW114">
        <v>13.6</v>
      </c>
      <c r="BB114">
        <v>13.7</v>
      </c>
      <c r="BD114">
        <v>13.4</v>
      </c>
      <c r="BO114">
        <v>14.2</v>
      </c>
    </row>
    <row r="115" spans="1:68" x14ac:dyDescent="0.35">
      <c r="A115" t="s">
        <v>520</v>
      </c>
      <c r="B115" t="s">
        <v>376</v>
      </c>
      <c r="C115" t="s">
        <v>745</v>
      </c>
      <c r="D115" t="s">
        <v>746</v>
      </c>
    </row>
    <row r="116" spans="1:68" x14ac:dyDescent="0.35">
      <c r="A116" t="s">
        <v>106</v>
      </c>
      <c r="B116" t="s">
        <v>58</v>
      </c>
      <c r="C116" t="s">
        <v>745</v>
      </c>
      <c r="D116" t="s">
        <v>746</v>
      </c>
      <c r="AF116">
        <v>11.7</v>
      </c>
      <c r="AM116">
        <v>11.5</v>
      </c>
      <c r="AN116">
        <v>11.6</v>
      </c>
      <c r="AO116">
        <v>11.9</v>
      </c>
      <c r="AS116">
        <v>12.5</v>
      </c>
      <c r="AU116">
        <v>12.8</v>
      </c>
      <c r="AV116">
        <v>12.5</v>
      </c>
      <c r="AW116">
        <v>12.4</v>
      </c>
      <c r="AX116">
        <v>12.4</v>
      </c>
      <c r="AY116">
        <v>12.4</v>
      </c>
      <c r="AZ116">
        <v>12.8</v>
      </c>
      <c r="BA116">
        <v>13</v>
      </c>
      <c r="BB116">
        <v>12.6</v>
      </c>
      <c r="BC116">
        <v>12.7</v>
      </c>
      <c r="BD116">
        <v>12.7</v>
      </c>
      <c r="BE116">
        <v>12.5</v>
      </c>
      <c r="BF116">
        <v>12.5</v>
      </c>
      <c r="BG116">
        <v>12.8</v>
      </c>
      <c r="BH116">
        <v>12.9</v>
      </c>
      <c r="BI116">
        <v>12.6</v>
      </c>
      <c r="BJ116">
        <v>13</v>
      </c>
      <c r="BK116">
        <v>13.1</v>
      </c>
      <c r="BL116">
        <v>13.1</v>
      </c>
      <c r="BM116">
        <v>13.3</v>
      </c>
      <c r="BN116">
        <v>13.3</v>
      </c>
      <c r="BO116">
        <v>13.2</v>
      </c>
      <c r="BP116">
        <v>13.4</v>
      </c>
    </row>
    <row r="117" spans="1:68" x14ac:dyDescent="0.35">
      <c r="A117" t="s">
        <v>420</v>
      </c>
      <c r="B117" t="s">
        <v>182</v>
      </c>
      <c r="C117" t="s">
        <v>745</v>
      </c>
      <c r="D117" t="s">
        <v>746</v>
      </c>
      <c r="AE117">
        <v>8.6</v>
      </c>
      <c r="AI117">
        <v>9.6</v>
      </c>
      <c r="AM117">
        <v>9.6999999999999993</v>
      </c>
      <c r="AQ117">
        <v>9.3000000000000007</v>
      </c>
      <c r="AX117">
        <v>9.6</v>
      </c>
      <c r="AY117">
        <v>9.1</v>
      </c>
      <c r="BB117">
        <v>9.8000000000000007</v>
      </c>
      <c r="BD117">
        <v>11.8</v>
      </c>
      <c r="BE117">
        <v>11.9</v>
      </c>
      <c r="BF117">
        <v>12</v>
      </c>
      <c r="BG117">
        <v>12</v>
      </c>
      <c r="BH117">
        <v>11.8</v>
      </c>
      <c r="BI117">
        <v>11.6</v>
      </c>
      <c r="BJ117">
        <v>11.3</v>
      </c>
      <c r="BK117">
        <v>11.2</v>
      </c>
      <c r="BL117">
        <v>11.4</v>
      </c>
      <c r="BM117">
        <v>11.6</v>
      </c>
      <c r="BN117">
        <v>11.7</v>
      </c>
      <c r="BO117">
        <v>11.9</v>
      </c>
      <c r="BP117">
        <v>11.7</v>
      </c>
    </row>
    <row r="118" spans="1:68" x14ac:dyDescent="0.35">
      <c r="A118" t="s">
        <v>0</v>
      </c>
      <c r="B118" t="s">
        <v>539</v>
      </c>
      <c r="C118" t="s">
        <v>745</v>
      </c>
      <c r="D118" t="s">
        <v>746</v>
      </c>
      <c r="AY118">
        <v>13.4</v>
      </c>
      <c r="BE118">
        <v>13.1</v>
      </c>
      <c r="BP118">
        <v>13.1</v>
      </c>
    </row>
    <row r="119" spans="1:68" x14ac:dyDescent="0.35">
      <c r="A119" t="s">
        <v>29</v>
      </c>
      <c r="B119" t="s">
        <v>146</v>
      </c>
      <c r="C119" t="s">
        <v>745</v>
      </c>
      <c r="D119" t="s">
        <v>746</v>
      </c>
      <c r="AV119">
        <v>14.3</v>
      </c>
      <c r="AW119">
        <v>14</v>
      </c>
      <c r="AX119">
        <v>13.6</v>
      </c>
      <c r="AY119">
        <v>13.4</v>
      </c>
      <c r="AZ119">
        <v>13.6</v>
      </c>
      <c r="BA119">
        <v>13</v>
      </c>
      <c r="BB119">
        <v>13.8</v>
      </c>
      <c r="BC119">
        <v>14.4</v>
      </c>
      <c r="BD119">
        <v>14.1</v>
      </c>
      <c r="BE119">
        <v>14.2</v>
      </c>
      <c r="BF119">
        <v>14.4</v>
      </c>
      <c r="BG119">
        <v>13.8</v>
      </c>
      <c r="BH119">
        <v>14.2</v>
      </c>
      <c r="BI119">
        <v>14.1</v>
      </c>
      <c r="BJ119">
        <v>14.2</v>
      </c>
      <c r="BK119">
        <v>14.2</v>
      </c>
      <c r="BL119">
        <v>14.3</v>
      </c>
    </row>
    <row r="120" spans="1:68" x14ac:dyDescent="0.35">
      <c r="A120" t="s">
        <v>486</v>
      </c>
      <c r="B120" t="s">
        <v>671</v>
      </c>
      <c r="C120" t="s">
        <v>745</v>
      </c>
      <c r="D120" t="s">
        <v>746</v>
      </c>
      <c r="X120">
        <v>11.1</v>
      </c>
      <c r="AE120">
        <v>11.1</v>
      </c>
      <c r="AK120">
        <v>11.5</v>
      </c>
      <c r="AP120">
        <v>10.8</v>
      </c>
      <c r="AT120">
        <v>10.5</v>
      </c>
      <c r="AU120">
        <v>10.4</v>
      </c>
      <c r="AV120">
        <v>10.1</v>
      </c>
      <c r="AW120">
        <v>9.9</v>
      </c>
      <c r="AX120">
        <v>9.8000000000000007</v>
      </c>
      <c r="AY120">
        <v>9.9</v>
      </c>
      <c r="AZ120">
        <v>10</v>
      </c>
      <c r="BA120">
        <v>9.9</v>
      </c>
      <c r="BB120">
        <v>9.6</v>
      </c>
      <c r="BC120">
        <v>9.6999999999999993</v>
      </c>
      <c r="BD120">
        <v>9.8000000000000007</v>
      </c>
      <c r="BE120">
        <v>10</v>
      </c>
      <c r="BF120">
        <v>10.6</v>
      </c>
      <c r="BG120">
        <v>10.5</v>
      </c>
      <c r="BH120">
        <v>10.7</v>
      </c>
      <c r="BI120">
        <v>10.7</v>
      </c>
      <c r="BJ120">
        <v>11</v>
      </c>
      <c r="BK120">
        <v>10.9</v>
      </c>
      <c r="BL120">
        <v>11.1</v>
      </c>
      <c r="BM120">
        <v>11.1</v>
      </c>
      <c r="BN120">
        <v>11</v>
      </c>
    </row>
    <row r="121" spans="1:68" x14ac:dyDescent="0.35">
      <c r="A121" t="s">
        <v>175</v>
      </c>
      <c r="B121" t="s">
        <v>565</v>
      </c>
      <c r="C121" t="s">
        <v>745</v>
      </c>
      <c r="D121" t="s">
        <v>746</v>
      </c>
      <c r="V121">
        <v>12.2</v>
      </c>
      <c r="W121">
        <v>12.4</v>
      </c>
      <c r="X121">
        <v>12.4</v>
      </c>
      <c r="Y121">
        <v>12.3</v>
      </c>
      <c r="Z121">
        <v>12.8</v>
      </c>
      <c r="AA121">
        <v>13.3</v>
      </c>
      <c r="AB121">
        <v>13.2</v>
      </c>
      <c r="AC121">
        <v>12.8</v>
      </c>
      <c r="AE121">
        <v>12.9</v>
      </c>
      <c r="AF121">
        <v>12.2</v>
      </c>
      <c r="AH121">
        <v>12.5</v>
      </c>
      <c r="AJ121">
        <v>13</v>
      </c>
      <c r="AL121">
        <v>12.1</v>
      </c>
      <c r="AN121">
        <v>12</v>
      </c>
      <c r="AQ121">
        <v>12</v>
      </c>
      <c r="AS121">
        <v>12.2</v>
      </c>
      <c r="AU121">
        <v>12.3</v>
      </c>
      <c r="AV121">
        <v>12.1</v>
      </c>
      <c r="AW121">
        <v>12.3</v>
      </c>
      <c r="AX121">
        <v>12.4</v>
      </c>
      <c r="AY121">
        <v>12.4</v>
      </c>
      <c r="AZ121">
        <v>12.6</v>
      </c>
      <c r="BA121">
        <v>12.4</v>
      </c>
      <c r="BB121">
        <v>12.4</v>
      </c>
      <c r="BC121">
        <v>12.5</v>
      </c>
      <c r="BD121">
        <v>12.2</v>
      </c>
      <c r="BE121">
        <v>12.3</v>
      </c>
      <c r="BF121">
        <v>12.3</v>
      </c>
      <c r="BG121">
        <v>12.3</v>
      </c>
      <c r="BH121">
        <v>12.1</v>
      </c>
      <c r="BI121">
        <v>12.1</v>
      </c>
      <c r="BJ121">
        <v>12</v>
      </c>
      <c r="BK121">
        <v>12.2</v>
      </c>
      <c r="BL121">
        <v>12.3</v>
      </c>
      <c r="BM121">
        <v>12.1</v>
      </c>
      <c r="BN121">
        <v>12.1</v>
      </c>
      <c r="BO121">
        <v>12.3</v>
      </c>
      <c r="BP121">
        <v>12.3</v>
      </c>
    </row>
    <row r="122" spans="1:68" x14ac:dyDescent="0.35">
      <c r="A122" t="s">
        <v>127</v>
      </c>
      <c r="B122" t="s">
        <v>702</v>
      </c>
      <c r="C122" t="s">
        <v>745</v>
      </c>
      <c r="D122" t="s">
        <v>746</v>
      </c>
      <c r="AG122">
        <v>9.8000000000000007</v>
      </c>
      <c r="AI122">
        <v>10.199999999999999</v>
      </c>
      <c r="AL122">
        <v>11.7</v>
      </c>
      <c r="AO122">
        <v>10.5</v>
      </c>
      <c r="AR122">
        <v>9.8000000000000007</v>
      </c>
      <c r="AU122">
        <v>8.4</v>
      </c>
      <c r="AW122">
        <v>9.1999999999999993</v>
      </c>
      <c r="BK122">
        <v>11.7</v>
      </c>
      <c r="BN122">
        <v>10.3</v>
      </c>
    </row>
    <row r="123" spans="1:68" x14ac:dyDescent="0.35">
      <c r="A123" t="s">
        <v>575</v>
      </c>
      <c r="B123" t="s">
        <v>311</v>
      </c>
      <c r="C123" t="s">
        <v>745</v>
      </c>
      <c r="D123" t="s">
        <v>746</v>
      </c>
      <c r="AE123">
        <v>11.2</v>
      </c>
      <c r="AK123">
        <v>9.6999999999999993</v>
      </c>
      <c r="AP123">
        <v>11.4</v>
      </c>
      <c r="AU123">
        <v>11.3</v>
      </c>
      <c r="AY123">
        <v>12.2</v>
      </c>
      <c r="BA123">
        <v>12.4</v>
      </c>
      <c r="BC123">
        <v>12.1</v>
      </c>
    </row>
    <row r="124" spans="1:68" x14ac:dyDescent="0.35">
      <c r="A124" t="s">
        <v>734</v>
      </c>
      <c r="B124" t="s">
        <v>566</v>
      </c>
      <c r="C124" t="s">
        <v>745</v>
      </c>
      <c r="D124" t="s">
        <v>746</v>
      </c>
      <c r="BA124">
        <v>12.6</v>
      </c>
      <c r="BB124">
        <v>12.9</v>
      </c>
      <c r="BC124">
        <v>13.1</v>
      </c>
      <c r="BD124">
        <v>12.7</v>
      </c>
      <c r="BE124">
        <v>12.8</v>
      </c>
      <c r="BF124">
        <v>13.3</v>
      </c>
      <c r="BG124">
        <v>13.1</v>
      </c>
      <c r="BH124">
        <v>13.2</v>
      </c>
      <c r="BI124">
        <v>13</v>
      </c>
      <c r="BJ124">
        <v>13</v>
      </c>
      <c r="BK124">
        <v>13</v>
      </c>
      <c r="BL124">
        <v>13</v>
      </c>
      <c r="BM124">
        <v>13.1</v>
      </c>
    </row>
    <row r="125" spans="1:68" x14ac:dyDescent="0.35">
      <c r="A125" t="s">
        <v>84</v>
      </c>
      <c r="B125" t="s">
        <v>292</v>
      </c>
      <c r="C125" t="s">
        <v>745</v>
      </c>
      <c r="D125" t="s">
        <v>746</v>
      </c>
      <c r="AL125">
        <v>12.3</v>
      </c>
      <c r="AO125">
        <v>11.5</v>
      </c>
      <c r="AT125">
        <v>11.4</v>
      </c>
      <c r="AU125">
        <v>11.7</v>
      </c>
      <c r="AV125">
        <v>11.9</v>
      </c>
      <c r="AW125">
        <v>12.5</v>
      </c>
      <c r="AX125">
        <v>10.3</v>
      </c>
      <c r="AY125">
        <v>13.1</v>
      </c>
      <c r="AZ125">
        <v>13</v>
      </c>
      <c r="BA125">
        <v>13.4</v>
      </c>
      <c r="BB125">
        <v>13.4</v>
      </c>
      <c r="BC125">
        <v>13.5</v>
      </c>
      <c r="BD125">
        <v>13.4</v>
      </c>
      <c r="BE125">
        <v>13.3</v>
      </c>
      <c r="BF125">
        <v>13.6</v>
      </c>
      <c r="BG125">
        <v>13.7</v>
      </c>
      <c r="BH125">
        <v>13.7</v>
      </c>
      <c r="BI125">
        <v>13.6</v>
      </c>
      <c r="BJ125">
        <v>13.6</v>
      </c>
      <c r="BK125">
        <v>13.5</v>
      </c>
      <c r="BL125">
        <v>13.4</v>
      </c>
      <c r="BM125">
        <v>13.2</v>
      </c>
      <c r="BN125">
        <v>13.1</v>
      </c>
    </row>
    <row r="126" spans="1:68" x14ac:dyDescent="0.35">
      <c r="A126" t="s">
        <v>739</v>
      </c>
      <c r="B126" t="s">
        <v>696</v>
      </c>
      <c r="C126" t="s">
        <v>745</v>
      </c>
      <c r="D126" t="s">
        <v>746</v>
      </c>
      <c r="AK126">
        <v>6.8</v>
      </c>
      <c r="AM126">
        <v>10</v>
      </c>
      <c r="AP126">
        <v>9.4</v>
      </c>
      <c r="AX126">
        <v>9.1</v>
      </c>
      <c r="BH126">
        <v>10.3</v>
      </c>
      <c r="BM126">
        <v>11.4</v>
      </c>
      <c r="BN126">
        <v>11</v>
      </c>
      <c r="BO126">
        <v>11.1</v>
      </c>
    </row>
    <row r="127" spans="1:68" x14ac:dyDescent="0.35">
      <c r="A127" t="s">
        <v>470</v>
      </c>
      <c r="B127" t="s">
        <v>423</v>
      </c>
      <c r="C127" t="s">
        <v>745</v>
      </c>
      <c r="D127" t="s">
        <v>746</v>
      </c>
      <c r="AQ127">
        <v>8.9</v>
      </c>
      <c r="AS127">
        <v>12.7</v>
      </c>
      <c r="AT127">
        <v>12.8</v>
      </c>
      <c r="AU127">
        <v>12.9</v>
      </c>
      <c r="AV127">
        <v>13.3</v>
      </c>
      <c r="AW127">
        <v>11.6</v>
      </c>
      <c r="AX127">
        <v>12.3</v>
      </c>
      <c r="AY127">
        <v>10.9</v>
      </c>
      <c r="AZ127">
        <v>12</v>
      </c>
      <c r="BA127">
        <v>12.6</v>
      </c>
      <c r="BB127">
        <v>13</v>
      </c>
      <c r="BC127">
        <v>13.3</v>
      </c>
      <c r="BD127">
        <v>13.5</v>
      </c>
      <c r="BE127">
        <v>13.9</v>
      </c>
      <c r="BF127">
        <v>13.3</v>
      </c>
      <c r="BG127">
        <v>13.8</v>
      </c>
      <c r="BH127">
        <v>13.4</v>
      </c>
      <c r="BI127">
        <v>13.9</v>
      </c>
      <c r="BJ127">
        <v>13.7</v>
      </c>
      <c r="BK127">
        <v>13.5</v>
      </c>
      <c r="BL127">
        <v>13.2</v>
      </c>
      <c r="BM127">
        <v>13.1</v>
      </c>
      <c r="BN127">
        <v>13.3</v>
      </c>
      <c r="BO127">
        <v>13.8</v>
      </c>
      <c r="BP127">
        <v>13.7</v>
      </c>
    </row>
    <row r="128" spans="1:68" x14ac:dyDescent="0.35">
      <c r="A128" t="s">
        <v>674</v>
      </c>
      <c r="B128" t="s">
        <v>709</v>
      </c>
      <c r="C128" t="s">
        <v>745</v>
      </c>
      <c r="D128" t="s">
        <v>746</v>
      </c>
    </row>
    <row r="129" spans="1:67" x14ac:dyDescent="0.35">
      <c r="A129" t="s">
        <v>635</v>
      </c>
      <c r="B129" t="s">
        <v>527</v>
      </c>
      <c r="C129" t="s">
        <v>745</v>
      </c>
      <c r="D129" t="s">
        <v>746</v>
      </c>
      <c r="AY129">
        <v>11.6</v>
      </c>
      <c r="BL129">
        <v>13.5</v>
      </c>
    </row>
    <row r="130" spans="1:67" x14ac:dyDescent="0.35">
      <c r="A130" t="s">
        <v>168</v>
      </c>
      <c r="B130" t="s">
        <v>393</v>
      </c>
      <c r="C130" t="s">
        <v>745</v>
      </c>
      <c r="D130" t="s">
        <v>746</v>
      </c>
    </row>
    <row r="131" spans="1:67" x14ac:dyDescent="0.35">
      <c r="A131" t="s">
        <v>197</v>
      </c>
      <c r="B131" t="s">
        <v>667</v>
      </c>
      <c r="C131" t="s">
        <v>745</v>
      </c>
      <c r="D131" t="s">
        <v>746</v>
      </c>
      <c r="AY131">
        <v>13</v>
      </c>
      <c r="BA131">
        <v>12.8</v>
      </c>
      <c r="BC131">
        <v>13</v>
      </c>
      <c r="BE131">
        <v>13.1</v>
      </c>
      <c r="BG131">
        <v>13.2</v>
      </c>
      <c r="BI131">
        <v>12</v>
      </c>
      <c r="BJ131">
        <v>12</v>
      </c>
      <c r="BK131">
        <v>12.2</v>
      </c>
      <c r="BL131">
        <v>12.4</v>
      </c>
      <c r="BM131">
        <v>12.5</v>
      </c>
      <c r="BN131">
        <v>12.4</v>
      </c>
    </row>
    <row r="132" spans="1:67" x14ac:dyDescent="0.35">
      <c r="A132" t="s">
        <v>724</v>
      </c>
      <c r="B132" t="s">
        <v>509</v>
      </c>
      <c r="C132" t="s">
        <v>745</v>
      </c>
      <c r="D132" t="s">
        <v>746</v>
      </c>
    </row>
    <row r="133" spans="1:67" x14ac:dyDescent="0.35">
      <c r="A133" t="s">
        <v>287</v>
      </c>
      <c r="B133" t="s">
        <v>522</v>
      </c>
      <c r="C133" t="s">
        <v>745</v>
      </c>
      <c r="D133" t="s">
        <v>746</v>
      </c>
    </row>
    <row r="134" spans="1:67" x14ac:dyDescent="0.35">
      <c r="A134" t="s">
        <v>574</v>
      </c>
      <c r="B134" t="s">
        <v>245</v>
      </c>
      <c r="C134" t="s">
        <v>745</v>
      </c>
      <c r="D134" t="s">
        <v>746</v>
      </c>
      <c r="AK134">
        <v>11.9</v>
      </c>
      <c r="AP134">
        <v>12</v>
      </c>
      <c r="AU134">
        <v>12.4</v>
      </c>
      <c r="AZ134">
        <v>11.8</v>
      </c>
      <c r="BE134">
        <v>11.6</v>
      </c>
      <c r="BK134">
        <v>10.8</v>
      </c>
    </row>
    <row r="135" spans="1:67" x14ac:dyDescent="0.35">
      <c r="A135" t="s">
        <v>446</v>
      </c>
      <c r="B135" t="s">
        <v>264</v>
      </c>
      <c r="C135" t="s">
        <v>745</v>
      </c>
      <c r="D135" t="s">
        <v>746</v>
      </c>
      <c r="BD135">
        <v>12.7</v>
      </c>
      <c r="BO135">
        <v>11.1</v>
      </c>
    </row>
    <row r="136" spans="1:67" x14ac:dyDescent="0.35">
      <c r="A136" t="s">
        <v>248</v>
      </c>
      <c r="B136" t="s">
        <v>662</v>
      </c>
      <c r="C136" t="s">
        <v>745</v>
      </c>
      <c r="D136" t="s">
        <v>746</v>
      </c>
      <c r="AZ136">
        <v>11.8</v>
      </c>
      <c r="BG136">
        <v>12.1</v>
      </c>
      <c r="BI136">
        <v>11.6</v>
      </c>
    </row>
    <row r="137" spans="1:67" x14ac:dyDescent="0.35">
      <c r="A137" t="s">
        <v>555</v>
      </c>
      <c r="B137" t="s">
        <v>666</v>
      </c>
      <c r="C137" t="s">
        <v>745</v>
      </c>
      <c r="D137" t="s">
        <v>746</v>
      </c>
    </row>
    <row r="138" spans="1:67" x14ac:dyDescent="0.35">
      <c r="A138" t="s">
        <v>515</v>
      </c>
      <c r="B138" t="s">
        <v>383</v>
      </c>
      <c r="C138" t="s">
        <v>745</v>
      </c>
      <c r="D138" t="s">
        <v>746</v>
      </c>
      <c r="AN138">
        <v>9.9</v>
      </c>
      <c r="BH138">
        <v>9.6</v>
      </c>
    </row>
    <row r="139" spans="1:67" x14ac:dyDescent="0.35">
      <c r="A139" t="s">
        <v>605</v>
      </c>
      <c r="B139" t="s">
        <v>178</v>
      </c>
      <c r="C139" t="s">
        <v>745</v>
      </c>
      <c r="D139" t="s">
        <v>746</v>
      </c>
    </row>
    <row r="140" spans="1:67" x14ac:dyDescent="0.35">
      <c r="A140" t="s">
        <v>284</v>
      </c>
      <c r="B140" t="s">
        <v>589</v>
      </c>
      <c r="C140" t="s">
        <v>745</v>
      </c>
      <c r="D140" t="s">
        <v>746</v>
      </c>
    </row>
    <row r="141" spans="1:67" x14ac:dyDescent="0.35">
      <c r="A141" t="s">
        <v>649</v>
      </c>
      <c r="B141" t="s">
        <v>70</v>
      </c>
      <c r="C141" t="s">
        <v>745</v>
      </c>
      <c r="D141" t="s">
        <v>746</v>
      </c>
    </row>
    <row r="142" spans="1:67" x14ac:dyDescent="0.35">
      <c r="A142" t="s">
        <v>615</v>
      </c>
      <c r="B142" t="s">
        <v>356</v>
      </c>
      <c r="C142" t="s">
        <v>745</v>
      </c>
      <c r="D142" t="s">
        <v>746</v>
      </c>
    </row>
    <row r="143" spans="1:67" x14ac:dyDescent="0.35">
      <c r="A143" t="s">
        <v>3</v>
      </c>
      <c r="B143" t="s">
        <v>687</v>
      </c>
      <c r="C143" t="s">
        <v>745</v>
      </c>
      <c r="D143" t="s">
        <v>746</v>
      </c>
      <c r="AD143">
        <v>12.4</v>
      </c>
      <c r="AI143">
        <v>12.5</v>
      </c>
      <c r="AN143">
        <v>11.7</v>
      </c>
      <c r="AU143">
        <v>10.5</v>
      </c>
      <c r="AY143">
        <v>10.7</v>
      </c>
      <c r="BB143">
        <v>11.6</v>
      </c>
      <c r="BE143">
        <v>11</v>
      </c>
      <c r="BI143">
        <v>10.8</v>
      </c>
      <c r="BL143">
        <v>11.1</v>
      </c>
    </row>
    <row r="144" spans="1:67" x14ac:dyDescent="0.35">
      <c r="A144" t="s">
        <v>374</v>
      </c>
      <c r="B144" t="s">
        <v>225</v>
      </c>
      <c r="C144" t="s">
        <v>745</v>
      </c>
      <c r="D144" t="s">
        <v>746</v>
      </c>
    </row>
    <row r="145" spans="1:68" x14ac:dyDescent="0.35">
      <c r="A145" t="s">
        <v>329</v>
      </c>
      <c r="B145" t="s">
        <v>306</v>
      </c>
      <c r="C145" t="s">
        <v>745</v>
      </c>
      <c r="D145" t="s">
        <v>746</v>
      </c>
    </row>
    <row r="146" spans="1:68" x14ac:dyDescent="0.35">
      <c r="A146" t="s">
        <v>502</v>
      </c>
      <c r="B146" t="s">
        <v>259</v>
      </c>
      <c r="C146" t="s">
        <v>745</v>
      </c>
      <c r="D146" t="s">
        <v>746</v>
      </c>
      <c r="AE146">
        <v>6.4</v>
      </c>
      <c r="AM146">
        <v>4.3</v>
      </c>
      <c r="AU146">
        <v>7.5</v>
      </c>
      <c r="BJ146">
        <v>8.9</v>
      </c>
    </row>
    <row r="147" spans="1:68" x14ac:dyDescent="0.35">
      <c r="A147" t="s">
        <v>416</v>
      </c>
      <c r="B147" t="s">
        <v>722</v>
      </c>
      <c r="C147" t="s">
        <v>745</v>
      </c>
      <c r="D147" t="s">
        <v>746</v>
      </c>
    </row>
    <row r="148" spans="1:68" x14ac:dyDescent="0.35">
      <c r="A148" t="s">
        <v>424</v>
      </c>
      <c r="B148" t="s">
        <v>114</v>
      </c>
      <c r="C148" t="s">
        <v>745</v>
      </c>
      <c r="D148" t="s">
        <v>746</v>
      </c>
      <c r="AL148">
        <v>12.4</v>
      </c>
      <c r="AO148">
        <v>12.6</v>
      </c>
      <c r="AQ148">
        <v>12.7</v>
      </c>
      <c r="AR148">
        <v>12.7</v>
      </c>
      <c r="AS148">
        <v>12.7</v>
      </c>
      <c r="AT148">
        <v>12.6</v>
      </c>
      <c r="AU148">
        <v>12.6</v>
      </c>
      <c r="AV148">
        <v>11.7</v>
      </c>
      <c r="AW148">
        <v>11.9</v>
      </c>
      <c r="AX148">
        <v>12.5</v>
      </c>
      <c r="AY148">
        <v>12.5</v>
      </c>
      <c r="AZ148">
        <v>12.4</v>
      </c>
      <c r="BA148">
        <v>12.2</v>
      </c>
      <c r="BB148">
        <v>11.8</v>
      </c>
      <c r="BC148">
        <v>12.5</v>
      </c>
      <c r="BD148">
        <v>12.8</v>
      </c>
      <c r="BE148">
        <v>12.3</v>
      </c>
      <c r="BF148">
        <v>12</v>
      </c>
      <c r="BG148">
        <v>11.6</v>
      </c>
      <c r="BH148">
        <v>11.6</v>
      </c>
      <c r="BI148">
        <v>11.4</v>
      </c>
      <c r="BJ148">
        <v>11.6</v>
      </c>
      <c r="BK148">
        <v>12</v>
      </c>
      <c r="BL148">
        <v>12</v>
      </c>
      <c r="BM148">
        <v>11.9</v>
      </c>
      <c r="BN148">
        <v>11.7</v>
      </c>
      <c r="BO148">
        <v>11.8</v>
      </c>
      <c r="BP148">
        <v>11.9</v>
      </c>
    </row>
    <row r="149" spans="1:68" x14ac:dyDescent="0.35">
      <c r="A149" t="s">
        <v>301</v>
      </c>
      <c r="B149" t="s">
        <v>546</v>
      </c>
      <c r="C149" t="s">
        <v>745</v>
      </c>
      <c r="D149" t="s">
        <v>746</v>
      </c>
      <c r="AD149">
        <v>14.2</v>
      </c>
      <c r="AE149">
        <v>13.6</v>
      </c>
      <c r="AF149">
        <v>13.3</v>
      </c>
      <c r="AG149">
        <v>13.4</v>
      </c>
      <c r="AH149">
        <v>13</v>
      </c>
      <c r="AI149">
        <v>13.7</v>
      </c>
      <c r="AJ149">
        <v>13.8</v>
      </c>
      <c r="AK149">
        <v>13.8</v>
      </c>
      <c r="AL149">
        <v>13.8</v>
      </c>
      <c r="AM149">
        <v>13.7</v>
      </c>
      <c r="AN149">
        <v>13.6</v>
      </c>
      <c r="AO149">
        <v>13.7</v>
      </c>
      <c r="AP149">
        <v>13.3</v>
      </c>
      <c r="AQ149">
        <v>12.9</v>
      </c>
      <c r="AR149">
        <v>13.2</v>
      </c>
      <c r="AS149">
        <v>13.1</v>
      </c>
      <c r="AT149">
        <v>12.9</v>
      </c>
      <c r="AU149">
        <v>12.8</v>
      </c>
      <c r="AV149">
        <v>13.2</v>
      </c>
      <c r="AW149">
        <v>13.1</v>
      </c>
      <c r="AX149">
        <v>13</v>
      </c>
      <c r="AY149">
        <v>12.9</v>
      </c>
      <c r="AZ149">
        <v>12.9</v>
      </c>
      <c r="BA149">
        <v>12.6</v>
      </c>
      <c r="BB149">
        <v>12.7</v>
      </c>
      <c r="BC149">
        <v>12.9</v>
      </c>
      <c r="BD149">
        <v>12.4</v>
      </c>
      <c r="BE149">
        <v>11.8</v>
      </c>
      <c r="BF149">
        <v>12.5</v>
      </c>
      <c r="BG149">
        <v>12.9</v>
      </c>
      <c r="BH149">
        <v>12.3</v>
      </c>
      <c r="BI149">
        <v>12.7</v>
      </c>
      <c r="BJ149">
        <v>11.9</v>
      </c>
      <c r="BK149">
        <v>11.9</v>
      </c>
      <c r="BL149">
        <v>11.9</v>
      </c>
      <c r="BM149">
        <v>12.3</v>
      </c>
      <c r="BN149">
        <v>12.3</v>
      </c>
      <c r="BO149">
        <v>11.8</v>
      </c>
      <c r="BP149">
        <v>12</v>
      </c>
    </row>
    <row r="150" spans="1:68" x14ac:dyDescent="0.35">
      <c r="A150" t="s">
        <v>277</v>
      </c>
      <c r="B150" t="s">
        <v>471</v>
      </c>
      <c r="C150" t="s">
        <v>745</v>
      </c>
      <c r="D150" t="s">
        <v>746</v>
      </c>
      <c r="AL150">
        <v>13.6</v>
      </c>
      <c r="AN150">
        <v>13.2</v>
      </c>
      <c r="AO150">
        <v>13.3</v>
      </c>
      <c r="AP150">
        <v>12</v>
      </c>
      <c r="AQ150">
        <v>12.5</v>
      </c>
      <c r="AU150">
        <v>12</v>
      </c>
      <c r="AV150">
        <v>11.6</v>
      </c>
      <c r="AW150">
        <v>12.3</v>
      </c>
      <c r="AX150">
        <v>11.3</v>
      </c>
      <c r="AY150">
        <v>11.7</v>
      </c>
      <c r="AZ150">
        <v>11</v>
      </c>
      <c r="BA150">
        <v>11.3</v>
      </c>
      <c r="BB150">
        <v>12.3</v>
      </c>
      <c r="BC150">
        <v>12.3</v>
      </c>
      <c r="BD150">
        <v>12.1</v>
      </c>
      <c r="BE150">
        <v>12.2</v>
      </c>
      <c r="BF150">
        <v>12.2</v>
      </c>
      <c r="BG150">
        <v>12.3</v>
      </c>
      <c r="BH150">
        <v>12.3</v>
      </c>
      <c r="BI150">
        <v>12.1</v>
      </c>
      <c r="BJ150">
        <v>11.7</v>
      </c>
      <c r="BK150">
        <v>11.9</v>
      </c>
      <c r="BL150">
        <v>12.2</v>
      </c>
      <c r="BM150">
        <v>11.7</v>
      </c>
      <c r="BN150">
        <v>12.1</v>
      </c>
      <c r="BO150">
        <v>12.4</v>
      </c>
      <c r="BP150">
        <v>12.4</v>
      </c>
    </row>
    <row r="151" spans="1:68" x14ac:dyDescent="0.35">
      <c r="A151" t="s">
        <v>578</v>
      </c>
      <c r="B151" t="s">
        <v>307</v>
      </c>
      <c r="C151" t="s">
        <v>745</v>
      </c>
      <c r="D151" t="s">
        <v>746</v>
      </c>
    </row>
    <row r="152" spans="1:68" x14ac:dyDescent="0.35">
      <c r="A152" t="s">
        <v>406</v>
      </c>
      <c r="B152" t="s">
        <v>475</v>
      </c>
      <c r="C152" t="s">
        <v>745</v>
      </c>
      <c r="D152" t="s">
        <v>746</v>
      </c>
    </row>
    <row r="153" spans="1:68" x14ac:dyDescent="0.35">
      <c r="A153" t="s">
        <v>37</v>
      </c>
      <c r="B153" t="s">
        <v>205</v>
      </c>
      <c r="C153" t="s">
        <v>745</v>
      </c>
      <c r="D153" t="s">
        <v>746</v>
      </c>
      <c r="AC153">
        <v>11.6</v>
      </c>
      <c r="AI153">
        <v>10.4</v>
      </c>
      <c r="AQ153">
        <v>10.6</v>
      </c>
      <c r="AS153">
        <v>10.3</v>
      </c>
      <c r="AY153">
        <v>10.5</v>
      </c>
      <c r="BF153">
        <v>10.7</v>
      </c>
    </row>
    <row r="154" spans="1:68" x14ac:dyDescent="0.35">
      <c r="A154" t="s">
        <v>414</v>
      </c>
      <c r="B154" t="s">
        <v>6</v>
      </c>
      <c r="C154" t="s">
        <v>745</v>
      </c>
      <c r="D154" t="s">
        <v>746</v>
      </c>
    </row>
    <row r="155" spans="1:68" x14ac:dyDescent="0.35">
      <c r="A155" t="s">
        <v>484</v>
      </c>
      <c r="B155" t="s">
        <v>88</v>
      </c>
      <c r="C155" t="s">
        <v>745</v>
      </c>
      <c r="D155" t="s">
        <v>746</v>
      </c>
      <c r="AP155">
        <v>11.4</v>
      </c>
      <c r="AQ155">
        <v>10.8</v>
      </c>
      <c r="AR155">
        <v>10.1</v>
      </c>
      <c r="AS155">
        <v>11.5</v>
      </c>
      <c r="AT155">
        <v>11.1</v>
      </c>
      <c r="AU155">
        <v>11.4</v>
      </c>
      <c r="AV155">
        <v>11.8</v>
      </c>
      <c r="AW155">
        <v>11.8</v>
      </c>
      <c r="AX155">
        <v>11.5</v>
      </c>
      <c r="AY155">
        <v>11.7</v>
      </c>
      <c r="AZ155">
        <v>11.9</v>
      </c>
      <c r="BA155">
        <v>12</v>
      </c>
      <c r="BB155">
        <v>12.2</v>
      </c>
      <c r="BC155">
        <v>12.5</v>
      </c>
      <c r="BD155">
        <v>12.9</v>
      </c>
      <c r="BE155">
        <v>13.2</v>
      </c>
      <c r="BF155">
        <v>13.4</v>
      </c>
      <c r="BG155">
        <v>13.7</v>
      </c>
      <c r="BH155">
        <v>13.7</v>
      </c>
      <c r="BI155">
        <v>14.1</v>
      </c>
      <c r="BJ155">
        <v>14.1</v>
      </c>
      <c r="BK155">
        <v>14.2</v>
      </c>
      <c r="BL155">
        <v>14.1</v>
      </c>
      <c r="BM155">
        <v>14.3</v>
      </c>
      <c r="BN155">
        <v>14.2</v>
      </c>
      <c r="BO155">
        <v>14.1</v>
      </c>
      <c r="BP155">
        <v>13.9</v>
      </c>
    </row>
    <row r="156" spans="1:68" x14ac:dyDescent="0.35">
      <c r="A156" t="s">
        <v>427</v>
      </c>
      <c r="B156" t="s">
        <v>17</v>
      </c>
      <c r="C156" t="s">
        <v>745</v>
      </c>
      <c r="D156" t="s">
        <v>746</v>
      </c>
      <c r="Y156">
        <v>8.8000000000000007</v>
      </c>
      <c r="AL156">
        <v>9.8000000000000007</v>
      </c>
      <c r="AP156">
        <v>10.6</v>
      </c>
      <c r="AR156">
        <v>10.6</v>
      </c>
      <c r="AT156">
        <v>8.5</v>
      </c>
      <c r="AX156">
        <v>10.8</v>
      </c>
      <c r="BC156">
        <v>10.199999999999999</v>
      </c>
      <c r="BE156">
        <v>10</v>
      </c>
      <c r="BN156">
        <v>11.5</v>
      </c>
    </row>
    <row r="157" spans="1:68" x14ac:dyDescent="0.35">
      <c r="A157" t="s">
        <v>228</v>
      </c>
      <c r="B157" t="s">
        <v>97</v>
      </c>
      <c r="C157" t="s">
        <v>745</v>
      </c>
      <c r="D157" t="s">
        <v>746</v>
      </c>
      <c r="AU157">
        <v>10.7</v>
      </c>
      <c r="BB157">
        <v>11</v>
      </c>
      <c r="BI157">
        <v>12.9</v>
      </c>
      <c r="BL157">
        <v>13.2</v>
      </c>
    </row>
    <row r="158" spans="1:68" x14ac:dyDescent="0.35">
      <c r="A158" t="s">
        <v>583</v>
      </c>
      <c r="B158" t="s">
        <v>164</v>
      </c>
      <c r="C158" t="s">
        <v>745</v>
      </c>
      <c r="D158" t="s">
        <v>746</v>
      </c>
    </row>
    <row r="159" spans="1:68" x14ac:dyDescent="0.35">
      <c r="A159" t="s">
        <v>246</v>
      </c>
      <c r="B159" t="s">
        <v>310</v>
      </c>
      <c r="C159" t="s">
        <v>745</v>
      </c>
      <c r="D159" t="s">
        <v>746</v>
      </c>
      <c r="AC159">
        <v>8.1999999999999993</v>
      </c>
      <c r="AH159">
        <v>8.4</v>
      </c>
      <c r="AK159">
        <v>7.7</v>
      </c>
      <c r="AM159">
        <v>7.3</v>
      </c>
      <c r="AO159">
        <v>7.7</v>
      </c>
      <c r="AQ159">
        <v>7.4</v>
      </c>
      <c r="AS159">
        <v>7.4</v>
      </c>
      <c r="AU159">
        <v>8</v>
      </c>
      <c r="AW159">
        <v>8.3000000000000007</v>
      </c>
      <c r="AX159">
        <v>8.1</v>
      </c>
      <c r="AY159">
        <v>8.3000000000000007</v>
      </c>
      <c r="BA159">
        <v>7.9</v>
      </c>
      <c r="BC159">
        <v>8.8000000000000007</v>
      </c>
      <c r="BE159">
        <v>8.4</v>
      </c>
      <c r="BG159">
        <v>8.6</v>
      </c>
      <c r="BI159">
        <v>9</v>
      </c>
      <c r="BK159">
        <v>9.3000000000000007</v>
      </c>
      <c r="BM159">
        <v>9.5</v>
      </c>
      <c r="BO159">
        <v>9.8000000000000007</v>
      </c>
    </row>
    <row r="160" spans="1:68" x14ac:dyDescent="0.35">
      <c r="A160" t="s">
        <v>707</v>
      </c>
      <c r="B160" t="s">
        <v>641</v>
      </c>
      <c r="C160" t="s">
        <v>745</v>
      </c>
      <c r="D160" t="s">
        <v>746</v>
      </c>
      <c r="BL160">
        <v>11.7</v>
      </c>
    </row>
    <row r="161" spans="1:67" x14ac:dyDescent="0.35">
      <c r="A161" t="s">
        <v>458</v>
      </c>
      <c r="B161" t="s">
        <v>600</v>
      </c>
      <c r="C161" t="s">
        <v>745</v>
      </c>
      <c r="D161" t="s">
        <v>746</v>
      </c>
    </row>
    <row r="162" spans="1:67" x14ac:dyDescent="0.35">
      <c r="A162" t="s">
        <v>123</v>
      </c>
      <c r="B162" t="s">
        <v>654</v>
      </c>
      <c r="C162" t="s">
        <v>745</v>
      </c>
      <c r="D162" t="s">
        <v>746</v>
      </c>
      <c r="AQ162">
        <v>13.8</v>
      </c>
      <c r="AS162">
        <v>12.2</v>
      </c>
      <c r="AU162">
        <v>10.8</v>
      </c>
      <c r="AV162">
        <v>10.8</v>
      </c>
      <c r="AW162">
        <v>10.8</v>
      </c>
      <c r="AX162">
        <v>10.5</v>
      </c>
      <c r="AY162">
        <v>10</v>
      </c>
      <c r="BA162">
        <v>8.9</v>
      </c>
      <c r="BB162">
        <v>10.199999999999999</v>
      </c>
      <c r="BC162">
        <v>10.9</v>
      </c>
      <c r="BD162">
        <v>10.9</v>
      </c>
      <c r="BE162">
        <v>11.1</v>
      </c>
      <c r="BF162">
        <v>11.6</v>
      </c>
      <c r="BG162">
        <v>11.9</v>
      </c>
      <c r="BH162">
        <v>11.7</v>
      </c>
      <c r="BI162">
        <v>12.2</v>
      </c>
      <c r="BJ162">
        <v>12.3</v>
      </c>
      <c r="BK162">
        <v>12.4</v>
      </c>
      <c r="BL162">
        <v>12.3</v>
      </c>
    </row>
    <row r="163" spans="1:67" x14ac:dyDescent="0.35">
      <c r="A163" t="s">
        <v>357</v>
      </c>
      <c r="B163" t="s">
        <v>612</v>
      </c>
      <c r="C163" t="s">
        <v>745</v>
      </c>
      <c r="D163" t="s">
        <v>746</v>
      </c>
      <c r="AM163">
        <v>8</v>
      </c>
      <c r="AT163">
        <v>10.3</v>
      </c>
      <c r="AY163">
        <v>10.9</v>
      </c>
      <c r="BB163">
        <v>12.1</v>
      </c>
      <c r="BK163">
        <v>11.2</v>
      </c>
      <c r="BN163">
        <v>11.5</v>
      </c>
    </row>
    <row r="164" spans="1:67" x14ac:dyDescent="0.35">
      <c r="A164" t="s">
        <v>407</v>
      </c>
      <c r="B164" t="s">
        <v>119</v>
      </c>
      <c r="C164" t="s">
        <v>745</v>
      </c>
      <c r="D164" t="s">
        <v>746</v>
      </c>
      <c r="AY164">
        <v>13.8</v>
      </c>
      <c r="AZ164">
        <v>13.4</v>
      </c>
      <c r="BA164">
        <v>13.4</v>
      </c>
      <c r="BB164">
        <v>13.2</v>
      </c>
      <c r="BC164">
        <v>13.4</v>
      </c>
      <c r="BD164">
        <v>13.5</v>
      </c>
      <c r="BE164">
        <v>13.5</v>
      </c>
      <c r="BF164">
        <v>13.6</v>
      </c>
      <c r="BG164">
        <v>13.5</v>
      </c>
      <c r="BH164">
        <v>13.4</v>
      </c>
      <c r="BI164">
        <v>13.4</v>
      </c>
      <c r="BJ164">
        <v>13.4</v>
      </c>
      <c r="BK164">
        <v>13.6</v>
      </c>
      <c r="BL164">
        <v>13.1</v>
      </c>
      <c r="BM164">
        <v>13</v>
      </c>
      <c r="BN164">
        <v>12.9</v>
      </c>
      <c r="BO164">
        <v>12.3</v>
      </c>
    </row>
    <row r="165" spans="1:67" x14ac:dyDescent="0.35">
      <c r="A165" t="s">
        <v>433</v>
      </c>
      <c r="B165" t="s">
        <v>69</v>
      </c>
      <c r="C165" t="s">
        <v>745</v>
      </c>
      <c r="D165" t="s">
        <v>746</v>
      </c>
      <c r="BH165">
        <v>11.3</v>
      </c>
      <c r="BJ165">
        <v>13</v>
      </c>
    </row>
    <row r="166" spans="1:67" x14ac:dyDescent="0.35">
      <c r="A166" t="s">
        <v>660</v>
      </c>
      <c r="B166" t="s">
        <v>553</v>
      </c>
      <c r="C166" t="s">
        <v>745</v>
      </c>
      <c r="D166" t="s">
        <v>746</v>
      </c>
    </row>
    <row r="167" spans="1:67" x14ac:dyDescent="0.35">
      <c r="A167" t="s">
        <v>412</v>
      </c>
      <c r="B167" t="s">
        <v>201</v>
      </c>
      <c r="C167" t="s">
        <v>745</v>
      </c>
      <c r="D167" t="s">
        <v>746</v>
      </c>
      <c r="AX167">
        <v>13</v>
      </c>
      <c r="AY167">
        <v>12.9</v>
      </c>
      <c r="AZ167">
        <v>12.5</v>
      </c>
      <c r="BA167">
        <v>13</v>
      </c>
      <c r="BB167">
        <v>13</v>
      </c>
      <c r="BC167">
        <v>13.1</v>
      </c>
      <c r="BD167">
        <v>13.1</v>
      </c>
      <c r="BE167">
        <v>9.9</v>
      </c>
      <c r="BF167">
        <v>10.4</v>
      </c>
      <c r="BG167">
        <v>10.6</v>
      </c>
      <c r="BH167">
        <v>10.7</v>
      </c>
      <c r="BI167">
        <v>11.2</v>
      </c>
      <c r="BJ167">
        <v>11.7</v>
      </c>
      <c r="BK167">
        <v>11.5</v>
      </c>
      <c r="BL167">
        <v>11.7</v>
      </c>
      <c r="BM167">
        <v>11.8</v>
      </c>
      <c r="BN167">
        <v>12.1</v>
      </c>
    </row>
    <row r="168" spans="1:67" x14ac:dyDescent="0.35">
      <c r="A168" t="s">
        <v>405</v>
      </c>
      <c r="B168" t="s">
        <v>481</v>
      </c>
      <c r="C168" t="s">
        <v>745</v>
      </c>
      <c r="D168" t="s">
        <v>746</v>
      </c>
      <c r="AN168">
        <v>12</v>
      </c>
      <c r="AQ168">
        <v>13.1</v>
      </c>
      <c r="AU168">
        <v>12.2</v>
      </c>
      <c r="AZ168">
        <v>11.4</v>
      </c>
      <c r="BC168">
        <v>12.1</v>
      </c>
      <c r="BD168">
        <v>12</v>
      </c>
      <c r="BE168">
        <v>12</v>
      </c>
      <c r="BG168">
        <v>12.6</v>
      </c>
      <c r="BI168">
        <v>12.4</v>
      </c>
      <c r="BK168">
        <v>12.3</v>
      </c>
      <c r="BO168">
        <v>12.6</v>
      </c>
    </row>
    <row r="169" spans="1:67" x14ac:dyDescent="0.35">
      <c r="A169" t="s">
        <v>184</v>
      </c>
      <c r="B169" t="s">
        <v>613</v>
      </c>
      <c r="C169" t="s">
        <v>745</v>
      </c>
      <c r="D169" t="s">
        <v>746</v>
      </c>
    </row>
    <row r="170" spans="1:67" x14ac:dyDescent="0.35">
      <c r="A170" t="s">
        <v>606</v>
      </c>
      <c r="B170" t="s">
        <v>141</v>
      </c>
      <c r="C170" t="s">
        <v>745</v>
      </c>
      <c r="D170" t="s">
        <v>746</v>
      </c>
      <c r="AO170">
        <v>7.4</v>
      </c>
      <c r="AU170">
        <v>9.3000000000000007</v>
      </c>
      <c r="BA170">
        <v>9.5</v>
      </c>
      <c r="BG170">
        <v>7.6</v>
      </c>
      <c r="BL170">
        <v>8.1999999999999993</v>
      </c>
      <c r="BO170">
        <v>8.6</v>
      </c>
    </row>
    <row r="171" spans="1:67" x14ac:dyDescent="0.35">
      <c r="A171" t="s">
        <v>59</v>
      </c>
      <c r="B171" t="s">
        <v>419</v>
      </c>
      <c r="C171" t="s">
        <v>745</v>
      </c>
      <c r="D171" t="s">
        <v>746</v>
      </c>
      <c r="AF171">
        <v>9.5</v>
      </c>
      <c r="AL171">
        <v>8.6999999999999993</v>
      </c>
      <c r="AN171">
        <v>11.2</v>
      </c>
      <c r="AS171">
        <v>10.6</v>
      </c>
      <c r="AW171">
        <v>10.7</v>
      </c>
      <c r="BA171">
        <v>11.3</v>
      </c>
      <c r="BG171">
        <v>12.4</v>
      </c>
      <c r="BL171">
        <v>12.5</v>
      </c>
    </row>
    <row r="172" spans="1:67" x14ac:dyDescent="0.35">
      <c r="A172" t="s">
        <v>52</v>
      </c>
      <c r="B172" t="s">
        <v>429</v>
      </c>
      <c r="C172" t="s">
        <v>745</v>
      </c>
      <c r="D172" t="s">
        <v>746</v>
      </c>
      <c r="AY172">
        <v>11.7</v>
      </c>
      <c r="BE172">
        <v>11.2</v>
      </c>
      <c r="BJ172">
        <v>11.6</v>
      </c>
    </row>
    <row r="173" spans="1:67" x14ac:dyDescent="0.35">
      <c r="A173" t="s">
        <v>543</v>
      </c>
      <c r="B173" t="s">
        <v>247</v>
      </c>
      <c r="C173" t="s">
        <v>745</v>
      </c>
      <c r="D173" t="s">
        <v>746</v>
      </c>
      <c r="AP173">
        <v>6</v>
      </c>
      <c r="AW173">
        <v>10.7</v>
      </c>
      <c r="BC173">
        <v>9.3000000000000007</v>
      </c>
      <c r="BI173">
        <v>9.8000000000000007</v>
      </c>
      <c r="BL173">
        <v>11</v>
      </c>
    </row>
    <row r="174" spans="1:67" x14ac:dyDescent="0.35">
      <c r="A174" t="s">
        <v>452</v>
      </c>
      <c r="B174" t="s">
        <v>588</v>
      </c>
      <c r="C174" t="s">
        <v>745</v>
      </c>
      <c r="D174" t="s">
        <v>746</v>
      </c>
      <c r="AC174">
        <v>8.4</v>
      </c>
      <c r="AF174">
        <v>8.6999999999999993</v>
      </c>
      <c r="AH174">
        <v>8.9</v>
      </c>
      <c r="AK174">
        <v>8.4</v>
      </c>
      <c r="AN174">
        <v>8.3000000000000007</v>
      </c>
      <c r="AP174">
        <v>8.1</v>
      </c>
      <c r="AV174">
        <v>8.6999999999999993</v>
      </c>
      <c r="AY174">
        <v>9.1</v>
      </c>
      <c r="BA174">
        <v>8.9</v>
      </c>
      <c r="BD174">
        <v>9.3000000000000007</v>
      </c>
      <c r="BF174">
        <v>10.1</v>
      </c>
      <c r="BH174">
        <v>10.1</v>
      </c>
      <c r="BK174">
        <v>10</v>
      </c>
      <c r="BN174">
        <v>10.199999999999999</v>
      </c>
    </row>
    <row r="175" spans="1:67" x14ac:dyDescent="0.35">
      <c r="A175" t="s">
        <v>227</v>
      </c>
      <c r="B175" t="s">
        <v>664</v>
      </c>
      <c r="C175" t="s">
        <v>745</v>
      </c>
      <c r="D175" t="s">
        <v>746</v>
      </c>
    </row>
    <row r="176" spans="1:67" x14ac:dyDescent="0.35">
      <c r="A176" t="s">
        <v>157</v>
      </c>
      <c r="B176" t="s">
        <v>270</v>
      </c>
      <c r="C176" t="s">
        <v>745</v>
      </c>
      <c r="D176" t="s">
        <v>746</v>
      </c>
      <c r="AL176">
        <v>3.2</v>
      </c>
      <c r="AV176">
        <v>5.3</v>
      </c>
      <c r="BB176">
        <v>5.7</v>
      </c>
      <c r="BH176">
        <v>5.8</v>
      </c>
    </row>
    <row r="177" spans="1:69" x14ac:dyDescent="0.35">
      <c r="A177" t="s">
        <v>723</v>
      </c>
      <c r="B177" t="s">
        <v>198</v>
      </c>
      <c r="C177" t="s">
        <v>745</v>
      </c>
      <c r="D177" t="s">
        <v>746</v>
      </c>
    </row>
    <row r="178" spans="1:69" x14ac:dyDescent="0.35">
      <c r="A178" t="s">
        <v>181</v>
      </c>
      <c r="B178" t="s">
        <v>142</v>
      </c>
      <c r="C178" t="s">
        <v>745</v>
      </c>
      <c r="D178" t="s">
        <v>746</v>
      </c>
      <c r="AK178">
        <v>11.6</v>
      </c>
      <c r="AM178">
        <v>10.3</v>
      </c>
      <c r="AX178">
        <v>9.6999999999999993</v>
      </c>
      <c r="AZ178">
        <v>11.4</v>
      </c>
      <c r="BD178">
        <v>12.7</v>
      </c>
      <c r="BG178">
        <v>11.8</v>
      </c>
      <c r="BK178">
        <v>11.4</v>
      </c>
      <c r="BN178">
        <v>12.4</v>
      </c>
    </row>
    <row r="179" spans="1:69" x14ac:dyDescent="0.35">
      <c r="A179" t="s">
        <v>304</v>
      </c>
      <c r="B179" t="s">
        <v>685</v>
      </c>
      <c r="C179" t="s">
        <v>745</v>
      </c>
      <c r="D179" t="s">
        <v>746</v>
      </c>
      <c r="AD179">
        <v>10.4</v>
      </c>
      <c r="AK179">
        <v>8.9</v>
      </c>
      <c r="AO179">
        <v>7.7</v>
      </c>
      <c r="AV179">
        <v>10.4</v>
      </c>
      <c r="BC179">
        <v>11.3</v>
      </c>
      <c r="BE179">
        <v>11.4</v>
      </c>
      <c r="BH179">
        <v>11.3</v>
      </c>
      <c r="BK179">
        <v>11.6</v>
      </c>
      <c r="BO179">
        <v>12</v>
      </c>
    </row>
    <row r="180" spans="1:69" x14ac:dyDescent="0.35">
      <c r="A180" t="s">
        <v>604</v>
      </c>
      <c r="B180" t="s">
        <v>220</v>
      </c>
      <c r="C180" t="s">
        <v>745</v>
      </c>
      <c r="D180" t="s">
        <v>746</v>
      </c>
      <c r="AL180">
        <v>6.4</v>
      </c>
      <c r="AQ180">
        <v>7.4</v>
      </c>
      <c r="AT180">
        <v>7.7</v>
      </c>
      <c r="AX180">
        <v>8.5</v>
      </c>
      <c r="BB180">
        <v>9.6</v>
      </c>
      <c r="BG180">
        <v>9.1999999999999993</v>
      </c>
    </row>
    <row r="181" spans="1:69" x14ac:dyDescent="0.35">
      <c r="A181" t="s">
        <v>14</v>
      </c>
      <c r="B181" t="s">
        <v>517</v>
      </c>
      <c r="C181" t="s">
        <v>745</v>
      </c>
      <c r="D181" t="s">
        <v>746</v>
      </c>
      <c r="AB181">
        <v>13.9</v>
      </c>
      <c r="AF181">
        <v>13.9</v>
      </c>
      <c r="AI181">
        <v>13</v>
      </c>
      <c r="AL181">
        <v>13.3</v>
      </c>
      <c r="AR181">
        <v>13.5</v>
      </c>
      <c r="AW181">
        <v>13.4</v>
      </c>
      <c r="AX181">
        <v>13.5</v>
      </c>
      <c r="AY181">
        <v>13.4</v>
      </c>
      <c r="AZ181">
        <v>13.4</v>
      </c>
      <c r="BA181">
        <v>13.5</v>
      </c>
      <c r="BB181">
        <v>13.8</v>
      </c>
      <c r="BC181">
        <v>13.8</v>
      </c>
      <c r="BD181">
        <v>13.8</v>
      </c>
      <c r="BE181">
        <v>13.9</v>
      </c>
      <c r="BF181">
        <v>13.8</v>
      </c>
      <c r="BG181">
        <v>13.8</v>
      </c>
      <c r="BH181">
        <v>13.9</v>
      </c>
      <c r="BI181">
        <v>13.9</v>
      </c>
      <c r="BJ181">
        <v>13.8</v>
      </c>
      <c r="BK181">
        <v>13.8</v>
      </c>
      <c r="BL181">
        <v>13.7</v>
      </c>
      <c r="BM181">
        <v>14.6</v>
      </c>
      <c r="BN181">
        <v>14.6</v>
      </c>
    </row>
    <row r="182" spans="1:69" x14ac:dyDescent="0.35">
      <c r="A182" t="s">
        <v>680</v>
      </c>
      <c r="B182" t="s">
        <v>597</v>
      </c>
      <c r="C182" t="s">
        <v>745</v>
      </c>
      <c r="D182" t="s">
        <v>746</v>
      </c>
      <c r="X182">
        <v>14.1</v>
      </c>
      <c r="AE182">
        <v>14.4</v>
      </c>
      <c r="AJ182">
        <v>14.4</v>
      </c>
      <c r="AN182">
        <v>14.4</v>
      </c>
      <c r="AS182">
        <v>14</v>
      </c>
      <c r="AV182">
        <v>14</v>
      </c>
      <c r="AW182">
        <v>13.2</v>
      </c>
      <c r="AX182">
        <v>13.5</v>
      </c>
      <c r="AY182">
        <v>14.4</v>
      </c>
      <c r="AZ182">
        <v>14.1</v>
      </c>
      <c r="BA182">
        <v>14.2</v>
      </c>
      <c r="BB182">
        <v>14.4</v>
      </c>
      <c r="BC182">
        <v>14.5</v>
      </c>
      <c r="BD182">
        <v>14.4</v>
      </c>
      <c r="BE182">
        <v>14.4</v>
      </c>
      <c r="BF182">
        <v>14.2</v>
      </c>
      <c r="BG182">
        <v>14.2</v>
      </c>
      <c r="BH182">
        <v>14.1</v>
      </c>
      <c r="BI182">
        <v>14</v>
      </c>
      <c r="BJ182">
        <v>14.3</v>
      </c>
      <c r="BK182">
        <v>14.1</v>
      </c>
      <c r="BL182">
        <v>14.1</v>
      </c>
      <c r="BM182">
        <v>14</v>
      </c>
      <c r="BN182">
        <v>13.9</v>
      </c>
      <c r="BO182">
        <v>14.2</v>
      </c>
      <c r="BP182">
        <v>14.4</v>
      </c>
    </row>
    <row r="183" spans="1:69" x14ac:dyDescent="0.35">
      <c r="A183" t="s">
        <v>216</v>
      </c>
      <c r="B183" t="s">
        <v>721</v>
      </c>
      <c r="C183" t="s">
        <v>745</v>
      </c>
      <c r="D183" t="s">
        <v>746</v>
      </c>
      <c r="AC183">
        <v>12.9</v>
      </c>
      <c r="AN183">
        <v>11.9</v>
      </c>
      <c r="AV183">
        <v>9.6999999999999993</v>
      </c>
      <c r="BC183">
        <v>12.1</v>
      </c>
      <c r="BO183">
        <v>13.1</v>
      </c>
    </row>
    <row r="184" spans="1:69" x14ac:dyDescent="0.35">
      <c r="A184" t="s">
        <v>105</v>
      </c>
      <c r="B184" t="s">
        <v>272</v>
      </c>
      <c r="C184" t="s">
        <v>745</v>
      </c>
      <c r="D184" t="s">
        <v>746</v>
      </c>
      <c r="BE184">
        <v>12.5</v>
      </c>
    </row>
    <row r="185" spans="1:69" x14ac:dyDescent="0.35">
      <c r="A185" t="s">
        <v>561</v>
      </c>
      <c r="B185" t="s">
        <v>295</v>
      </c>
      <c r="C185" t="s">
        <v>745</v>
      </c>
      <c r="D185" t="s">
        <v>746</v>
      </c>
    </row>
    <row r="186" spans="1:69" x14ac:dyDescent="0.35">
      <c r="A186" t="s">
        <v>344</v>
      </c>
      <c r="B186" t="s">
        <v>653</v>
      </c>
      <c r="C186" t="s">
        <v>745</v>
      </c>
      <c r="D186" t="s">
        <v>746</v>
      </c>
    </row>
    <row r="187" spans="1:69" x14ac:dyDescent="0.35">
      <c r="A187" t="s">
        <v>697</v>
      </c>
      <c r="B187" t="s">
        <v>567</v>
      </c>
      <c r="C187" t="s">
        <v>745</v>
      </c>
      <c r="D187" t="s">
        <v>746</v>
      </c>
    </row>
    <row r="188" spans="1:69" x14ac:dyDescent="0.35">
      <c r="A188" t="s">
        <v>695</v>
      </c>
      <c r="B188" t="s">
        <v>421</v>
      </c>
      <c r="C188" t="s">
        <v>745</v>
      </c>
      <c r="D188" t="s">
        <v>746</v>
      </c>
    </row>
    <row r="189" spans="1:69" x14ac:dyDescent="0.35">
      <c r="A189" t="s">
        <v>740</v>
      </c>
      <c r="B189" t="s">
        <v>135</v>
      </c>
      <c r="C189" t="s">
        <v>745</v>
      </c>
      <c r="D189" t="s">
        <v>746</v>
      </c>
      <c r="AF189">
        <v>12.3</v>
      </c>
      <c r="AI189">
        <v>12.3</v>
      </c>
      <c r="AO189">
        <v>13.5</v>
      </c>
      <c r="AQ189">
        <v>12.4</v>
      </c>
      <c r="AT189">
        <v>13.4</v>
      </c>
      <c r="AW189">
        <v>12.9</v>
      </c>
      <c r="AX189">
        <v>12.8</v>
      </c>
      <c r="AZ189">
        <v>13.1</v>
      </c>
      <c r="BC189">
        <v>13.3</v>
      </c>
      <c r="BD189">
        <v>13.1</v>
      </c>
      <c r="BF189">
        <v>13.2</v>
      </c>
      <c r="BH189">
        <v>12.7</v>
      </c>
      <c r="BK189">
        <v>13.1</v>
      </c>
    </row>
    <row r="190" spans="1:69" x14ac:dyDescent="0.35">
      <c r="A190" t="s">
        <v>541</v>
      </c>
      <c r="B190" t="s">
        <v>465</v>
      </c>
      <c r="C190" t="s">
        <v>745</v>
      </c>
      <c r="D190" t="s">
        <v>746</v>
      </c>
      <c r="X190">
        <v>7.9</v>
      </c>
      <c r="AH190">
        <v>5.6</v>
      </c>
      <c r="AJ190">
        <v>5.9</v>
      </c>
      <c r="AN190">
        <v>6.2</v>
      </c>
      <c r="AP190">
        <v>6.2</v>
      </c>
      <c r="AQ190">
        <v>6.4</v>
      </c>
      <c r="AR190">
        <v>6.6</v>
      </c>
      <c r="AS190">
        <v>6.5</v>
      </c>
      <c r="AT190">
        <v>6.3</v>
      </c>
      <c r="AU190">
        <v>6.4</v>
      </c>
      <c r="AV190">
        <v>6.6</v>
      </c>
      <c r="AW190">
        <v>6.7</v>
      </c>
      <c r="AX190">
        <v>6.9</v>
      </c>
      <c r="AY190">
        <v>6.8</v>
      </c>
      <c r="AZ190">
        <v>7.3</v>
      </c>
      <c r="BA190">
        <v>7.5</v>
      </c>
      <c r="BB190">
        <v>7.6</v>
      </c>
      <c r="BC190">
        <v>7.8</v>
      </c>
      <c r="BD190">
        <v>7.8</v>
      </c>
      <c r="BE190">
        <v>7.8</v>
      </c>
      <c r="BF190">
        <v>7.7</v>
      </c>
      <c r="BG190">
        <v>8.1</v>
      </c>
      <c r="BH190">
        <v>8</v>
      </c>
      <c r="BI190">
        <v>8</v>
      </c>
      <c r="BJ190">
        <v>8.1</v>
      </c>
      <c r="BK190">
        <v>8.3000000000000007</v>
      </c>
      <c r="BL190">
        <v>8.1</v>
      </c>
      <c r="BN190">
        <v>7.9</v>
      </c>
      <c r="BP190">
        <v>8.4</v>
      </c>
      <c r="BQ190">
        <v>8</v>
      </c>
    </row>
    <row r="191" spans="1:69" x14ac:dyDescent="0.35">
      <c r="A191" t="s">
        <v>495</v>
      </c>
      <c r="B191" t="s">
        <v>296</v>
      </c>
      <c r="C191" t="s">
        <v>745</v>
      </c>
      <c r="D191" t="s">
        <v>746</v>
      </c>
      <c r="AD191">
        <v>9.1999999999999993</v>
      </c>
      <c r="AM191">
        <v>9.4</v>
      </c>
      <c r="AP191">
        <v>7.2</v>
      </c>
      <c r="AQ191">
        <v>7</v>
      </c>
      <c r="AR191">
        <v>7.1</v>
      </c>
      <c r="AS191">
        <v>8.1999999999999993</v>
      </c>
      <c r="AT191">
        <v>7.7</v>
      </c>
      <c r="AU191">
        <v>7.3</v>
      </c>
      <c r="AV191">
        <v>7.4</v>
      </c>
      <c r="AW191">
        <v>8</v>
      </c>
      <c r="AX191">
        <v>7.8</v>
      </c>
      <c r="AY191">
        <v>7.9</v>
      </c>
      <c r="AZ191">
        <v>8</v>
      </c>
      <c r="BA191">
        <v>8.6</v>
      </c>
      <c r="BB191">
        <v>8.6999999999999993</v>
      </c>
      <c r="BC191">
        <v>9.1999999999999993</v>
      </c>
      <c r="BD191">
        <v>9.4</v>
      </c>
      <c r="BE191">
        <v>9.5</v>
      </c>
      <c r="BF191">
        <v>9.6</v>
      </c>
      <c r="BG191">
        <v>9.8000000000000007</v>
      </c>
      <c r="BH191">
        <v>9.9</v>
      </c>
      <c r="BI191">
        <v>9.6999999999999993</v>
      </c>
      <c r="BJ191">
        <v>9.6999999999999993</v>
      </c>
      <c r="BK191">
        <v>10</v>
      </c>
      <c r="BL191">
        <v>10.199999999999999</v>
      </c>
      <c r="BM191">
        <v>9.6</v>
      </c>
      <c r="BN191">
        <v>10.6</v>
      </c>
      <c r="BO191">
        <v>10.5</v>
      </c>
      <c r="BP191">
        <v>10.4</v>
      </c>
      <c r="BQ191">
        <v>10.6</v>
      </c>
    </row>
    <row r="192" spans="1:69" x14ac:dyDescent="0.35">
      <c r="A192" t="s">
        <v>285</v>
      </c>
      <c r="B192" t="s">
        <v>580</v>
      </c>
      <c r="C192" t="s">
        <v>745</v>
      </c>
      <c r="D192" t="s">
        <v>746</v>
      </c>
      <c r="AD192">
        <v>10.1</v>
      </c>
      <c r="AG192">
        <v>10.1</v>
      </c>
      <c r="AJ192">
        <v>9.3000000000000007</v>
      </c>
      <c r="AM192">
        <v>9.5</v>
      </c>
      <c r="AP192">
        <v>8.9</v>
      </c>
      <c r="AS192">
        <v>8.5</v>
      </c>
      <c r="AV192">
        <v>8.8000000000000007</v>
      </c>
      <c r="AY192">
        <v>8.5</v>
      </c>
      <c r="BB192">
        <v>8.8000000000000007</v>
      </c>
      <c r="BE192">
        <v>8.6999999999999993</v>
      </c>
      <c r="BH192">
        <v>9.1999999999999993</v>
      </c>
      <c r="BK192">
        <v>9.9</v>
      </c>
      <c r="BN192">
        <v>10.4</v>
      </c>
      <c r="BP192">
        <v>10.7</v>
      </c>
    </row>
    <row r="193" spans="1:69" x14ac:dyDescent="0.35">
      <c r="A193" t="s">
        <v>679</v>
      </c>
      <c r="B193" t="s">
        <v>384</v>
      </c>
      <c r="C193" t="s">
        <v>745</v>
      </c>
      <c r="D193" t="s">
        <v>746</v>
      </c>
    </row>
    <row r="194" spans="1:69" x14ac:dyDescent="0.35">
      <c r="A194" t="s">
        <v>454</v>
      </c>
      <c r="B194" t="s">
        <v>262</v>
      </c>
      <c r="C194" t="s">
        <v>745</v>
      </c>
      <c r="D194" t="s">
        <v>746</v>
      </c>
      <c r="AO194">
        <v>8.6999999999999993</v>
      </c>
      <c r="BB194">
        <v>10</v>
      </c>
    </row>
    <row r="195" spans="1:69" x14ac:dyDescent="0.35">
      <c r="A195" t="s">
        <v>75</v>
      </c>
      <c r="B195" t="s">
        <v>43</v>
      </c>
      <c r="C195" t="s">
        <v>745</v>
      </c>
      <c r="D195" t="s">
        <v>746</v>
      </c>
      <c r="AD195">
        <v>14.4</v>
      </c>
      <c r="AE195">
        <v>13.8</v>
      </c>
      <c r="AF195">
        <v>14.3</v>
      </c>
      <c r="AH195">
        <v>14</v>
      </c>
      <c r="AK195">
        <v>13.3</v>
      </c>
      <c r="AL195">
        <v>13.7</v>
      </c>
      <c r="AN195">
        <v>12.3</v>
      </c>
      <c r="AO195">
        <v>12.4</v>
      </c>
      <c r="AQ195">
        <v>12.5</v>
      </c>
      <c r="AR195">
        <v>12.7</v>
      </c>
      <c r="AS195">
        <v>12.3</v>
      </c>
      <c r="AT195">
        <v>12.3</v>
      </c>
      <c r="AU195">
        <v>12</v>
      </c>
      <c r="AV195">
        <v>11.7</v>
      </c>
      <c r="AW195">
        <v>11.2</v>
      </c>
      <c r="AX195">
        <v>11.7</v>
      </c>
      <c r="AY195">
        <v>12.1</v>
      </c>
      <c r="AZ195">
        <v>12.3</v>
      </c>
      <c r="BA195">
        <v>12.4</v>
      </c>
      <c r="BB195">
        <v>12.4</v>
      </c>
      <c r="BC195">
        <v>12.5</v>
      </c>
      <c r="BD195">
        <v>12.4</v>
      </c>
      <c r="BE195">
        <v>12.5</v>
      </c>
      <c r="BF195">
        <v>12.4</v>
      </c>
      <c r="BG195">
        <v>12.6</v>
      </c>
      <c r="BH195">
        <v>12.8</v>
      </c>
      <c r="BI195">
        <v>13</v>
      </c>
      <c r="BJ195">
        <v>13.4</v>
      </c>
      <c r="BK195">
        <v>13.3</v>
      </c>
      <c r="BL195">
        <v>13.7</v>
      </c>
      <c r="BM195">
        <v>13.8</v>
      </c>
      <c r="BN195">
        <v>13.8</v>
      </c>
      <c r="BO195">
        <v>13.7</v>
      </c>
      <c r="BP195">
        <v>13.9</v>
      </c>
    </row>
    <row r="196" spans="1:69" x14ac:dyDescent="0.35">
      <c r="A196" t="s">
        <v>237</v>
      </c>
      <c r="B196" t="s">
        <v>294</v>
      </c>
      <c r="C196" t="s">
        <v>745</v>
      </c>
      <c r="D196" t="s">
        <v>746</v>
      </c>
    </row>
    <row r="197" spans="1:69" x14ac:dyDescent="0.35">
      <c r="A197" t="s">
        <v>269</v>
      </c>
      <c r="B197" t="s">
        <v>686</v>
      </c>
      <c r="C197" t="s">
        <v>745</v>
      </c>
      <c r="D197" t="s">
        <v>746</v>
      </c>
    </row>
    <row r="198" spans="1:69" x14ac:dyDescent="0.35">
      <c r="A198" t="s">
        <v>525</v>
      </c>
      <c r="B198" t="s">
        <v>60</v>
      </c>
      <c r="C198" t="s">
        <v>745</v>
      </c>
      <c r="D198" t="s">
        <v>746</v>
      </c>
    </row>
    <row r="199" spans="1:69" x14ac:dyDescent="0.35">
      <c r="A199" t="s">
        <v>434</v>
      </c>
      <c r="B199" t="s">
        <v>192</v>
      </c>
      <c r="C199" t="s">
        <v>745</v>
      </c>
      <c r="D199" t="s">
        <v>746</v>
      </c>
      <c r="AV199">
        <v>11.2</v>
      </c>
      <c r="AW199">
        <v>11.2</v>
      </c>
      <c r="AX199">
        <v>11.3</v>
      </c>
      <c r="AY199">
        <v>11.1</v>
      </c>
      <c r="AZ199">
        <v>11.6</v>
      </c>
      <c r="BA199">
        <v>11.7</v>
      </c>
      <c r="BB199">
        <v>12</v>
      </c>
      <c r="BC199">
        <v>11.8</v>
      </c>
      <c r="BD199">
        <v>11.9</v>
      </c>
      <c r="BE199">
        <v>12.1</v>
      </c>
      <c r="BF199">
        <v>12</v>
      </c>
      <c r="BG199">
        <v>12.2</v>
      </c>
      <c r="BH199">
        <v>12</v>
      </c>
      <c r="BI199">
        <v>12.3</v>
      </c>
      <c r="BJ199">
        <v>12.4</v>
      </c>
      <c r="BK199">
        <v>12.6</v>
      </c>
      <c r="BL199">
        <v>12.8</v>
      </c>
      <c r="BM199">
        <v>12.4</v>
      </c>
      <c r="BN199">
        <v>12.2</v>
      </c>
      <c r="BO199">
        <v>11.9</v>
      </c>
      <c r="BP199">
        <v>12.5</v>
      </c>
    </row>
    <row r="200" spans="1:69" x14ac:dyDescent="0.35">
      <c r="A200" t="s">
        <v>494</v>
      </c>
      <c r="B200" t="s">
        <v>72</v>
      </c>
      <c r="C200" t="s">
        <v>745</v>
      </c>
      <c r="D200" t="s">
        <v>746</v>
      </c>
      <c r="AI200">
        <v>10.3</v>
      </c>
      <c r="AN200">
        <v>6.1</v>
      </c>
      <c r="AP200">
        <v>6.6</v>
      </c>
      <c r="AR200">
        <v>7.1</v>
      </c>
      <c r="AT200">
        <v>7.1</v>
      </c>
      <c r="AU200">
        <v>6.6</v>
      </c>
      <c r="AV200">
        <v>7.1</v>
      </c>
      <c r="AW200">
        <v>7.8</v>
      </c>
      <c r="AX200">
        <v>7.9</v>
      </c>
      <c r="AY200">
        <v>7.6</v>
      </c>
      <c r="AZ200">
        <v>7.8</v>
      </c>
      <c r="BA200">
        <v>8</v>
      </c>
      <c r="BB200">
        <v>8.4</v>
      </c>
      <c r="BC200">
        <v>8.1</v>
      </c>
      <c r="BD200">
        <v>7.7</v>
      </c>
      <c r="BE200">
        <v>8.8000000000000007</v>
      </c>
      <c r="BF200">
        <v>8.6</v>
      </c>
      <c r="BG200">
        <v>8.3000000000000007</v>
      </c>
      <c r="BH200">
        <v>8.6999999999999993</v>
      </c>
      <c r="BI200">
        <v>8.6</v>
      </c>
      <c r="BJ200">
        <v>8.6999999999999993</v>
      </c>
      <c r="BK200">
        <v>9.1999999999999993</v>
      </c>
      <c r="BL200">
        <v>9.1999999999999993</v>
      </c>
      <c r="BM200">
        <v>9.6</v>
      </c>
      <c r="BN200">
        <v>9.6999999999999993</v>
      </c>
      <c r="BO200">
        <v>9.4</v>
      </c>
      <c r="BP200">
        <v>9.6</v>
      </c>
      <c r="BQ200">
        <v>9.6999999999999993</v>
      </c>
    </row>
    <row r="201" spans="1:69" x14ac:dyDescent="0.35">
      <c r="A201" t="s">
        <v>87</v>
      </c>
      <c r="B201" t="s">
        <v>199</v>
      </c>
      <c r="C201" t="s">
        <v>745</v>
      </c>
      <c r="D201" t="s">
        <v>746</v>
      </c>
      <c r="AW201">
        <v>12</v>
      </c>
      <c r="AX201">
        <v>11.8</v>
      </c>
      <c r="AY201">
        <v>12.1</v>
      </c>
      <c r="AZ201">
        <v>11.6</v>
      </c>
      <c r="BB201">
        <v>11.9</v>
      </c>
      <c r="BC201">
        <v>11.7</v>
      </c>
      <c r="BD201">
        <v>11.9</v>
      </c>
      <c r="BI201">
        <v>11.9</v>
      </c>
      <c r="BP201">
        <v>11.3</v>
      </c>
    </row>
    <row r="202" spans="1:69" x14ac:dyDescent="0.35">
      <c r="A202" t="s">
        <v>131</v>
      </c>
      <c r="B202" t="s">
        <v>210</v>
      </c>
      <c r="C202" t="s">
        <v>745</v>
      </c>
      <c r="D202" t="s">
        <v>746</v>
      </c>
    </row>
    <row r="203" spans="1:69" x14ac:dyDescent="0.35">
      <c r="A203" t="s">
        <v>592</v>
      </c>
      <c r="B203" t="s">
        <v>280</v>
      </c>
      <c r="C203" t="s">
        <v>745</v>
      </c>
      <c r="D203" t="s">
        <v>746</v>
      </c>
    </row>
    <row r="204" spans="1:69" x14ac:dyDescent="0.35">
      <c r="A204" t="s">
        <v>364</v>
      </c>
      <c r="B204" t="s">
        <v>577</v>
      </c>
      <c r="C204" t="s">
        <v>745</v>
      </c>
      <c r="D204" t="s">
        <v>746</v>
      </c>
    </row>
    <row r="205" spans="1:69" x14ac:dyDescent="0.35">
      <c r="A205" t="s">
        <v>614</v>
      </c>
      <c r="B205" t="s">
        <v>25</v>
      </c>
      <c r="C205" t="s">
        <v>745</v>
      </c>
      <c r="D205" t="s">
        <v>746</v>
      </c>
      <c r="BJ205">
        <v>11.6</v>
      </c>
    </row>
    <row r="206" spans="1:69" x14ac:dyDescent="0.35">
      <c r="A206" t="s">
        <v>554</v>
      </c>
      <c r="B206" t="s">
        <v>333</v>
      </c>
      <c r="C206" t="s">
        <v>745</v>
      </c>
      <c r="D206" t="s">
        <v>746</v>
      </c>
      <c r="AH206">
        <v>15</v>
      </c>
      <c r="AK206">
        <v>14.4</v>
      </c>
      <c r="AM206">
        <v>13.6</v>
      </c>
      <c r="AN206">
        <v>13.1</v>
      </c>
      <c r="AP206">
        <v>13.3</v>
      </c>
      <c r="AQ206">
        <v>12.8</v>
      </c>
      <c r="AR206">
        <v>13.3</v>
      </c>
      <c r="AS206">
        <v>13.3</v>
      </c>
      <c r="AT206">
        <v>13.3</v>
      </c>
      <c r="AU206">
        <v>13.1</v>
      </c>
      <c r="AV206">
        <v>13.2</v>
      </c>
      <c r="AW206">
        <v>13.1</v>
      </c>
      <c r="AX206">
        <v>13.2</v>
      </c>
      <c r="AY206">
        <v>10.8</v>
      </c>
      <c r="AZ206">
        <v>11.4</v>
      </c>
      <c r="BA206">
        <v>11.7</v>
      </c>
      <c r="BB206">
        <v>11.8</v>
      </c>
      <c r="BC206">
        <v>11.8</v>
      </c>
      <c r="BD206">
        <v>11.6</v>
      </c>
      <c r="BE206">
        <v>11.5</v>
      </c>
      <c r="BF206">
        <v>11.4</v>
      </c>
      <c r="BG206">
        <v>11.9</v>
      </c>
      <c r="BH206">
        <v>11.8</v>
      </c>
      <c r="BI206">
        <v>12.1</v>
      </c>
      <c r="BJ206">
        <v>11.7</v>
      </c>
      <c r="BK206">
        <v>11.9</v>
      </c>
      <c r="BL206">
        <v>12.1</v>
      </c>
      <c r="BM206">
        <v>12.3</v>
      </c>
      <c r="BN206">
        <v>12.4</v>
      </c>
      <c r="BO206">
        <v>13.2</v>
      </c>
      <c r="BP206">
        <v>13.8</v>
      </c>
    </row>
    <row r="207" spans="1:69" x14ac:dyDescent="0.35">
      <c r="A207" t="s">
        <v>2</v>
      </c>
      <c r="B207" t="s">
        <v>355</v>
      </c>
      <c r="C207" t="s">
        <v>745</v>
      </c>
      <c r="D207" t="s">
        <v>746</v>
      </c>
      <c r="AL207">
        <v>9.1999999999999993</v>
      </c>
      <c r="AO207">
        <v>9.1999999999999993</v>
      </c>
      <c r="AP207">
        <v>11</v>
      </c>
      <c r="AQ207">
        <v>10.9</v>
      </c>
      <c r="AR207">
        <v>11</v>
      </c>
      <c r="AS207">
        <v>11.1</v>
      </c>
      <c r="AT207">
        <v>11.2</v>
      </c>
      <c r="AU207">
        <v>11.1</v>
      </c>
      <c r="AV207">
        <v>10.4</v>
      </c>
      <c r="AW207">
        <v>10.3</v>
      </c>
      <c r="AX207">
        <v>10.1</v>
      </c>
      <c r="AY207">
        <v>10.199999999999999</v>
      </c>
      <c r="AZ207">
        <v>9.9</v>
      </c>
      <c r="BA207">
        <v>10.1</v>
      </c>
      <c r="BB207">
        <v>10.5</v>
      </c>
      <c r="BC207">
        <v>10.5</v>
      </c>
      <c r="BD207">
        <v>10.5</v>
      </c>
      <c r="BE207">
        <v>10.3</v>
      </c>
      <c r="BF207">
        <v>10.3</v>
      </c>
      <c r="BG207">
        <v>11.4</v>
      </c>
      <c r="BH207">
        <v>11.4</v>
      </c>
      <c r="BI207">
        <v>11.4</v>
      </c>
      <c r="BJ207">
        <v>11.7</v>
      </c>
      <c r="BK207">
        <v>11.7</v>
      </c>
      <c r="BL207">
        <v>11.7</v>
      </c>
      <c r="BM207">
        <v>12.1</v>
      </c>
      <c r="BN207">
        <v>11.8</v>
      </c>
      <c r="BO207">
        <v>12</v>
      </c>
      <c r="BP207">
        <v>12.1</v>
      </c>
    </row>
    <row r="208" spans="1:69" x14ac:dyDescent="0.35">
      <c r="A208" t="s">
        <v>273</v>
      </c>
      <c r="B208" t="s">
        <v>94</v>
      </c>
      <c r="C208" t="s">
        <v>745</v>
      </c>
      <c r="D208" t="s">
        <v>746</v>
      </c>
      <c r="AS208">
        <v>8.9</v>
      </c>
      <c r="AX208">
        <v>8.1</v>
      </c>
      <c r="BC208">
        <v>9.1</v>
      </c>
      <c r="BF208">
        <v>9.6</v>
      </c>
      <c r="BI208">
        <v>9.8000000000000007</v>
      </c>
      <c r="BP208">
        <v>10.9</v>
      </c>
    </row>
    <row r="209" spans="1:68" x14ac:dyDescent="0.35">
      <c r="A209" t="s">
        <v>90</v>
      </c>
      <c r="B209" t="s">
        <v>126</v>
      </c>
      <c r="C209" t="s">
        <v>745</v>
      </c>
      <c r="D209" t="s">
        <v>746</v>
      </c>
    </row>
    <row r="210" spans="1:68" x14ac:dyDescent="0.35">
      <c r="A210" t="s">
        <v>480</v>
      </c>
      <c r="B210" t="s">
        <v>249</v>
      </c>
      <c r="C210" t="s">
        <v>745</v>
      </c>
      <c r="D210" t="s">
        <v>746</v>
      </c>
    </row>
    <row r="211" spans="1:68" x14ac:dyDescent="0.35">
      <c r="A211" t="s">
        <v>232</v>
      </c>
      <c r="B211" t="s">
        <v>466</v>
      </c>
      <c r="C211" t="s">
        <v>745</v>
      </c>
      <c r="D211" t="s">
        <v>746</v>
      </c>
      <c r="BB211">
        <v>11.7</v>
      </c>
      <c r="BG211">
        <v>12.1</v>
      </c>
    </row>
    <row r="212" spans="1:68" x14ac:dyDescent="0.35">
      <c r="A212" t="s">
        <v>35</v>
      </c>
      <c r="B212" t="s">
        <v>560</v>
      </c>
      <c r="C212" t="s">
        <v>745</v>
      </c>
      <c r="D212" t="s">
        <v>746</v>
      </c>
      <c r="AJ212">
        <v>7</v>
      </c>
      <c r="AM212">
        <v>10.7</v>
      </c>
      <c r="AT212">
        <v>10.3</v>
      </c>
      <c r="AX212">
        <v>10.7</v>
      </c>
      <c r="BD212">
        <v>10.3</v>
      </c>
      <c r="BK212">
        <v>10.8</v>
      </c>
      <c r="BN212">
        <v>11.5</v>
      </c>
    </row>
    <row r="213" spans="1:68" x14ac:dyDescent="0.35">
      <c r="A213" t="s">
        <v>508</v>
      </c>
      <c r="B213" t="s">
        <v>83</v>
      </c>
      <c r="C213" t="s">
        <v>745</v>
      </c>
      <c r="D213" t="s">
        <v>746</v>
      </c>
    </row>
    <row r="214" spans="1:68" x14ac:dyDescent="0.35">
      <c r="A214" t="s">
        <v>101</v>
      </c>
      <c r="B214" t="s">
        <v>316</v>
      </c>
      <c r="C214" t="s">
        <v>745</v>
      </c>
      <c r="D214" t="s">
        <v>746</v>
      </c>
      <c r="AX214">
        <v>9.1</v>
      </c>
      <c r="BE214">
        <v>11.4</v>
      </c>
    </row>
    <row r="215" spans="1:68" x14ac:dyDescent="0.35">
      <c r="A215" t="s">
        <v>703</v>
      </c>
      <c r="B215" t="s">
        <v>644</v>
      </c>
      <c r="C215" t="s">
        <v>745</v>
      </c>
      <c r="D215" t="s">
        <v>746</v>
      </c>
      <c r="AV215">
        <v>10.4</v>
      </c>
      <c r="BD215">
        <v>11.9</v>
      </c>
      <c r="BK215">
        <v>11.7</v>
      </c>
    </row>
    <row r="216" spans="1:68" x14ac:dyDescent="0.35">
      <c r="A216" t="s">
        <v>573</v>
      </c>
      <c r="B216" t="s">
        <v>95</v>
      </c>
      <c r="C216" t="s">
        <v>745</v>
      </c>
      <c r="D216" t="s">
        <v>746</v>
      </c>
      <c r="AH216">
        <v>8.5</v>
      </c>
      <c r="AJ216">
        <v>7.4</v>
      </c>
      <c r="AN216">
        <v>8.4</v>
      </c>
      <c r="AO216">
        <v>8.1</v>
      </c>
      <c r="AQ216">
        <v>7</v>
      </c>
      <c r="AR216">
        <v>7.7</v>
      </c>
      <c r="AS216">
        <v>7.8</v>
      </c>
      <c r="AT216">
        <v>7.7</v>
      </c>
      <c r="AU216">
        <v>7.6</v>
      </c>
      <c r="AV216">
        <v>8.1</v>
      </c>
      <c r="AW216">
        <v>8.8000000000000007</v>
      </c>
      <c r="AX216">
        <v>8.6</v>
      </c>
      <c r="AY216">
        <v>9.3000000000000007</v>
      </c>
      <c r="AZ216">
        <v>9.4</v>
      </c>
      <c r="BA216">
        <v>8.8000000000000007</v>
      </c>
      <c r="BB216">
        <v>9.1999999999999993</v>
      </c>
      <c r="BC216">
        <v>9.6</v>
      </c>
      <c r="BD216">
        <v>10</v>
      </c>
      <c r="BE216">
        <v>10.199999999999999</v>
      </c>
      <c r="BF216">
        <v>9.8000000000000007</v>
      </c>
      <c r="BG216">
        <v>10.199999999999999</v>
      </c>
      <c r="BH216">
        <v>10.5</v>
      </c>
      <c r="BI216">
        <v>10.6</v>
      </c>
      <c r="BJ216">
        <v>11</v>
      </c>
      <c r="BK216">
        <v>10.9</v>
      </c>
      <c r="BL216">
        <v>10.8</v>
      </c>
      <c r="BN216">
        <v>10.9</v>
      </c>
      <c r="BO216">
        <v>11</v>
      </c>
      <c r="BP216">
        <v>10.8</v>
      </c>
    </row>
    <row r="217" spans="1:68" x14ac:dyDescent="0.35">
      <c r="A217" t="s">
        <v>457</v>
      </c>
      <c r="B217" t="s">
        <v>519</v>
      </c>
      <c r="C217" t="s">
        <v>745</v>
      </c>
      <c r="D217" t="s">
        <v>746</v>
      </c>
    </row>
    <row r="218" spans="1:68" x14ac:dyDescent="0.35">
      <c r="A218" t="s">
        <v>352</v>
      </c>
      <c r="B218" t="s">
        <v>32</v>
      </c>
      <c r="C218" t="s">
        <v>745</v>
      </c>
      <c r="D218" t="s">
        <v>746</v>
      </c>
    </row>
    <row r="219" spans="1:68" x14ac:dyDescent="0.35">
      <c r="A219" t="s">
        <v>321</v>
      </c>
      <c r="B219" t="s">
        <v>445</v>
      </c>
      <c r="C219" t="s">
        <v>745</v>
      </c>
      <c r="D219" t="s">
        <v>746</v>
      </c>
      <c r="AU219">
        <v>12.5</v>
      </c>
      <c r="AV219">
        <v>12.4</v>
      </c>
      <c r="AW219">
        <v>11.7</v>
      </c>
      <c r="AX219">
        <v>11.6</v>
      </c>
      <c r="AY219">
        <v>13.3</v>
      </c>
      <c r="AZ219">
        <v>13.6</v>
      </c>
      <c r="BA219">
        <v>13.7</v>
      </c>
      <c r="BB219">
        <v>13.6</v>
      </c>
      <c r="BC219">
        <v>13.4</v>
      </c>
      <c r="BE219">
        <v>10.9</v>
      </c>
      <c r="BF219">
        <v>11</v>
      </c>
      <c r="BG219">
        <v>10.8</v>
      </c>
      <c r="BH219">
        <v>10.9</v>
      </c>
      <c r="BI219">
        <v>11.4</v>
      </c>
      <c r="BJ219">
        <v>12.1</v>
      </c>
      <c r="BK219">
        <v>12.2</v>
      </c>
      <c r="BL219">
        <v>12.5</v>
      </c>
      <c r="BM219">
        <v>12.4</v>
      </c>
      <c r="BN219">
        <v>12.9</v>
      </c>
      <c r="BO219">
        <v>12.8</v>
      </c>
    </row>
    <row r="220" spans="1:68" x14ac:dyDescent="0.35">
      <c r="A220" t="s">
        <v>61</v>
      </c>
      <c r="B220" t="s">
        <v>460</v>
      </c>
      <c r="C220" t="s">
        <v>745</v>
      </c>
      <c r="D220" t="s">
        <v>746</v>
      </c>
    </row>
    <row r="221" spans="1:68" x14ac:dyDescent="0.35">
      <c r="A221" t="s">
        <v>288</v>
      </c>
      <c r="B221" t="s">
        <v>64</v>
      </c>
      <c r="C221" t="s">
        <v>745</v>
      </c>
      <c r="D221" t="s">
        <v>746</v>
      </c>
      <c r="BB221">
        <v>8.6</v>
      </c>
      <c r="BI221">
        <v>9.6</v>
      </c>
    </row>
    <row r="222" spans="1:68" x14ac:dyDescent="0.35">
      <c r="A222" t="s">
        <v>313</v>
      </c>
      <c r="B222" t="s">
        <v>187</v>
      </c>
      <c r="C222" t="s">
        <v>745</v>
      </c>
      <c r="D222" t="s">
        <v>746</v>
      </c>
    </row>
    <row r="223" spans="1:68" x14ac:dyDescent="0.35">
      <c r="A223" t="s">
        <v>44</v>
      </c>
      <c r="B223" t="s">
        <v>196</v>
      </c>
      <c r="C223" t="s">
        <v>745</v>
      </c>
      <c r="D223" t="s">
        <v>746</v>
      </c>
    </row>
    <row r="224" spans="1:68" x14ac:dyDescent="0.35">
      <c r="A224" t="s">
        <v>255</v>
      </c>
      <c r="B224" t="s">
        <v>449</v>
      </c>
      <c r="C224" t="s">
        <v>745</v>
      </c>
      <c r="D224" t="s">
        <v>746</v>
      </c>
      <c r="AS224">
        <v>12.3</v>
      </c>
      <c r="BC224">
        <v>12.7</v>
      </c>
      <c r="BJ224">
        <v>10.4</v>
      </c>
    </row>
    <row r="225" spans="1:69" x14ac:dyDescent="0.35">
      <c r="A225" t="s">
        <v>512</v>
      </c>
      <c r="B225" t="s">
        <v>68</v>
      </c>
      <c r="C225" t="s">
        <v>745</v>
      </c>
      <c r="D225" t="s">
        <v>746</v>
      </c>
      <c r="AR225">
        <v>6.2</v>
      </c>
      <c r="BO225">
        <v>11.1</v>
      </c>
    </row>
    <row r="226" spans="1:69" x14ac:dyDescent="0.35">
      <c r="A226" t="s">
        <v>387</v>
      </c>
      <c r="B226" t="s">
        <v>151</v>
      </c>
      <c r="C226" t="s">
        <v>745</v>
      </c>
      <c r="D226" t="s">
        <v>746</v>
      </c>
      <c r="AK226">
        <v>15.7</v>
      </c>
      <c r="AO226">
        <v>14.8</v>
      </c>
      <c r="AW226">
        <v>14.4</v>
      </c>
      <c r="AX226">
        <v>13.9</v>
      </c>
      <c r="AY226">
        <v>14.8</v>
      </c>
      <c r="AZ226">
        <v>15.1</v>
      </c>
      <c r="BA226">
        <v>14.7</v>
      </c>
      <c r="BB226">
        <v>14.4</v>
      </c>
      <c r="BC226">
        <v>14.5</v>
      </c>
      <c r="BD226">
        <v>14.5</v>
      </c>
      <c r="BE226">
        <v>14.6</v>
      </c>
      <c r="BF226">
        <v>14.1</v>
      </c>
      <c r="BG226">
        <v>14.7</v>
      </c>
      <c r="BH226">
        <v>14.6</v>
      </c>
      <c r="BI226">
        <v>15.1</v>
      </c>
      <c r="BJ226">
        <v>15.4</v>
      </c>
      <c r="BK226">
        <v>15</v>
      </c>
      <c r="BL226">
        <v>15.4</v>
      </c>
      <c r="BM226">
        <v>15</v>
      </c>
      <c r="BN226">
        <v>15.2</v>
      </c>
      <c r="BO226">
        <v>15.4</v>
      </c>
      <c r="BP226">
        <v>15.3</v>
      </c>
    </row>
    <row r="227" spans="1:69" x14ac:dyDescent="0.35">
      <c r="A227" t="s">
        <v>378</v>
      </c>
      <c r="B227" t="s">
        <v>335</v>
      </c>
      <c r="C227" t="s">
        <v>745</v>
      </c>
      <c r="D227" t="s">
        <v>746</v>
      </c>
      <c r="AF227">
        <v>14.8</v>
      </c>
      <c r="AL227">
        <v>13.4</v>
      </c>
      <c r="AP227">
        <v>14.9</v>
      </c>
      <c r="AQ227">
        <v>13.4</v>
      </c>
      <c r="AR227">
        <v>15</v>
      </c>
      <c r="AU227">
        <v>13.4</v>
      </c>
      <c r="AV227">
        <v>12.6</v>
      </c>
      <c r="AW227">
        <v>14.6</v>
      </c>
      <c r="AX227">
        <v>14.6</v>
      </c>
      <c r="AY227">
        <v>14.7</v>
      </c>
      <c r="AZ227">
        <v>14.7</v>
      </c>
      <c r="BA227">
        <v>14.9</v>
      </c>
      <c r="BB227">
        <v>14.6</v>
      </c>
      <c r="BC227">
        <v>14.7</v>
      </c>
      <c r="BD227">
        <v>14.7</v>
      </c>
      <c r="BE227">
        <v>14.6</v>
      </c>
      <c r="BF227">
        <v>14.4</v>
      </c>
      <c r="BG227">
        <v>14.5</v>
      </c>
      <c r="BH227">
        <v>14.5</v>
      </c>
      <c r="BI227">
        <v>14.7</v>
      </c>
      <c r="BJ227">
        <v>14.8</v>
      </c>
      <c r="BK227">
        <v>14.6</v>
      </c>
      <c r="BL227">
        <v>14.7</v>
      </c>
      <c r="BM227">
        <v>14.8</v>
      </c>
      <c r="BN227">
        <v>14.7</v>
      </c>
      <c r="BO227">
        <v>14.7</v>
      </c>
      <c r="BP227">
        <v>14.6</v>
      </c>
    </row>
    <row r="228" spans="1:69" x14ac:dyDescent="0.35">
      <c r="A228" t="s">
        <v>73</v>
      </c>
      <c r="B228" t="s">
        <v>291</v>
      </c>
      <c r="C228" t="s">
        <v>745</v>
      </c>
      <c r="D228" t="s">
        <v>746</v>
      </c>
      <c r="T228">
        <v>14.6</v>
      </c>
      <c r="Z228">
        <v>15.1</v>
      </c>
      <c r="AF228">
        <v>15</v>
      </c>
      <c r="AK228">
        <v>14.6</v>
      </c>
      <c r="AN228">
        <v>14.5</v>
      </c>
      <c r="AS228">
        <v>14.1</v>
      </c>
      <c r="AT228">
        <v>14.2</v>
      </c>
      <c r="AU228">
        <v>14.3</v>
      </c>
      <c r="AV228">
        <v>14.6</v>
      </c>
      <c r="AW228">
        <v>14.3</v>
      </c>
      <c r="AX228">
        <v>14.4</v>
      </c>
      <c r="AY228">
        <v>14.3</v>
      </c>
      <c r="AZ228">
        <v>14.3</v>
      </c>
      <c r="BA228">
        <v>14.1</v>
      </c>
      <c r="BB228">
        <v>14.3</v>
      </c>
      <c r="BC228">
        <v>14.2</v>
      </c>
      <c r="BD228">
        <v>14.3</v>
      </c>
      <c r="BE228">
        <v>14.3</v>
      </c>
      <c r="BF228">
        <v>14</v>
      </c>
      <c r="BG228">
        <v>14</v>
      </c>
      <c r="BH228">
        <v>13.9</v>
      </c>
      <c r="BI228">
        <v>13.8</v>
      </c>
      <c r="BJ228">
        <v>13.9</v>
      </c>
      <c r="BK228">
        <v>13.7</v>
      </c>
      <c r="BL228">
        <v>13.8</v>
      </c>
      <c r="BM228">
        <v>13.8</v>
      </c>
      <c r="BN228">
        <v>13.7</v>
      </c>
      <c r="BO228">
        <v>13.5</v>
      </c>
      <c r="BP228">
        <v>13.8</v>
      </c>
    </row>
    <row r="229" spans="1:69" x14ac:dyDescent="0.35">
      <c r="A229" t="s">
        <v>656</v>
      </c>
      <c r="B229" t="s">
        <v>139</v>
      </c>
      <c r="C229" t="s">
        <v>745</v>
      </c>
      <c r="D229" t="s">
        <v>746</v>
      </c>
      <c r="AM229">
        <v>5.9</v>
      </c>
      <c r="AS229">
        <v>7.5</v>
      </c>
      <c r="BB229">
        <v>7.5</v>
      </c>
      <c r="BI229">
        <v>6.8</v>
      </c>
    </row>
    <row r="230" spans="1:69" x14ac:dyDescent="0.35">
      <c r="A230" t="s">
        <v>368</v>
      </c>
      <c r="B230" t="s">
        <v>418</v>
      </c>
      <c r="C230" t="s">
        <v>745</v>
      </c>
      <c r="D230" t="s">
        <v>746</v>
      </c>
    </row>
    <row r="231" spans="1:69" x14ac:dyDescent="0.35">
      <c r="A231" t="s">
        <v>504</v>
      </c>
      <c r="B231" t="s">
        <v>155</v>
      </c>
      <c r="C231" t="s">
        <v>745</v>
      </c>
      <c r="D231" t="s">
        <v>746</v>
      </c>
      <c r="AR231">
        <v>10.1</v>
      </c>
      <c r="AY231">
        <v>9.9</v>
      </c>
      <c r="BF231">
        <v>9.8000000000000007</v>
      </c>
      <c r="BK231">
        <v>12.6</v>
      </c>
    </row>
    <row r="232" spans="1:69" x14ac:dyDescent="0.35">
      <c r="A232" t="s">
        <v>179</v>
      </c>
      <c r="B232" t="s">
        <v>224</v>
      </c>
      <c r="C232" t="s">
        <v>745</v>
      </c>
      <c r="D232" t="s">
        <v>746</v>
      </c>
      <c r="AO232">
        <v>11.8</v>
      </c>
      <c r="AV232">
        <v>11.1</v>
      </c>
      <c r="AY232">
        <v>10.3</v>
      </c>
      <c r="BB232">
        <v>10.3</v>
      </c>
      <c r="BO232">
        <v>14</v>
      </c>
    </row>
    <row r="233" spans="1:69" x14ac:dyDescent="0.35">
      <c r="A233" t="s">
        <v>124</v>
      </c>
      <c r="B233" t="s">
        <v>233</v>
      </c>
      <c r="C233" t="s">
        <v>745</v>
      </c>
      <c r="D233" t="s">
        <v>746</v>
      </c>
    </row>
    <row r="234" spans="1:69" x14ac:dyDescent="0.35">
      <c r="A234" t="s">
        <v>609</v>
      </c>
      <c r="B234" t="s">
        <v>582</v>
      </c>
      <c r="C234" t="s">
        <v>745</v>
      </c>
      <c r="D234" t="s">
        <v>746</v>
      </c>
      <c r="AV234">
        <v>10.4</v>
      </c>
      <c r="BD234">
        <v>9.6999999999999993</v>
      </c>
      <c r="BK234">
        <v>11.1</v>
      </c>
      <c r="BO234">
        <v>11</v>
      </c>
    </row>
    <row r="235" spans="1:69" x14ac:dyDescent="0.35">
      <c r="A235" t="s">
        <v>713</v>
      </c>
      <c r="B235" t="s">
        <v>379</v>
      </c>
      <c r="C235" t="s">
        <v>745</v>
      </c>
      <c r="D235" t="s">
        <v>746</v>
      </c>
    </row>
    <row r="236" spans="1:69" x14ac:dyDescent="0.35">
      <c r="A236" t="s">
        <v>489</v>
      </c>
      <c r="B236" t="s">
        <v>513</v>
      </c>
      <c r="C236" t="s">
        <v>745</v>
      </c>
      <c r="D236" t="s">
        <v>746</v>
      </c>
    </row>
    <row r="237" spans="1:69" x14ac:dyDescent="0.35">
      <c r="A237" t="s">
        <v>260</v>
      </c>
      <c r="B237" t="s">
        <v>388</v>
      </c>
      <c r="C237" t="s">
        <v>745</v>
      </c>
      <c r="D237" t="s">
        <v>746</v>
      </c>
      <c r="AY237">
        <v>9.6999999999999993</v>
      </c>
      <c r="BD237">
        <v>8.6999999999999993</v>
      </c>
      <c r="BH237">
        <v>9.5</v>
      </c>
      <c r="BK237">
        <v>9.8000000000000007</v>
      </c>
      <c r="BN237">
        <v>11</v>
      </c>
    </row>
    <row r="238" spans="1:69" x14ac:dyDescent="0.35">
      <c r="A238" t="s">
        <v>557</v>
      </c>
      <c r="B238" t="s">
        <v>450</v>
      </c>
      <c r="C238" t="s">
        <v>745</v>
      </c>
      <c r="D238" t="s">
        <v>746</v>
      </c>
      <c r="Z238">
        <v>9</v>
      </c>
      <c r="AG238">
        <v>9.4</v>
      </c>
      <c r="AI238">
        <v>9.1</v>
      </c>
      <c r="AK238">
        <v>8.5</v>
      </c>
      <c r="AM238">
        <v>9.6</v>
      </c>
      <c r="AO238">
        <v>9.8000000000000007</v>
      </c>
      <c r="AQ238">
        <v>9.9</v>
      </c>
      <c r="AR238">
        <v>9.6</v>
      </c>
      <c r="AS238">
        <v>9.6</v>
      </c>
      <c r="AU238">
        <v>9.9</v>
      </c>
      <c r="AW238">
        <v>9.6999999999999993</v>
      </c>
      <c r="AY238">
        <v>9.9</v>
      </c>
      <c r="AZ238">
        <v>10.3</v>
      </c>
      <c r="BA238">
        <v>10.1</v>
      </c>
      <c r="BB238">
        <v>10.3</v>
      </c>
      <c r="BC238">
        <v>10.4</v>
      </c>
      <c r="BD238">
        <v>11</v>
      </c>
      <c r="BE238">
        <v>10.4</v>
      </c>
      <c r="BF238">
        <v>10.8</v>
      </c>
      <c r="BG238">
        <v>11</v>
      </c>
      <c r="BH238">
        <v>11.3</v>
      </c>
      <c r="BI238">
        <v>11.1</v>
      </c>
      <c r="BJ238">
        <v>11.1</v>
      </c>
      <c r="BK238">
        <v>11.1</v>
      </c>
      <c r="BL238">
        <v>11.5</v>
      </c>
      <c r="BM238">
        <v>11.5</v>
      </c>
      <c r="BN238">
        <v>11.5</v>
      </c>
      <c r="BO238">
        <v>11.7</v>
      </c>
      <c r="BP238">
        <v>11.9</v>
      </c>
    </row>
    <row r="239" spans="1:69" x14ac:dyDescent="0.35">
      <c r="A239" t="s">
        <v>47</v>
      </c>
      <c r="B239" t="s">
        <v>49</v>
      </c>
      <c r="C239" t="s">
        <v>745</v>
      </c>
      <c r="D239" t="s">
        <v>746</v>
      </c>
      <c r="AR239">
        <v>13.4</v>
      </c>
      <c r="AV239">
        <v>12.3</v>
      </c>
      <c r="AW239">
        <v>12.1</v>
      </c>
      <c r="AZ239">
        <v>13</v>
      </c>
      <c r="BB239">
        <v>12.7</v>
      </c>
      <c r="BH239">
        <v>12</v>
      </c>
      <c r="BN239">
        <v>12.3</v>
      </c>
      <c r="BO239">
        <v>10.9</v>
      </c>
      <c r="BP239">
        <v>11.2</v>
      </c>
      <c r="BQ239">
        <v>11.5</v>
      </c>
    </row>
    <row r="240" spans="1:69" x14ac:dyDescent="0.35">
      <c r="A240" t="s">
        <v>524</v>
      </c>
      <c r="B240" t="s">
        <v>267</v>
      </c>
      <c r="C240" t="s">
        <v>745</v>
      </c>
      <c r="D240" t="s">
        <v>746</v>
      </c>
      <c r="AQ240">
        <v>10.3</v>
      </c>
    </row>
    <row r="241" spans="1:69" x14ac:dyDescent="0.35">
      <c r="A241" t="s">
        <v>147</v>
      </c>
      <c r="B241" t="s">
        <v>611</v>
      </c>
      <c r="C241" t="s">
        <v>745</v>
      </c>
      <c r="D241" t="s">
        <v>746</v>
      </c>
    </row>
    <row r="242" spans="1:69" x14ac:dyDescent="0.35">
      <c r="A242" t="s">
        <v>673</v>
      </c>
      <c r="B242" t="s">
        <v>289</v>
      </c>
      <c r="C242" t="s">
        <v>745</v>
      </c>
      <c r="D242" t="s">
        <v>746</v>
      </c>
      <c r="AT242">
        <v>11.5</v>
      </c>
      <c r="AZ242">
        <v>13.5</v>
      </c>
      <c r="BG242">
        <v>13.4</v>
      </c>
    </row>
    <row r="243" spans="1:69" x14ac:dyDescent="0.35">
      <c r="A243" t="s">
        <v>718</v>
      </c>
      <c r="B243" t="s">
        <v>469</v>
      </c>
      <c r="C243" t="s">
        <v>745</v>
      </c>
      <c r="D243" t="s">
        <v>746</v>
      </c>
    </row>
    <row r="244" spans="1:69" x14ac:dyDescent="0.35">
      <c r="A244" t="s">
        <v>646</v>
      </c>
      <c r="B244" t="s">
        <v>624</v>
      </c>
      <c r="C244" t="s">
        <v>745</v>
      </c>
      <c r="D244" t="s">
        <v>746</v>
      </c>
      <c r="AS244">
        <v>11</v>
      </c>
      <c r="BB244">
        <v>11.1</v>
      </c>
      <c r="BH244">
        <v>12.3</v>
      </c>
      <c r="BN244">
        <v>13.8</v>
      </c>
    </row>
    <row r="245" spans="1:69" x14ac:dyDescent="0.35">
      <c r="A245" t="s">
        <v>8</v>
      </c>
      <c r="B245" t="s">
        <v>91</v>
      </c>
      <c r="C245" t="s">
        <v>745</v>
      </c>
      <c r="D245" t="s">
        <v>746</v>
      </c>
    </row>
    <row r="246" spans="1:69" x14ac:dyDescent="0.35">
      <c r="A246" t="s">
        <v>240</v>
      </c>
      <c r="B246" t="s">
        <v>505</v>
      </c>
      <c r="C246" t="s">
        <v>745</v>
      </c>
      <c r="D246" t="s">
        <v>746</v>
      </c>
    </row>
    <row r="247" spans="1:69" x14ac:dyDescent="0.35">
      <c r="A247" t="s">
        <v>665</v>
      </c>
      <c r="B247" t="s">
        <v>176</v>
      </c>
      <c r="C247" t="s">
        <v>745</v>
      </c>
      <c r="D247" t="s">
        <v>746</v>
      </c>
      <c r="AG247">
        <v>9.6</v>
      </c>
      <c r="AK247">
        <v>10.4</v>
      </c>
    </row>
    <row r="248" spans="1:69" x14ac:dyDescent="0.35">
      <c r="A248" t="s">
        <v>214</v>
      </c>
      <c r="B248" t="s">
        <v>21</v>
      </c>
      <c r="C248" t="s">
        <v>745</v>
      </c>
      <c r="D248" t="s">
        <v>746</v>
      </c>
      <c r="AD248">
        <v>9.6</v>
      </c>
      <c r="AI248">
        <v>10.4</v>
      </c>
      <c r="AN248">
        <v>9.9</v>
      </c>
      <c r="AS248">
        <v>10.199999999999999</v>
      </c>
      <c r="AX248">
        <v>11.2</v>
      </c>
      <c r="BC248">
        <v>10.9</v>
      </c>
      <c r="BH248">
        <v>12.3</v>
      </c>
      <c r="BN248">
        <v>12.3</v>
      </c>
    </row>
    <row r="249" spans="1:69" x14ac:dyDescent="0.35">
      <c r="A249" t="s">
        <v>121</v>
      </c>
      <c r="B249" t="s">
        <v>432</v>
      </c>
      <c r="C249" t="s">
        <v>745</v>
      </c>
      <c r="D249" t="s">
        <v>746</v>
      </c>
      <c r="AF249">
        <v>10.199999999999999</v>
      </c>
      <c r="AM249">
        <v>10.1</v>
      </c>
      <c r="AU249">
        <v>10.1</v>
      </c>
      <c r="AV249">
        <v>10</v>
      </c>
      <c r="AW249">
        <v>10.1</v>
      </c>
      <c r="AX249">
        <v>10</v>
      </c>
      <c r="AY249">
        <v>10.6</v>
      </c>
      <c r="AZ249">
        <v>11</v>
      </c>
      <c r="BA249">
        <v>10.9</v>
      </c>
      <c r="BB249">
        <v>10.8</v>
      </c>
      <c r="BC249">
        <v>11</v>
      </c>
      <c r="BD249">
        <v>10.6</v>
      </c>
      <c r="BE249">
        <v>10.5</v>
      </c>
      <c r="BF249">
        <v>10.5</v>
      </c>
      <c r="BG249">
        <v>10.199999999999999</v>
      </c>
      <c r="BH249">
        <v>9.9</v>
      </c>
      <c r="BI249">
        <v>9.9</v>
      </c>
      <c r="BJ249">
        <v>9.6999999999999993</v>
      </c>
      <c r="BK249">
        <v>10</v>
      </c>
      <c r="BL249">
        <v>9.6</v>
      </c>
      <c r="BM249">
        <v>9.8000000000000007</v>
      </c>
      <c r="BN249">
        <v>9.5</v>
      </c>
      <c r="BO249">
        <v>9.5</v>
      </c>
    </row>
    <row r="250" spans="1:69" x14ac:dyDescent="0.35">
      <c r="A250" t="s">
        <v>443</v>
      </c>
      <c r="B250" t="s">
        <v>98</v>
      </c>
      <c r="C250" t="s">
        <v>745</v>
      </c>
      <c r="D250" t="s">
        <v>746</v>
      </c>
      <c r="BC250">
        <v>10.8</v>
      </c>
    </row>
    <row r="251" spans="1:69" x14ac:dyDescent="0.35">
      <c r="A251" t="s">
        <v>569</v>
      </c>
      <c r="B251" t="s">
        <v>467</v>
      </c>
      <c r="C251" t="s">
        <v>745</v>
      </c>
      <c r="D251" t="s">
        <v>746</v>
      </c>
      <c r="AJ251">
        <v>11.8</v>
      </c>
      <c r="AS251">
        <v>11.3</v>
      </c>
      <c r="AZ251">
        <v>10.6</v>
      </c>
      <c r="BD251">
        <v>11.1</v>
      </c>
      <c r="BK251">
        <v>10.5</v>
      </c>
    </row>
    <row r="252" spans="1:69" x14ac:dyDescent="0.35">
      <c r="A252" t="s">
        <v>694</v>
      </c>
      <c r="B252" t="s">
        <v>161</v>
      </c>
      <c r="C252" t="s">
        <v>745</v>
      </c>
      <c r="D252" t="s">
        <v>746</v>
      </c>
      <c r="AH252">
        <v>9.3000000000000007</v>
      </c>
      <c r="AK252">
        <v>10.4</v>
      </c>
      <c r="AO252">
        <v>10.8</v>
      </c>
      <c r="AR252">
        <v>10</v>
      </c>
      <c r="AU252">
        <v>9.6</v>
      </c>
      <c r="AX252">
        <v>9.9</v>
      </c>
      <c r="BB252">
        <v>9.8000000000000007</v>
      </c>
      <c r="BE252">
        <v>10.4</v>
      </c>
      <c r="BI252">
        <v>9.8000000000000007</v>
      </c>
      <c r="BL252">
        <v>10</v>
      </c>
    </row>
    <row r="253" spans="1:69" x14ac:dyDescent="0.35">
      <c r="A253" t="s">
        <v>441</v>
      </c>
      <c r="B253" t="s">
        <v>510</v>
      </c>
      <c r="C253" t="s">
        <v>745</v>
      </c>
      <c r="D253" t="s">
        <v>746</v>
      </c>
      <c r="AK253">
        <v>13.4</v>
      </c>
      <c r="AL253">
        <v>13.3</v>
      </c>
      <c r="AN253">
        <v>10.8</v>
      </c>
      <c r="AO253">
        <v>12</v>
      </c>
      <c r="AR253">
        <v>13.3</v>
      </c>
      <c r="AU253">
        <v>13.3</v>
      </c>
      <c r="AV253">
        <v>13.4</v>
      </c>
      <c r="AW253">
        <v>13.4</v>
      </c>
      <c r="AX253">
        <v>13.3</v>
      </c>
      <c r="AY253">
        <v>13.1</v>
      </c>
      <c r="AZ253">
        <v>13.8</v>
      </c>
      <c r="BA253">
        <v>13.9</v>
      </c>
      <c r="BB253">
        <v>14.3</v>
      </c>
      <c r="BC253">
        <v>14.3</v>
      </c>
      <c r="BD253">
        <v>14.4</v>
      </c>
      <c r="BE253">
        <v>14.3</v>
      </c>
      <c r="BF253">
        <v>14.5</v>
      </c>
      <c r="BG253">
        <v>14.6</v>
      </c>
      <c r="BH253">
        <v>14.3</v>
      </c>
      <c r="BI253">
        <v>14.4</v>
      </c>
      <c r="BJ253">
        <v>14</v>
      </c>
      <c r="BK253">
        <v>14.1</v>
      </c>
      <c r="BL253">
        <v>14.1</v>
      </c>
      <c r="BM253">
        <v>14.3</v>
      </c>
    </row>
    <row r="254" spans="1:69" x14ac:dyDescent="0.35">
      <c r="A254" t="s">
        <v>166</v>
      </c>
      <c r="B254" t="s">
        <v>594</v>
      </c>
      <c r="C254" t="s">
        <v>745</v>
      </c>
      <c r="D254" t="s">
        <v>746</v>
      </c>
    </row>
    <row r="255" spans="1:69" x14ac:dyDescent="0.35">
      <c r="A255" t="s">
        <v>532</v>
      </c>
      <c r="B255" t="s">
        <v>730</v>
      </c>
      <c r="C255" t="s">
        <v>745</v>
      </c>
      <c r="D255" t="s">
        <v>746</v>
      </c>
      <c r="Z255">
        <v>9.6</v>
      </c>
      <c r="AH255">
        <v>10</v>
      </c>
      <c r="AK255">
        <v>10.199999999999999</v>
      </c>
      <c r="AN255">
        <v>10.3</v>
      </c>
      <c r="AO255">
        <v>10.4</v>
      </c>
      <c r="AP255">
        <v>10.1</v>
      </c>
      <c r="AQ255">
        <v>9.9</v>
      </c>
      <c r="AS255">
        <v>9.6</v>
      </c>
      <c r="AT255">
        <v>9.1</v>
      </c>
      <c r="AU255">
        <v>8.9</v>
      </c>
      <c r="AV255">
        <v>9</v>
      </c>
      <c r="AW255">
        <v>8.8000000000000007</v>
      </c>
      <c r="AX255">
        <v>9.1</v>
      </c>
      <c r="AY255">
        <v>8.8000000000000007</v>
      </c>
      <c r="AZ255">
        <v>8.6999999999999993</v>
      </c>
      <c r="BA255">
        <v>9</v>
      </c>
      <c r="BB255">
        <v>9</v>
      </c>
      <c r="BC255">
        <v>9.1999999999999993</v>
      </c>
      <c r="BD255">
        <v>9.8000000000000007</v>
      </c>
      <c r="BE255">
        <v>10.4</v>
      </c>
      <c r="BF255">
        <v>10.3</v>
      </c>
      <c r="BG255">
        <v>10.4</v>
      </c>
      <c r="BH255">
        <v>10.4</v>
      </c>
      <c r="BI255">
        <v>10.5</v>
      </c>
      <c r="BJ255">
        <v>10.6</v>
      </c>
      <c r="BK255">
        <v>10.4</v>
      </c>
      <c r="BL255">
        <v>10.4</v>
      </c>
      <c r="BM255">
        <v>10.3</v>
      </c>
      <c r="BN255">
        <v>10.199999999999999</v>
      </c>
      <c r="BO255">
        <v>10.3</v>
      </c>
      <c r="BP255">
        <v>10.3</v>
      </c>
      <c r="BQ255">
        <v>10.5</v>
      </c>
    </row>
    <row r="256" spans="1:69" x14ac:dyDescent="0.35">
      <c r="A256" t="s">
        <v>408</v>
      </c>
      <c r="B256" t="s">
        <v>617</v>
      </c>
      <c r="C256" t="s">
        <v>745</v>
      </c>
      <c r="D256" t="s">
        <v>746</v>
      </c>
      <c r="H256">
        <v>11.8</v>
      </c>
      <c r="I256">
        <v>11.6</v>
      </c>
      <c r="J256">
        <v>11.7</v>
      </c>
      <c r="K256">
        <v>11.6</v>
      </c>
      <c r="L256">
        <v>11.6</v>
      </c>
      <c r="M256">
        <v>11.7</v>
      </c>
      <c r="N256">
        <v>11.8</v>
      </c>
      <c r="O256">
        <v>11.7</v>
      </c>
      <c r="P256">
        <v>11.6</v>
      </c>
      <c r="Q256">
        <v>11.7</v>
      </c>
      <c r="R256">
        <v>11.9</v>
      </c>
      <c r="S256">
        <v>12</v>
      </c>
      <c r="T256">
        <v>12</v>
      </c>
      <c r="U256">
        <v>11.9</v>
      </c>
      <c r="V256">
        <v>12</v>
      </c>
      <c r="W256">
        <v>12.2</v>
      </c>
      <c r="X256">
        <v>12.1</v>
      </c>
      <c r="Y256">
        <v>12.1</v>
      </c>
      <c r="Z256">
        <v>11.8</v>
      </c>
      <c r="AA256">
        <v>11.6</v>
      </c>
      <c r="AB256">
        <v>11.4</v>
      </c>
      <c r="AC256">
        <v>11.3</v>
      </c>
      <c r="AD256">
        <v>11.2</v>
      </c>
      <c r="AE256">
        <v>11.3</v>
      </c>
      <c r="AF256">
        <v>11.4</v>
      </c>
      <c r="AG256">
        <v>11.2</v>
      </c>
      <c r="AH256">
        <v>11.1</v>
      </c>
      <c r="AI256">
        <v>11</v>
      </c>
      <c r="AJ256">
        <v>11.1</v>
      </c>
      <c r="AK256">
        <v>11.1</v>
      </c>
      <c r="AL256">
        <v>10.6</v>
      </c>
      <c r="AM256">
        <v>10.7</v>
      </c>
      <c r="AN256">
        <v>10.7</v>
      </c>
      <c r="AO256">
        <v>10.6</v>
      </c>
      <c r="AP256">
        <v>10.6</v>
      </c>
      <c r="AQ256">
        <v>10.8</v>
      </c>
      <c r="AR256">
        <v>10.7</v>
      </c>
      <c r="AS256">
        <v>10.8</v>
      </c>
      <c r="AT256">
        <v>10.7</v>
      </c>
      <c r="AU256">
        <v>10.7</v>
      </c>
      <c r="AV256">
        <v>10.5</v>
      </c>
      <c r="AW256">
        <v>10.6</v>
      </c>
      <c r="AX256">
        <v>10.5</v>
      </c>
      <c r="AY256">
        <v>10.3</v>
      </c>
      <c r="AZ256">
        <v>10.4</v>
      </c>
      <c r="BA256">
        <v>10.4</v>
      </c>
      <c r="BB256">
        <v>10.4</v>
      </c>
      <c r="BC256">
        <v>10.5</v>
      </c>
      <c r="BD256">
        <v>10.3</v>
      </c>
      <c r="BE256">
        <v>10.3</v>
      </c>
      <c r="BF256">
        <v>10.3</v>
      </c>
      <c r="BG256">
        <v>10.199999999999999</v>
      </c>
      <c r="BH256">
        <v>10.199999999999999</v>
      </c>
      <c r="BI256">
        <v>10.3</v>
      </c>
      <c r="BJ256">
        <v>10.199999999999999</v>
      </c>
      <c r="BK256">
        <v>10.1</v>
      </c>
      <c r="BL256">
        <v>10.1</v>
      </c>
      <c r="BM256">
        <v>10.6</v>
      </c>
      <c r="BN256">
        <v>10.7</v>
      </c>
      <c r="BO256">
        <v>10.199999999999999</v>
      </c>
      <c r="BP256">
        <v>10.1</v>
      </c>
    </row>
    <row r="257" spans="1:69" x14ac:dyDescent="0.35">
      <c r="A257" t="s">
        <v>315</v>
      </c>
      <c r="B257" t="s">
        <v>158</v>
      </c>
      <c r="C257" t="s">
        <v>745</v>
      </c>
      <c r="D257" t="s">
        <v>746</v>
      </c>
      <c r="AQ257">
        <v>9.6</v>
      </c>
      <c r="AS257">
        <v>11.7</v>
      </c>
      <c r="AU257">
        <v>12.6</v>
      </c>
      <c r="AV257">
        <v>12</v>
      </c>
      <c r="BN257">
        <v>12.6</v>
      </c>
      <c r="BO257">
        <v>13.2</v>
      </c>
      <c r="BP257">
        <v>12.3</v>
      </c>
      <c r="BQ257">
        <v>12.1</v>
      </c>
    </row>
    <row r="258" spans="1:69" x14ac:dyDescent="0.35">
      <c r="A258" t="s">
        <v>55</v>
      </c>
      <c r="B258" t="s">
        <v>104</v>
      </c>
      <c r="C258" t="s">
        <v>745</v>
      </c>
      <c r="D258" t="s">
        <v>746</v>
      </c>
    </row>
    <row r="259" spans="1:69" x14ac:dyDescent="0.35">
      <c r="A259" t="s">
        <v>81</v>
      </c>
      <c r="B259" t="s">
        <v>324</v>
      </c>
      <c r="C259" t="s">
        <v>745</v>
      </c>
      <c r="D259" t="s">
        <v>746</v>
      </c>
      <c r="Z259">
        <v>6.5</v>
      </c>
      <c r="AF259">
        <v>6.8</v>
      </c>
      <c r="AH259">
        <v>9.6999999999999993</v>
      </c>
      <c r="AK259">
        <v>10.199999999999999</v>
      </c>
      <c r="AN259">
        <v>8.8000000000000007</v>
      </c>
      <c r="AQ259">
        <v>8.6</v>
      </c>
      <c r="AR259">
        <v>8.6999999999999993</v>
      </c>
      <c r="AT259">
        <v>8.8000000000000007</v>
      </c>
      <c r="AU259">
        <v>8.5</v>
      </c>
      <c r="AV259">
        <v>8.6999999999999993</v>
      </c>
      <c r="AW259">
        <v>8.9</v>
      </c>
      <c r="AX259">
        <v>8.6</v>
      </c>
      <c r="AY259">
        <v>9.6</v>
      </c>
    </row>
    <row r="260" spans="1:69" x14ac:dyDescent="0.35">
      <c r="A260" t="s">
        <v>332</v>
      </c>
      <c r="B260" t="s">
        <v>595</v>
      </c>
      <c r="C260" t="s">
        <v>745</v>
      </c>
      <c r="D260" t="s">
        <v>746</v>
      </c>
    </row>
    <row r="261" spans="1:69" x14ac:dyDescent="0.35">
      <c r="A261" t="s">
        <v>436</v>
      </c>
      <c r="B261" t="s">
        <v>138</v>
      </c>
      <c r="C261" t="s">
        <v>745</v>
      </c>
      <c r="D261" t="s">
        <v>746</v>
      </c>
    </row>
    <row r="262" spans="1:69" x14ac:dyDescent="0.35">
      <c r="A262" t="s">
        <v>399</v>
      </c>
      <c r="B262" t="s">
        <v>636</v>
      </c>
      <c r="C262" t="s">
        <v>745</v>
      </c>
      <c r="D262" t="s">
        <v>746</v>
      </c>
      <c r="AK262">
        <v>11.5</v>
      </c>
      <c r="AP262">
        <v>11.7</v>
      </c>
      <c r="AU262">
        <v>11.2</v>
      </c>
      <c r="AW262">
        <v>11.3</v>
      </c>
      <c r="AY262">
        <v>11.5</v>
      </c>
      <c r="BA262">
        <v>11.6</v>
      </c>
      <c r="BC262">
        <v>10.8</v>
      </c>
      <c r="BE262">
        <v>11.6</v>
      </c>
      <c r="BG262">
        <v>12</v>
      </c>
      <c r="BI262">
        <v>11.9</v>
      </c>
      <c r="BK262">
        <v>11.9</v>
      </c>
      <c r="BM262">
        <v>11.5</v>
      </c>
      <c r="BO262">
        <v>11.8</v>
      </c>
    </row>
    <row r="263" spans="1:69" x14ac:dyDescent="0.35">
      <c r="A263" t="s">
        <v>633</v>
      </c>
      <c r="B263" t="s">
        <v>125</v>
      </c>
      <c r="C263" t="s">
        <v>745</v>
      </c>
      <c r="D263" t="s">
        <v>746</v>
      </c>
      <c r="BC263">
        <v>11.2</v>
      </c>
      <c r="BL263">
        <v>12.4</v>
      </c>
    </row>
    <row r="264" spans="1:69" x14ac:dyDescent="0.35">
      <c r="A264" t="s">
        <v>591</v>
      </c>
      <c r="B264" t="s">
        <v>717</v>
      </c>
      <c r="C264" t="s">
        <v>745</v>
      </c>
      <c r="D264" t="s">
        <v>746</v>
      </c>
    </row>
    <row r="265" spans="1:69" x14ac:dyDescent="0.35">
      <c r="A265" t="s">
        <v>185</v>
      </c>
      <c r="B265" t="s">
        <v>491</v>
      </c>
      <c r="C265" t="s">
        <v>745</v>
      </c>
      <c r="D265" t="s">
        <v>746</v>
      </c>
      <c r="AU265">
        <v>10.6</v>
      </c>
      <c r="BA265">
        <v>10</v>
      </c>
      <c r="BF265">
        <v>11</v>
      </c>
    </row>
    <row r="266" spans="1:69" x14ac:dyDescent="0.35">
      <c r="A266" t="s">
        <v>442</v>
      </c>
      <c r="B266" t="s">
        <v>218</v>
      </c>
      <c r="C266" t="s">
        <v>745</v>
      </c>
      <c r="D266" t="s">
        <v>746</v>
      </c>
      <c r="AV266">
        <v>13</v>
      </c>
      <c r="AX266">
        <v>12.7</v>
      </c>
      <c r="AY266">
        <v>13</v>
      </c>
      <c r="BB266">
        <v>12.7</v>
      </c>
      <c r="BC266">
        <v>12.1</v>
      </c>
      <c r="BD266">
        <v>13.7</v>
      </c>
      <c r="BE266">
        <v>13.4</v>
      </c>
      <c r="BF266">
        <v>14.2</v>
      </c>
      <c r="BG266">
        <v>13.9</v>
      </c>
      <c r="BH266">
        <v>14</v>
      </c>
      <c r="BI266">
        <v>14</v>
      </c>
      <c r="BJ266">
        <v>9.8000000000000007</v>
      </c>
      <c r="BK266">
        <v>9.4</v>
      </c>
      <c r="BL266">
        <v>11.1</v>
      </c>
      <c r="BM266">
        <v>7.2</v>
      </c>
      <c r="BN266">
        <v>7.5</v>
      </c>
      <c r="BO266">
        <v>11.1</v>
      </c>
    </row>
    <row r="267" spans="1:69" x14ac:dyDescent="0.35">
      <c r="A267" t="s">
        <v>700</v>
      </c>
      <c r="B267" t="s">
        <v>16</v>
      </c>
      <c r="C267" t="s">
        <v>745</v>
      </c>
      <c r="D267" t="s">
        <v>746</v>
      </c>
      <c r="AQ267">
        <v>11.8</v>
      </c>
      <c r="AX267">
        <v>12</v>
      </c>
      <c r="BG267">
        <v>11.5</v>
      </c>
    </row>
    <row r="268" spans="1:69" x14ac:dyDescent="0.35">
      <c r="A268" t="s">
        <v>493</v>
      </c>
      <c r="B268" t="s">
        <v>397</v>
      </c>
      <c r="C268" t="s">
        <v>745</v>
      </c>
      <c r="D268" t="s">
        <v>746</v>
      </c>
      <c r="AL268">
        <v>5.3</v>
      </c>
      <c r="AS268">
        <v>5.6</v>
      </c>
      <c r="AX268">
        <v>4.7</v>
      </c>
      <c r="BA268">
        <v>4.9000000000000004</v>
      </c>
      <c r="BC268">
        <v>4.7</v>
      </c>
      <c r="BG268">
        <v>4.8</v>
      </c>
    </row>
    <row r="269" spans="1:69" x14ac:dyDescent="0.35">
      <c r="A269" t="s">
        <v>9</v>
      </c>
      <c r="B269" t="s">
        <v>437</v>
      </c>
      <c r="C269" t="s">
        <v>745</v>
      </c>
      <c r="D269" t="s">
        <v>746</v>
      </c>
      <c r="AJ269">
        <v>4.3</v>
      </c>
      <c r="AL269">
        <v>7</v>
      </c>
      <c r="AO269">
        <v>8.3000000000000007</v>
      </c>
      <c r="AQ269">
        <v>8.1</v>
      </c>
      <c r="AU269">
        <v>10.199999999999999</v>
      </c>
      <c r="AW269">
        <v>6.9</v>
      </c>
      <c r="AY269">
        <v>6.8</v>
      </c>
      <c r="BC269">
        <v>7.5</v>
      </c>
      <c r="BH269">
        <v>6.3</v>
      </c>
      <c r="BO269">
        <v>7.3</v>
      </c>
    </row>
    <row r="270" spans="1:69" x14ac:dyDescent="0.35">
      <c r="A270" t="s">
        <v>741</v>
      </c>
      <c r="B270" t="s">
        <v>350</v>
      </c>
      <c r="C270" t="s">
        <v>745</v>
      </c>
      <c r="D270" t="s">
        <v>746</v>
      </c>
      <c r="BD270">
        <v>9.5</v>
      </c>
      <c r="BJ270">
        <v>9.1</v>
      </c>
      <c r="BL270">
        <v>7.9</v>
      </c>
    </row>
  </sheetData>
  <pageMargins left="0.7" right="0.7" top="0.75" bottom="0.75" header="0.3" footer="0.3"/>
  <headerFooter alignWithMargins="0">
    <oddFooter>&amp;L_x000D_&amp;1#&amp;"Aptos"&amp;10&amp;K000000 LUT Group Confidential - Other information (3Y)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125B3-9701-45A4-86C7-1E482493355D}">
  <dimension ref="A1:BQ270"/>
  <sheetViews>
    <sheetView workbookViewId="0"/>
  </sheetViews>
  <sheetFormatPr defaultRowHeight="14.5" x14ac:dyDescent="0.35"/>
  <cols>
    <col min="1" max="1" width="60.1796875" bestFit="1" customWidth="1"/>
    <col min="2" max="2" width="25.6328125" bestFit="1" customWidth="1"/>
    <col min="3" max="3" width="26.36328125" bestFit="1" customWidth="1"/>
    <col min="4" max="4" width="13.26953125" bestFit="1" customWidth="1"/>
    <col min="5" max="69" width="5" bestFit="1" customWidth="1"/>
  </cols>
  <sheetData>
    <row r="1" spans="1:69" x14ac:dyDescent="0.35">
      <c r="A1" t="s">
        <v>642</v>
      </c>
      <c r="B1" t="s">
        <v>413</v>
      </c>
    </row>
    <row r="2" spans="1:69" x14ac:dyDescent="0.35">
      <c r="A2" t="s">
        <v>66</v>
      </c>
      <c r="B2" s="2">
        <v>46007</v>
      </c>
    </row>
    <row r="4" spans="1:69" x14ac:dyDescent="0.35">
      <c r="A4" t="s">
        <v>720</v>
      </c>
      <c r="B4" t="s">
        <v>487</v>
      </c>
      <c r="C4" t="s">
        <v>231</v>
      </c>
      <c r="D4" t="s">
        <v>728</v>
      </c>
      <c r="E4" t="s">
        <v>658</v>
      </c>
      <c r="F4" t="s">
        <v>136</v>
      </c>
      <c r="G4" t="s">
        <v>193</v>
      </c>
      <c r="H4" t="s">
        <v>261</v>
      </c>
      <c r="I4" t="s">
        <v>323</v>
      </c>
      <c r="J4" t="s">
        <v>548</v>
      </c>
      <c r="K4" t="s">
        <v>602</v>
      </c>
      <c r="L4" t="s">
        <v>661</v>
      </c>
      <c r="M4" t="s">
        <v>712</v>
      </c>
      <c r="N4" t="s">
        <v>195</v>
      </c>
      <c r="O4" t="s">
        <v>727</v>
      </c>
      <c r="P4" t="s">
        <v>38</v>
      </c>
      <c r="Q4" t="s">
        <v>281</v>
      </c>
      <c r="R4" t="s">
        <v>337</v>
      </c>
      <c r="S4" t="s">
        <v>391</v>
      </c>
      <c r="T4" t="s">
        <v>447</v>
      </c>
      <c r="U4" t="s">
        <v>678</v>
      </c>
      <c r="V4" t="s">
        <v>733</v>
      </c>
      <c r="W4" t="s">
        <v>45</v>
      </c>
      <c r="X4" t="s">
        <v>116</v>
      </c>
      <c r="Y4" t="s">
        <v>62</v>
      </c>
      <c r="Z4" t="s">
        <v>133</v>
      </c>
      <c r="AA4" t="s">
        <v>186</v>
      </c>
      <c r="AB4" t="s">
        <v>403</v>
      </c>
      <c r="AC4" t="s">
        <v>464</v>
      </c>
      <c r="AD4" t="s">
        <v>544</v>
      </c>
      <c r="AE4" t="s">
        <v>598</v>
      </c>
      <c r="AF4" t="s">
        <v>67</v>
      </c>
      <c r="AG4" t="s">
        <v>137</v>
      </c>
      <c r="AH4" t="s">
        <v>194</v>
      </c>
      <c r="AI4" t="s">
        <v>148</v>
      </c>
      <c r="AJ4" t="s">
        <v>204</v>
      </c>
      <c r="AK4" t="s">
        <v>275</v>
      </c>
      <c r="AL4" t="s">
        <v>334</v>
      </c>
      <c r="AM4" t="s">
        <v>558</v>
      </c>
      <c r="AN4" t="s">
        <v>610</v>
      </c>
      <c r="AO4" t="s">
        <v>676</v>
      </c>
      <c r="AP4" t="s">
        <v>729</v>
      </c>
      <c r="AQ4" t="s">
        <v>211</v>
      </c>
      <c r="AR4" t="s">
        <v>282</v>
      </c>
      <c r="AS4" t="s">
        <v>579</v>
      </c>
      <c r="AT4" t="s">
        <v>631</v>
      </c>
      <c r="AU4" t="s">
        <v>107</v>
      </c>
      <c r="AV4" t="s">
        <v>173</v>
      </c>
      <c r="AW4" t="s">
        <v>236</v>
      </c>
      <c r="AX4" t="s">
        <v>308</v>
      </c>
      <c r="AY4" t="s">
        <v>523</v>
      </c>
      <c r="AZ4" t="s">
        <v>584</v>
      </c>
      <c r="BA4" t="s">
        <v>638</v>
      </c>
      <c r="BB4" t="s">
        <v>110</v>
      </c>
      <c r="BC4" t="s">
        <v>647</v>
      </c>
      <c r="BD4" t="s">
        <v>701</v>
      </c>
      <c r="BE4" t="s">
        <v>19</v>
      </c>
      <c r="BF4" t="s">
        <v>252</v>
      </c>
      <c r="BG4" t="s">
        <v>319</v>
      </c>
      <c r="BH4" t="s">
        <v>371</v>
      </c>
      <c r="BI4" t="s">
        <v>428</v>
      </c>
      <c r="BJ4" t="s">
        <v>652</v>
      </c>
      <c r="BK4" t="s">
        <v>705</v>
      </c>
      <c r="BL4" t="s">
        <v>23</v>
      </c>
      <c r="BM4" t="s">
        <v>719</v>
      </c>
      <c r="BN4" t="s">
        <v>34</v>
      </c>
      <c r="BO4" t="s">
        <v>103</v>
      </c>
      <c r="BP4" t="s">
        <v>171</v>
      </c>
      <c r="BQ4" t="s">
        <v>385</v>
      </c>
    </row>
    <row r="5" spans="1:69" x14ac:dyDescent="0.35">
      <c r="A5" t="s">
        <v>529</v>
      </c>
      <c r="B5" t="s">
        <v>12</v>
      </c>
      <c r="C5" t="s">
        <v>747</v>
      </c>
      <c r="D5" t="s">
        <v>748</v>
      </c>
    </row>
    <row r="6" spans="1:69" x14ac:dyDescent="0.35">
      <c r="A6" t="s">
        <v>542</v>
      </c>
      <c r="B6" t="s">
        <v>511</v>
      </c>
      <c r="C6" t="s">
        <v>747</v>
      </c>
      <c r="D6" t="s">
        <v>748</v>
      </c>
    </row>
    <row r="7" spans="1:69" x14ac:dyDescent="0.35">
      <c r="A7" t="s">
        <v>336</v>
      </c>
      <c r="B7" t="s">
        <v>628</v>
      </c>
      <c r="C7" t="s">
        <v>747</v>
      </c>
      <c r="D7" t="s">
        <v>748</v>
      </c>
    </row>
    <row r="8" spans="1:69" x14ac:dyDescent="0.35">
      <c r="A8" t="s">
        <v>706</v>
      </c>
      <c r="B8" t="s">
        <v>177</v>
      </c>
      <c r="C8" t="s">
        <v>747</v>
      </c>
      <c r="D8" t="s">
        <v>748</v>
      </c>
    </row>
    <row r="9" spans="1:69" x14ac:dyDescent="0.35">
      <c r="A9" t="s">
        <v>326</v>
      </c>
      <c r="B9" t="s">
        <v>18</v>
      </c>
      <c r="C9" t="s">
        <v>747</v>
      </c>
      <c r="D9" t="s">
        <v>748</v>
      </c>
      <c r="AS9">
        <v>12.7</v>
      </c>
      <c r="BA9">
        <v>14.5</v>
      </c>
      <c r="BK9">
        <v>12.6</v>
      </c>
    </row>
    <row r="10" spans="1:69" x14ac:dyDescent="0.35">
      <c r="A10" t="s">
        <v>207</v>
      </c>
      <c r="B10" t="s">
        <v>462</v>
      </c>
      <c r="C10" t="s">
        <v>747</v>
      </c>
      <c r="D10" t="s">
        <v>748</v>
      </c>
      <c r="AO10">
        <v>17.600000000000001</v>
      </c>
      <c r="AU10">
        <v>16.5</v>
      </c>
      <c r="AX10">
        <v>17</v>
      </c>
      <c r="BA10">
        <v>16.8</v>
      </c>
      <c r="BE10">
        <v>17.3</v>
      </c>
      <c r="BG10">
        <v>16.399999999999999</v>
      </c>
      <c r="BH10">
        <v>16.5</v>
      </c>
      <c r="BI10">
        <v>16.399999999999999</v>
      </c>
      <c r="BJ10">
        <v>16.5</v>
      </c>
      <c r="BK10">
        <v>17.5</v>
      </c>
      <c r="BL10">
        <v>17</v>
      </c>
      <c r="BM10">
        <v>17.3</v>
      </c>
    </row>
    <row r="11" spans="1:69" x14ac:dyDescent="0.35">
      <c r="A11" t="s">
        <v>351</v>
      </c>
      <c r="B11" t="s">
        <v>738</v>
      </c>
      <c r="C11" t="s">
        <v>747</v>
      </c>
      <c r="D11" t="s">
        <v>748</v>
      </c>
    </row>
    <row r="12" spans="1:69" x14ac:dyDescent="0.35">
      <c r="A12" t="s">
        <v>115</v>
      </c>
      <c r="B12" t="s">
        <v>618</v>
      </c>
      <c r="C12" t="s">
        <v>747</v>
      </c>
      <c r="D12" t="s">
        <v>748</v>
      </c>
    </row>
    <row r="13" spans="1:69" x14ac:dyDescent="0.35">
      <c r="A13" t="s">
        <v>46</v>
      </c>
      <c r="B13" t="s">
        <v>217</v>
      </c>
      <c r="C13" t="s">
        <v>747</v>
      </c>
      <c r="D13" t="s">
        <v>748</v>
      </c>
      <c r="BF13">
        <v>18</v>
      </c>
      <c r="BK13">
        <v>18.899999999999999</v>
      </c>
    </row>
    <row r="14" spans="1:69" x14ac:dyDescent="0.35">
      <c r="A14" t="s">
        <v>318</v>
      </c>
      <c r="B14" t="s">
        <v>500</v>
      </c>
      <c r="C14" t="s">
        <v>747</v>
      </c>
      <c r="D14" t="s">
        <v>748</v>
      </c>
      <c r="Y14">
        <v>15.4</v>
      </c>
      <c r="AE14">
        <v>14.6</v>
      </c>
      <c r="AF14">
        <v>14.1</v>
      </c>
      <c r="AJ14">
        <v>13.3</v>
      </c>
      <c r="AK14">
        <v>13.9</v>
      </c>
      <c r="AL14">
        <v>14.3</v>
      </c>
      <c r="AM14">
        <v>14</v>
      </c>
      <c r="AN14">
        <v>13.3</v>
      </c>
      <c r="AO14">
        <v>13.1</v>
      </c>
      <c r="AP14">
        <v>13.2</v>
      </c>
      <c r="AQ14">
        <v>12.7</v>
      </c>
      <c r="AR14">
        <v>13.1</v>
      </c>
      <c r="AS14">
        <v>12.8</v>
      </c>
      <c r="AT14">
        <v>12.3</v>
      </c>
      <c r="AU14">
        <v>12.2</v>
      </c>
      <c r="AV14">
        <v>12.7</v>
      </c>
      <c r="AW14">
        <v>13.6</v>
      </c>
      <c r="AX14">
        <v>13.7</v>
      </c>
      <c r="AY14">
        <v>14.2</v>
      </c>
      <c r="AZ14">
        <v>14.2</v>
      </c>
      <c r="BA14">
        <v>14.5</v>
      </c>
      <c r="BB14">
        <v>15</v>
      </c>
      <c r="BC14">
        <v>14.9</v>
      </c>
      <c r="BD14">
        <v>15</v>
      </c>
      <c r="BE14">
        <v>15.4</v>
      </c>
      <c r="BF14">
        <v>15.5</v>
      </c>
      <c r="BG14">
        <v>15.1</v>
      </c>
      <c r="BI14">
        <v>15.1</v>
      </c>
      <c r="BJ14">
        <v>15.3</v>
      </c>
      <c r="BK14">
        <v>15.3</v>
      </c>
      <c r="BL14">
        <v>14.9</v>
      </c>
      <c r="BM14">
        <v>15</v>
      </c>
      <c r="BN14">
        <v>14.9</v>
      </c>
      <c r="BO14">
        <v>15.2</v>
      </c>
      <c r="BP14">
        <v>14.9</v>
      </c>
      <c r="BQ14">
        <v>14.8</v>
      </c>
    </row>
    <row r="15" spans="1:69" x14ac:dyDescent="0.35">
      <c r="A15" t="s">
        <v>89</v>
      </c>
      <c r="B15" t="s">
        <v>293</v>
      </c>
      <c r="C15" t="s">
        <v>747</v>
      </c>
      <c r="D15" t="s">
        <v>748</v>
      </c>
      <c r="AO15">
        <v>13.9</v>
      </c>
      <c r="AR15">
        <v>15.4</v>
      </c>
      <c r="AT15">
        <v>15.6</v>
      </c>
      <c r="AU15">
        <v>15.6</v>
      </c>
      <c r="AV15">
        <v>15.9</v>
      </c>
      <c r="AW15">
        <v>15</v>
      </c>
      <c r="AX15">
        <v>15.2</v>
      </c>
      <c r="AY15">
        <v>17</v>
      </c>
      <c r="AZ15">
        <v>16.7</v>
      </c>
      <c r="BA15">
        <v>17</v>
      </c>
      <c r="BB15">
        <v>17.2</v>
      </c>
      <c r="BC15">
        <v>16.8</v>
      </c>
      <c r="BD15">
        <v>17</v>
      </c>
      <c r="BE15">
        <v>17.100000000000001</v>
      </c>
      <c r="BF15">
        <v>16.899999999999999</v>
      </c>
      <c r="BG15">
        <v>16.899999999999999</v>
      </c>
      <c r="BH15">
        <v>16.7</v>
      </c>
      <c r="BI15">
        <v>17</v>
      </c>
      <c r="BJ15">
        <v>15.9</v>
      </c>
      <c r="BK15">
        <v>15.9</v>
      </c>
      <c r="BL15">
        <v>17</v>
      </c>
      <c r="BM15">
        <v>17.8</v>
      </c>
      <c r="BN15">
        <v>17.3</v>
      </c>
      <c r="BO15">
        <v>17.5</v>
      </c>
      <c r="BP15">
        <v>17.5</v>
      </c>
    </row>
    <row r="16" spans="1:69" x14ac:dyDescent="0.35">
      <c r="A16" t="s">
        <v>112</v>
      </c>
      <c r="B16" t="s">
        <v>360</v>
      </c>
      <c r="C16" t="s">
        <v>747</v>
      </c>
      <c r="D16" t="s">
        <v>748</v>
      </c>
    </row>
    <row r="17" spans="1:68" x14ac:dyDescent="0.35">
      <c r="A17" t="s">
        <v>417</v>
      </c>
      <c r="B17" t="s">
        <v>499</v>
      </c>
      <c r="C17" t="s">
        <v>747</v>
      </c>
      <c r="D17" t="s">
        <v>748</v>
      </c>
    </row>
    <row r="18" spans="1:68" x14ac:dyDescent="0.35">
      <c r="A18" t="s">
        <v>439</v>
      </c>
      <c r="B18" t="s">
        <v>309</v>
      </c>
      <c r="C18" t="s">
        <v>747</v>
      </c>
      <c r="D18" t="s">
        <v>748</v>
      </c>
      <c r="Z18">
        <v>17</v>
      </c>
      <c r="AD18">
        <v>16.600000000000001</v>
      </c>
      <c r="AH18">
        <v>16.7</v>
      </c>
      <c r="AN18">
        <v>16.7</v>
      </c>
      <c r="AT18">
        <v>16.5</v>
      </c>
      <c r="AV18">
        <v>16.5</v>
      </c>
      <c r="AW18">
        <v>16.5</v>
      </c>
      <c r="BA18">
        <v>15.9</v>
      </c>
      <c r="BC18">
        <v>16.100000000000001</v>
      </c>
      <c r="BG18">
        <v>16.2</v>
      </c>
      <c r="BI18">
        <v>16.5</v>
      </c>
      <c r="BK18">
        <v>16.399999999999999</v>
      </c>
      <c r="BM18">
        <v>16.600000000000001</v>
      </c>
    </row>
    <row r="19" spans="1:68" x14ac:dyDescent="0.35">
      <c r="A19" t="s">
        <v>63</v>
      </c>
      <c r="B19" t="s">
        <v>361</v>
      </c>
      <c r="C19" t="s">
        <v>747</v>
      </c>
      <c r="D19" t="s">
        <v>748</v>
      </c>
      <c r="AM19">
        <v>17</v>
      </c>
      <c r="AN19">
        <v>17.3</v>
      </c>
      <c r="AO19">
        <v>17.399999999999999</v>
      </c>
      <c r="AP19">
        <v>17.600000000000001</v>
      </c>
      <c r="AQ19">
        <v>16.899999999999999</v>
      </c>
      <c r="AR19">
        <v>17.3</v>
      </c>
      <c r="AS19">
        <v>17.5</v>
      </c>
      <c r="AV19">
        <v>17.399999999999999</v>
      </c>
      <c r="AW19">
        <v>17.2</v>
      </c>
      <c r="AX19">
        <v>17.5</v>
      </c>
      <c r="AY19">
        <v>17.2</v>
      </c>
      <c r="AZ19">
        <v>17.3</v>
      </c>
      <c r="BA19">
        <v>17.5</v>
      </c>
      <c r="BB19">
        <v>17.399999999999999</v>
      </c>
      <c r="BC19">
        <v>17.5</v>
      </c>
      <c r="BD19">
        <v>17.399999999999999</v>
      </c>
      <c r="BE19">
        <v>17.5</v>
      </c>
      <c r="BF19">
        <v>17.2</v>
      </c>
      <c r="BG19">
        <v>17.5</v>
      </c>
      <c r="BH19">
        <v>17.7</v>
      </c>
      <c r="BI19">
        <v>17.600000000000001</v>
      </c>
      <c r="BJ19">
        <v>17.8</v>
      </c>
      <c r="BK19">
        <v>17.399999999999999</v>
      </c>
      <c r="BL19">
        <v>17.5</v>
      </c>
      <c r="BM19">
        <v>17.8</v>
      </c>
      <c r="BN19">
        <v>17.7</v>
      </c>
      <c r="BO19">
        <v>17.7</v>
      </c>
      <c r="BP19">
        <v>17.5</v>
      </c>
    </row>
    <row r="20" spans="1:68" x14ac:dyDescent="0.35">
      <c r="A20" t="s">
        <v>537</v>
      </c>
      <c r="B20" t="s">
        <v>528</v>
      </c>
      <c r="C20" t="s">
        <v>747</v>
      </c>
      <c r="D20" t="s">
        <v>748</v>
      </c>
      <c r="AN20">
        <v>16.399999999999999</v>
      </c>
      <c r="AT20">
        <v>15.3</v>
      </c>
      <c r="AU20">
        <v>17.100000000000001</v>
      </c>
      <c r="AV20">
        <v>17.100000000000001</v>
      </c>
      <c r="AW20">
        <v>16.7</v>
      </c>
      <c r="AX20">
        <v>16.7</v>
      </c>
    </row>
    <row r="21" spans="1:68" x14ac:dyDescent="0.35">
      <c r="A21" t="s">
        <v>477</v>
      </c>
      <c r="B21" t="s">
        <v>550</v>
      </c>
      <c r="C21" t="s">
        <v>747</v>
      </c>
      <c r="D21" t="s">
        <v>748</v>
      </c>
      <c r="AK21">
        <v>16.3</v>
      </c>
      <c r="AQ21">
        <v>15.2</v>
      </c>
      <c r="AY21">
        <v>15.3</v>
      </c>
      <c r="BF21">
        <v>15</v>
      </c>
      <c r="BM21">
        <v>15.3</v>
      </c>
    </row>
    <row r="22" spans="1:68" x14ac:dyDescent="0.35">
      <c r="A22" t="s">
        <v>643</v>
      </c>
      <c r="B22" t="s">
        <v>48</v>
      </c>
      <c r="C22" t="s">
        <v>747</v>
      </c>
      <c r="D22" t="s">
        <v>748</v>
      </c>
      <c r="AD22">
        <v>18.3</v>
      </c>
      <c r="AG22">
        <v>18.2</v>
      </c>
      <c r="AK22">
        <v>18.399999999999999</v>
      </c>
      <c r="AN22">
        <v>17.8</v>
      </c>
      <c r="AP22">
        <v>18</v>
      </c>
      <c r="AS22">
        <v>16.3</v>
      </c>
      <c r="AV22">
        <v>17.899999999999999</v>
      </c>
      <c r="AW22">
        <v>17.100000000000001</v>
      </c>
      <c r="AX22">
        <v>17.3</v>
      </c>
      <c r="AY22">
        <v>17.7</v>
      </c>
      <c r="AZ22">
        <v>17.399999999999999</v>
      </c>
      <c r="BA22">
        <v>17.600000000000001</v>
      </c>
      <c r="BB22">
        <v>17.7</v>
      </c>
      <c r="BC22">
        <v>17.8</v>
      </c>
      <c r="BD22">
        <v>18</v>
      </c>
      <c r="BE22">
        <v>18</v>
      </c>
      <c r="BF22">
        <v>18</v>
      </c>
      <c r="BG22">
        <v>17.8</v>
      </c>
      <c r="BH22">
        <v>18.100000000000001</v>
      </c>
      <c r="BI22">
        <v>18.100000000000001</v>
      </c>
      <c r="BJ22">
        <v>18.100000000000001</v>
      </c>
      <c r="BK22">
        <v>18</v>
      </c>
      <c r="BL22">
        <v>17.899999999999999</v>
      </c>
      <c r="BM22">
        <v>18.100000000000001</v>
      </c>
      <c r="BN22">
        <v>17.899999999999999</v>
      </c>
      <c r="BO22">
        <v>17.899999999999999</v>
      </c>
      <c r="BP22">
        <v>18</v>
      </c>
    </row>
    <row r="23" spans="1:68" x14ac:dyDescent="0.35">
      <c r="A23" t="s">
        <v>629</v>
      </c>
      <c r="B23" t="s">
        <v>343</v>
      </c>
      <c r="C23" t="s">
        <v>747</v>
      </c>
      <c r="D23" t="s">
        <v>748</v>
      </c>
      <c r="AV23">
        <v>15</v>
      </c>
      <c r="BD23">
        <v>13.4</v>
      </c>
      <c r="BH23">
        <v>14.1</v>
      </c>
      <c r="BK23">
        <v>15</v>
      </c>
      <c r="BN23">
        <v>16.100000000000001</v>
      </c>
    </row>
    <row r="24" spans="1:68" x14ac:dyDescent="0.35">
      <c r="A24" t="s">
        <v>120</v>
      </c>
      <c r="B24" t="s">
        <v>463</v>
      </c>
      <c r="C24" t="s">
        <v>747</v>
      </c>
      <c r="D24" t="s">
        <v>748</v>
      </c>
      <c r="AM24">
        <v>12</v>
      </c>
      <c r="AQ24">
        <v>12.1</v>
      </c>
      <c r="AV24">
        <v>14</v>
      </c>
      <c r="BB24">
        <v>14.7</v>
      </c>
      <c r="BG24">
        <v>15</v>
      </c>
      <c r="BK24">
        <v>13.6</v>
      </c>
      <c r="BN24">
        <v>15.1</v>
      </c>
    </row>
    <row r="25" spans="1:68" x14ac:dyDescent="0.35">
      <c r="A25" t="s">
        <v>39</v>
      </c>
      <c r="B25" t="s">
        <v>152</v>
      </c>
      <c r="C25" t="s">
        <v>747</v>
      </c>
      <c r="D25" t="s">
        <v>748</v>
      </c>
      <c r="AB25">
        <v>17.899999999999999</v>
      </c>
      <c r="AD25">
        <v>17.2</v>
      </c>
      <c r="AG25">
        <v>17</v>
      </c>
      <c r="AJ25">
        <v>17.3</v>
      </c>
      <c r="AN25">
        <v>15.7</v>
      </c>
      <c r="AS25">
        <v>15.6</v>
      </c>
      <c r="AX25">
        <v>15.6</v>
      </c>
      <c r="BC25">
        <v>16</v>
      </c>
      <c r="BI25">
        <v>16.100000000000001</v>
      </c>
      <c r="BO25">
        <v>16.5</v>
      </c>
    </row>
    <row r="26" spans="1:68" x14ac:dyDescent="0.35">
      <c r="A26" t="s">
        <v>608</v>
      </c>
      <c r="B26" t="s">
        <v>154</v>
      </c>
      <c r="C26" t="s">
        <v>747</v>
      </c>
      <c r="D26" t="s">
        <v>748</v>
      </c>
      <c r="AH26">
        <v>18.3</v>
      </c>
      <c r="AK26">
        <v>17.100000000000001</v>
      </c>
      <c r="AM26">
        <v>18.100000000000001</v>
      </c>
      <c r="AN26">
        <v>16.5</v>
      </c>
      <c r="AP26">
        <v>17.399999999999999</v>
      </c>
      <c r="AT26">
        <v>17.2</v>
      </c>
      <c r="AV26">
        <v>17.3</v>
      </c>
      <c r="AY26">
        <v>17.100000000000001</v>
      </c>
      <c r="AZ26">
        <v>16.3</v>
      </c>
      <c r="BA26">
        <v>16.899999999999999</v>
      </c>
      <c r="BB26">
        <v>17</v>
      </c>
      <c r="BC26">
        <v>16.7</v>
      </c>
      <c r="BD26">
        <v>17.100000000000001</v>
      </c>
      <c r="BE26">
        <v>16.600000000000001</v>
      </c>
      <c r="BF26">
        <v>16.7</v>
      </c>
      <c r="BG26">
        <v>16.2</v>
      </c>
      <c r="BH26">
        <v>16.2</v>
      </c>
      <c r="BI26">
        <v>15.5</v>
      </c>
      <c r="BJ26">
        <v>15.4</v>
      </c>
      <c r="BK26">
        <v>14.9</v>
      </c>
      <c r="BL26">
        <v>15.2</v>
      </c>
      <c r="BM26">
        <v>14.9</v>
      </c>
      <c r="BN26">
        <v>15.5</v>
      </c>
      <c r="BO26">
        <v>15.6</v>
      </c>
      <c r="BP26">
        <v>15.4</v>
      </c>
    </row>
    <row r="27" spans="1:68" x14ac:dyDescent="0.35">
      <c r="A27" t="s">
        <v>372</v>
      </c>
      <c r="B27" t="s">
        <v>71</v>
      </c>
      <c r="C27" t="s">
        <v>747</v>
      </c>
      <c r="D27" t="s">
        <v>748</v>
      </c>
    </row>
    <row r="28" spans="1:68" x14ac:dyDescent="0.35">
      <c r="A28" t="s">
        <v>169</v>
      </c>
      <c r="B28" t="s">
        <v>302</v>
      </c>
      <c r="C28" t="s">
        <v>747</v>
      </c>
      <c r="D28" t="s">
        <v>748</v>
      </c>
    </row>
    <row r="29" spans="1:68" x14ac:dyDescent="0.35">
      <c r="A29" t="s">
        <v>398</v>
      </c>
      <c r="B29" t="s">
        <v>556</v>
      </c>
      <c r="C29" t="s">
        <v>747</v>
      </c>
      <c r="D29" t="s">
        <v>748</v>
      </c>
      <c r="AT29">
        <v>17</v>
      </c>
      <c r="AW29">
        <v>16.3</v>
      </c>
      <c r="AZ29">
        <v>16.600000000000001</v>
      </c>
      <c r="BD29">
        <v>16.7</v>
      </c>
    </row>
    <row r="30" spans="1:68" x14ac:dyDescent="0.35">
      <c r="A30" t="s">
        <v>590</v>
      </c>
      <c r="B30" t="s">
        <v>226</v>
      </c>
      <c r="C30" t="s">
        <v>747</v>
      </c>
      <c r="D30" t="s">
        <v>748</v>
      </c>
      <c r="AL30">
        <v>18.5</v>
      </c>
      <c r="AN30">
        <v>17.7</v>
      </c>
      <c r="AQ30">
        <v>16.899999999999999</v>
      </c>
      <c r="AR30">
        <v>17.2</v>
      </c>
      <c r="AS30">
        <v>17.2</v>
      </c>
      <c r="AT30">
        <v>17.2</v>
      </c>
      <c r="AU30">
        <v>17.3</v>
      </c>
      <c r="AV30">
        <v>17.5</v>
      </c>
      <c r="AW30">
        <v>17.899999999999999</v>
      </c>
      <c r="AX30">
        <v>17.8</v>
      </c>
      <c r="AY30">
        <v>17.7</v>
      </c>
      <c r="AZ30">
        <v>17.3</v>
      </c>
      <c r="BA30">
        <v>17.7</v>
      </c>
      <c r="BB30">
        <v>17.7</v>
      </c>
      <c r="BC30">
        <v>17.5</v>
      </c>
      <c r="BD30">
        <v>17.8</v>
      </c>
      <c r="BE30">
        <v>17.899999999999999</v>
      </c>
      <c r="BF30">
        <v>17.8</v>
      </c>
      <c r="BG30">
        <v>17.7</v>
      </c>
      <c r="BH30">
        <v>17.899999999999999</v>
      </c>
      <c r="BI30">
        <v>17.899999999999999</v>
      </c>
      <c r="BJ30">
        <v>17.8</v>
      </c>
      <c r="BK30">
        <v>17.8</v>
      </c>
      <c r="BL30">
        <v>17.899999999999999</v>
      </c>
      <c r="BM30">
        <v>18</v>
      </c>
    </row>
    <row r="31" spans="1:68" x14ac:dyDescent="0.35">
      <c r="A31" t="s">
        <v>322</v>
      </c>
      <c r="B31" t="s">
        <v>299</v>
      </c>
      <c r="C31" t="s">
        <v>747</v>
      </c>
      <c r="D31" t="s">
        <v>748</v>
      </c>
      <c r="AL31">
        <v>10</v>
      </c>
      <c r="AM31">
        <v>9.8000000000000007</v>
      </c>
      <c r="AN31">
        <v>11.1</v>
      </c>
      <c r="AO31">
        <v>10.7</v>
      </c>
      <c r="AP31">
        <v>10.199999999999999</v>
      </c>
      <c r="AQ31">
        <v>11.3</v>
      </c>
      <c r="AR31">
        <v>12</v>
      </c>
      <c r="BK31">
        <v>15.2</v>
      </c>
    </row>
    <row r="32" spans="1:68" x14ac:dyDescent="0.35">
      <c r="A32" t="s">
        <v>380</v>
      </c>
      <c r="B32" t="s">
        <v>639</v>
      </c>
      <c r="C32" t="s">
        <v>747</v>
      </c>
      <c r="D32" t="s">
        <v>748</v>
      </c>
    </row>
    <row r="33" spans="1:68" x14ac:dyDescent="0.35">
      <c r="A33" t="s">
        <v>56</v>
      </c>
      <c r="B33" t="s">
        <v>518</v>
      </c>
      <c r="C33" t="s">
        <v>747</v>
      </c>
      <c r="D33" t="s">
        <v>748</v>
      </c>
      <c r="AI33">
        <v>14.5</v>
      </c>
      <c r="AK33">
        <v>12.5</v>
      </c>
      <c r="AP33">
        <v>11.1</v>
      </c>
      <c r="AR33">
        <v>11.7</v>
      </c>
      <c r="AS33">
        <v>10.7</v>
      </c>
      <c r="AT33">
        <v>11.6</v>
      </c>
      <c r="AU33">
        <v>11</v>
      </c>
      <c r="AW33">
        <v>11.4</v>
      </c>
      <c r="AX33">
        <v>10.8</v>
      </c>
      <c r="AY33">
        <v>11.3</v>
      </c>
      <c r="AZ33">
        <v>11.8</v>
      </c>
      <c r="BA33">
        <v>13.1</v>
      </c>
      <c r="BB33">
        <v>13.9</v>
      </c>
      <c r="BD33">
        <v>14.3</v>
      </c>
      <c r="BE33">
        <v>14.5</v>
      </c>
      <c r="BF33">
        <v>14</v>
      </c>
      <c r="BG33">
        <v>13.8</v>
      </c>
      <c r="BH33">
        <v>14.2</v>
      </c>
      <c r="BI33">
        <v>14.7</v>
      </c>
      <c r="BJ33">
        <v>14.9</v>
      </c>
      <c r="BK33">
        <v>15.2</v>
      </c>
      <c r="BL33">
        <v>15</v>
      </c>
      <c r="BM33">
        <v>14.5</v>
      </c>
      <c r="BN33">
        <v>15.3</v>
      </c>
      <c r="BO33">
        <v>15.2</v>
      </c>
      <c r="BP33">
        <v>14.8</v>
      </c>
    </row>
    <row r="34" spans="1:68" x14ac:dyDescent="0.35">
      <c r="A34" t="s">
        <v>593</v>
      </c>
      <c r="B34" t="s">
        <v>341</v>
      </c>
      <c r="C34" t="s">
        <v>747</v>
      </c>
      <c r="D34" t="s">
        <v>748</v>
      </c>
      <c r="Z34">
        <v>10.5</v>
      </c>
      <c r="AA34">
        <v>10.3</v>
      </c>
      <c r="AB34">
        <v>10</v>
      </c>
      <c r="AC34">
        <v>10.199999999999999</v>
      </c>
      <c r="AD34">
        <v>11</v>
      </c>
      <c r="AE34">
        <v>10.3</v>
      </c>
      <c r="AF34">
        <v>10.1</v>
      </c>
      <c r="AG34">
        <v>9.5</v>
      </c>
      <c r="AH34">
        <v>8.9</v>
      </c>
      <c r="AI34">
        <v>9.6999999999999993</v>
      </c>
      <c r="AK34">
        <v>12.2</v>
      </c>
      <c r="AL34">
        <v>10.1</v>
      </c>
      <c r="AN34">
        <v>10.1</v>
      </c>
      <c r="AO34">
        <v>10</v>
      </c>
      <c r="AP34">
        <v>10</v>
      </c>
      <c r="AQ34">
        <v>10</v>
      </c>
      <c r="AR34">
        <v>10.199999999999999</v>
      </c>
      <c r="AT34">
        <v>10.5</v>
      </c>
      <c r="AU34">
        <v>10.5</v>
      </c>
      <c r="AV34">
        <v>10.7</v>
      </c>
      <c r="AW34">
        <v>11</v>
      </c>
      <c r="AX34">
        <v>11.1</v>
      </c>
      <c r="AY34">
        <v>11.2</v>
      </c>
      <c r="AZ34">
        <v>11.6</v>
      </c>
      <c r="BA34">
        <v>11.8</v>
      </c>
      <c r="BB34">
        <v>11.9</v>
      </c>
      <c r="BD34">
        <v>12.2</v>
      </c>
      <c r="BE34">
        <v>12</v>
      </c>
      <c r="BF34">
        <v>12.2</v>
      </c>
      <c r="BG34">
        <v>12.3</v>
      </c>
      <c r="BH34">
        <v>12.4</v>
      </c>
      <c r="BI34">
        <v>12</v>
      </c>
      <c r="BJ34">
        <v>12.1</v>
      </c>
      <c r="BK34">
        <v>12</v>
      </c>
      <c r="BL34">
        <v>12.2</v>
      </c>
      <c r="BM34">
        <v>12.9</v>
      </c>
      <c r="BN34">
        <v>12.1</v>
      </c>
      <c r="BO34">
        <v>12.3</v>
      </c>
      <c r="BP34">
        <v>12.5</v>
      </c>
    </row>
    <row r="35" spans="1:68" x14ac:dyDescent="0.35">
      <c r="A35" t="s">
        <v>563</v>
      </c>
      <c r="B35" t="s">
        <v>395</v>
      </c>
      <c r="C35" t="s">
        <v>747</v>
      </c>
      <c r="D35" t="s">
        <v>748</v>
      </c>
      <c r="BI35">
        <v>16.899999999999999</v>
      </c>
    </row>
    <row r="36" spans="1:68" x14ac:dyDescent="0.35">
      <c r="A36" t="s">
        <v>435</v>
      </c>
      <c r="B36" t="s">
        <v>129</v>
      </c>
      <c r="C36" t="s">
        <v>747</v>
      </c>
      <c r="D36" t="s">
        <v>748</v>
      </c>
    </row>
    <row r="37" spans="1:68" x14ac:dyDescent="0.35">
      <c r="A37" t="s">
        <v>572</v>
      </c>
      <c r="B37" t="s">
        <v>122</v>
      </c>
      <c r="C37" t="s">
        <v>747</v>
      </c>
      <c r="D37" t="s">
        <v>748</v>
      </c>
      <c r="AV37">
        <v>14.2</v>
      </c>
      <c r="AZ37">
        <v>15.3</v>
      </c>
      <c r="BE37">
        <v>15</v>
      </c>
      <c r="BJ37">
        <v>15.5</v>
      </c>
      <c r="BO37">
        <v>17.600000000000001</v>
      </c>
    </row>
    <row r="38" spans="1:68" x14ac:dyDescent="0.35">
      <c r="A38" t="s">
        <v>51</v>
      </c>
      <c r="B38" t="s">
        <v>402</v>
      </c>
      <c r="C38" t="s">
        <v>747</v>
      </c>
      <c r="D38" t="s">
        <v>748</v>
      </c>
      <c r="AD38">
        <v>11.4</v>
      </c>
      <c r="AL38">
        <v>9.9</v>
      </c>
      <c r="AU38">
        <v>8.8000000000000007</v>
      </c>
      <c r="BB38">
        <v>10.6</v>
      </c>
      <c r="BH38">
        <v>10.7</v>
      </c>
    </row>
    <row r="39" spans="1:68" x14ac:dyDescent="0.35">
      <c r="A39" t="s">
        <v>188</v>
      </c>
      <c r="B39" t="s">
        <v>492</v>
      </c>
      <c r="C39" t="s">
        <v>747</v>
      </c>
      <c r="D39" t="s">
        <v>748</v>
      </c>
      <c r="AK39">
        <v>9.5</v>
      </c>
      <c r="BA39">
        <v>11.1</v>
      </c>
      <c r="BN39">
        <v>14.1</v>
      </c>
    </row>
    <row r="40" spans="1:68" x14ac:dyDescent="0.35">
      <c r="A40" t="s">
        <v>203</v>
      </c>
      <c r="B40" t="s">
        <v>564</v>
      </c>
      <c r="C40" t="s">
        <v>747</v>
      </c>
      <c r="D40" t="s">
        <v>748</v>
      </c>
      <c r="P40">
        <v>16.399999999999999</v>
      </c>
      <c r="R40">
        <v>16.8</v>
      </c>
      <c r="T40">
        <v>16.899999999999999</v>
      </c>
      <c r="V40">
        <v>17.100000000000001</v>
      </c>
      <c r="X40">
        <v>17.100000000000001</v>
      </c>
      <c r="Z40">
        <v>17</v>
      </c>
      <c r="AA40">
        <v>17</v>
      </c>
      <c r="AC40">
        <v>17</v>
      </c>
      <c r="AD40">
        <v>17</v>
      </c>
      <c r="AE40">
        <v>17.399999999999999</v>
      </c>
      <c r="AF40">
        <v>17.3</v>
      </c>
      <c r="AG40">
        <v>17.3</v>
      </c>
      <c r="AH40">
        <v>17.5</v>
      </c>
      <c r="AI40">
        <v>17.5</v>
      </c>
      <c r="AJ40">
        <v>17.3</v>
      </c>
      <c r="AK40">
        <v>17.399999999999999</v>
      </c>
      <c r="AL40">
        <v>17.399999999999999</v>
      </c>
      <c r="AM40">
        <v>17.399999999999999</v>
      </c>
      <c r="AN40">
        <v>17.5</v>
      </c>
      <c r="AO40">
        <v>17.100000000000001</v>
      </c>
      <c r="AP40">
        <v>17</v>
      </c>
      <c r="AQ40">
        <v>17</v>
      </c>
      <c r="AR40">
        <v>17.100000000000001</v>
      </c>
      <c r="AS40">
        <v>17</v>
      </c>
      <c r="AT40">
        <v>16.899999999999999</v>
      </c>
      <c r="AU40">
        <v>16.899999999999999</v>
      </c>
      <c r="AV40">
        <v>16.899999999999999</v>
      </c>
      <c r="AW40">
        <v>16.899999999999999</v>
      </c>
      <c r="AX40">
        <v>16.899999999999999</v>
      </c>
      <c r="AY40">
        <v>16.7</v>
      </c>
      <c r="AZ40">
        <v>16.7</v>
      </c>
      <c r="BA40">
        <v>16.8</v>
      </c>
      <c r="BB40">
        <v>16.8</v>
      </c>
      <c r="BC40">
        <v>16.8</v>
      </c>
      <c r="BD40">
        <v>17</v>
      </c>
      <c r="BE40">
        <v>17.2</v>
      </c>
      <c r="BF40">
        <v>17.100000000000001</v>
      </c>
      <c r="BG40">
        <v>17.100000000000001</v>
      </c>
      <c r="BH40">
        <v>17</v>
      </c>
      <c r="BI40">
        <v>17.2</v>
      </c>
      <c r="BJ40">
        <v>17.100000000000001</v>
      </c>
      <c r="BK40">
        <v>17.100000000000001</v>
      </c>
      <c r="BL40">
        <v>17.2</v>
      </c>
      <c r="BM40">
        <v>17.3</v>
      </c>
      <c r="BN40">
        <v>17.100000000000001</v>
      </c>
    </row>
    <row r="41" spans="1:68" x14ac:dyDescent="0.35">
      <c r="A41" t="s">
        <v>444</v>
      </c>
      <c r="B41" t="s">
        <v>239</v>
      </c>
      <c r="C41" t="s">
        <v>747</v>
      </c>
      <c r="D41" t="s">
        <v>748</v>
      </c>
    </row>
    <row r="42" spans="1:68" x14ac:dyDescent="0.35">
      <c r="A42" t="s">
        <v>191</v>
      </c>
      <c r="B42" t="s">
        <v>648</v>
      </c>
      <c r="C42" t="s">
        <v>747</v>
      </c>
      <c r="D42" t="s">
        <v>748</v>
      </c>
      <c r="AA42">
        <v>15.7</v>
      </c>
      <c r="AK42">
        <v>16.5</v>
      </c>
      <c r="AS42">
        <v>16.3</v>
      </c>
      <c r="AU42">
        <v>16.8</v>
      </c>
      <c r="AW42">
        <v>16.7</v>
      </c>
      <c r="AY42">
        <v>16.5</v>
      </c>
      <c r="AZ42">
        <v>16.399999999999999</v>
      </c>
      <c r="BA42">
        <v>16.5</v>
      </c>
      <c r="BB42">
        <v>16.600000000000001</v>
      </c>
      <c r="BC42">
        <v>16.8</v>
      </c>
      <c r="BD42">
        <v>17</v>
      </c>
      <c r="BE42">
        <v>16.8</v>
      </c>
      <c r="BF42">
        <v>16.600000000000001</v>
      </c>
      <c r="BG42">
        <v>16.600000000000001</v>
      </c>
      <c r="BH42">
        <v>16.8</v>
      </c>
      <c r="BI42">
        <v>16.600000000000001</v>
      </c>
      <c r="BJ42">
        <v>16.7</v>
      </c>
      <c r="BK42">
        <v>16.8</v>
      </c>
      <c r="BL42">
        <v>16.399999999999999</v>
      </c>
      <c r="BM42">
        <v>16.5</v>
      </c>
      <c r="BN42">
        <v>16.5</v>
      </c>
      <c r="BO42">
        <v>16.600000000000001</v>
      </c>
    </row>
    <row r="43" spans="1:68" x14ac:dyDescent="0.35">
      <c r="A43" t="s">
        <v>396</v>
      </c>
      <c r="B43" t="s">
        <v>320</v>
      </c>
      <c r="C43" t="s">
        <v>747</v>
      </c>
      <c r="D43" t="s">
        <v>748</v>
      </c>
    </row>
    <row r="44" spans="1:68" x14ac:dyDescent="0.35">
      <c r="A44" t="s">
        <v>167</v>
      </c>
      <c r="B44" t="s">
        <v>655</v>
      </c>
      <c r="C44" t="s">
        <v>747</v>
      </c>
      <c r="D44" t="s">
        <v>748</v>
      </c>
      <c r="AF44">
        <v>10.6</v>
      </c>
      <c r="AI44">
        <v>10.3</v>
      </c>
      <c r="AK44">
        <v>11</v>
      </c>
      <c r="AM44">
        <v>10.6</v>
      </c>
      <c r="AO44">
        <v>11</v>
      </c>
      <c r="AQ44">
        <v>10.9</v>
      </c>
      <c r="AS44">
        <v>11.8</v>
      </c>
      <c r="AV44">
        <v>12.2</v>
      </c>
      <c r="AY44">
        <v>12.9</v>
      </c>
      <c r="BB44">
        <v>12.9</v>
      </c>
      <c r="BD44">
        <v>12.9</v>
      </c>
      <c r="BF44">
        <v>12.9</v>
      </c>
      <c r="BH44">
        <v>13.3</v>
      </c>
      <c r="BJ44">
        <v>13.3</v>
      </c>
      <c r="BM44">
        <v>13.1</v>
      </c>
      <c r="BO44">
        <v>14</v>
      </c>
    </row>
    <row r="45" spans="1:68" x14ac:dyDescent="0.35">
      <c r="A45" t="s">
        <v>506</v>
      </c>
      <c r="B45" t="s">
        <v>189</v>
      </c>
      <c r="C45" t="s">
        <v>747</v>
      </c>
      <c r="D45" t="s">
        <v>748</v>
      </c>
      <c r="Z45">
        <v>17.399999999999999</v>
      </c>
      <c r="AC45">
        <v>17.8</v>
      </c>
      <c r="AF45">
        <v>17.600000000000001</v>
      </c>
      <c r="AI45">
        <v>16.399999999999999</v>
      </c>
      <c r="AL45">
        <v>15.9</v>
      </c>
      <c r="AO45">
        <v>15.9</v>
      </c>
      <c r="AR45">
        <v>15.1</v>
      </c>
      <c r="AU45">
        <v>14.4</v>
      </c>
      <c r="AX45">
        <v>14.7</v>
      </c>
      <c r="BA45">
        <v>14.5</v>
      </c>
      <c r="BC45">
        <v>14.3</v>
      </c>
      <c r="BD45">
        <v>14.6</v>
      </c>
      <c r="BE45">
        <v>14.7</v>
      </c>
      <c r="BF45">
        <v>15</v>
      </c>
      <c r="BG45">
        <v>15.2</v>
      </c>
      <c r="BH45">
        <v>15.3</v>
      </c>
      <c r="BI45">
        <v>15.3</v>
      </c>
      <c r="BJ45">
        <v>15.1</v>
      </c>
      <c r="BK45">
        <v>15.3</v>
      </c>
      <c r="BL45">
        <v>15.2</v>
      </c>
      <c r="BM45">
        <v>15.3</v>
      </c>
      <c r="BN45">
        <v>15.7</v>
      </c>
      <c r="BO45">
        <v>15.7</v>
      </c>
    </row>
    <row r="46" spans="1:68" x14ac:dyDescent="0.35">
      <c r="A46" t="s">
        <v>688</v>
      </c>
      <c r="B46" t="s">
        <v>338</v>
      </c>
      <c r="C46" t="s">
        <v>747</v>
      </c>
      <c r="D46" t="s">
        <v>748</v>
      </c>
      <c r="AD46">
        <v>13.8</v>
      </c>
      <c r="AE46">
        <v>15.2</v>
      </c>
      <c r="AF46">
        <v>14.8</v>
      </c>
      <c r="AG46">
        <v>15.5</v>
      </c>
      <c r="AK46">
        <v>15.3</v>
      </c>
      <c r="AN46">
        <v>14.5</v>
      </c>
      <c r="AQ46">
        <v>15.2</v>
      </c>
      <c r="AU46">
        <v>13.7</v>
      </c>
      <c r="BA46">
        <v>14.2</v>
      </c>
      <c r="BH46">
        <v>14.6</v>
      </c>
      <c r="BK46">
        <v>15.4</v>
      </c>
      <c r="BN46">
        <v>15.7</v>
      </c>
    </row>
    <row r="47" spans="1:68" x14ac:dyDescent="0.35">
      <c r="A47" t="s">
        <v>742</v>
      </c>
      <c r="B47" t="s">
        <v>79</v>
      </c>
      <c r="C47" t="s">
        <v>747</v>
      </c>
      <c r="D47" t="s">
        <v>748</v>
      </c>
      <c r="AO47">
        <v>13</v>
      </c>
      <c r="AT47">
        <v>14.2</v>
      </c>
      <c r="AZ47">
        <v>14</v>
      </c>
      <c r="BG47">
        <v>13.7</v>
      </c>
      <c r="BN47">
        <v>14.7</v>
      </c>
    </row>
    <row r="48" spans="1:68" x14ac:dyDescent="0.35">
      <c r="A48" t="s">
        <v>498</v>
      </c>
      <c r="B48" t="s">
        <v>230</v>
      </c>
      <c r="C48" t="s">
        <v>747</v>
      </c>
      <c r="D48" t="s">
        <v>748</v>
      </c>
      <c r="AW48">
        <v>14.3</v>
      </c>
      <c r="BE48">
        <v>14.5</v>
      </c>
      <c r="BM48">
        <v>13.7</v>
      </c>
    </row>
    <row r="49" spans="1:69" x14ac:dyDescent="0.35">
      <c r="A49" t="s">
        <v>394</v>
      </c>
      <c r="B49" t="s">
        <v>411</v>
      </c>
      <c r="C49" t="s">
        <v>747</v>
      </c>
      <c r="D49" t="s">
        <v>748</v>
      </c>
      <c r="AX49">
        <v>12.8</v>
      </c>
      <c r="BD49">
        <v>13.2</v>
      </c>
    </row>
    <row r="50" spans="1:69" x14ac:dyDescent="0.35">
      <c r="A50" t="s">
        <v>559</v>
      </c>
      <c r="B50" t="s">
        <v>305</v>
      </c>
      <c r="C50" t="s">
        <v>747</v>
      </c>
      <c r="D50" t="s">
        <v>748</v>
      </c>
      <c r="Y50">
        <v>11.6</v>
      </c>
      <c r="AG50">
        <v>12.1</v>
      </c>
      <c r="AH50">
        <v>12</v>
      </c>
      <c r="AJ50">
        <v>12.6</v>
      </c>
      <c r="AK50">
        <v>12.2</v>
      </c>
      <c r="AO50">
        <v>11.3</v>
      </c>
      <c r="AR50">
        <v>10.9</v>
      </c>
      <c r="AS50">
        <v>11</v>
      </c>
      <c r="AT50">
        <v>11.1</v>
      </c>
      <c r="AU50">
        <v>10.9</v>
      </c>
      <c r="AV50">
        <v>11.7</v>
      </c>
      <c r="AW50">
        <v>11.1</v>
      </c>
      <c r="AX50">
        <v>11.5</v>
      </c>
      <c r="BA50">
        <v>11.4</v>
      </c>
      <c r="BB50">
        <v>11.6</v>
      </c>
      <c r="BC50">
        <v>11.4</v>
      </c>
      <c r="BD50">
        <v>11.7</v>
      </c>
      <c r="BE50">
        <v>12</v>
      </c>
      <c r="BF50">
        <v>12.1</v>
      </c>
      <c r="BG50">
        <v>12.1</v>
      </c>
      <c r="BH50">
        <v>12.5</v>
      </c>
      <c r="BI50">
        <v>12.6</v>
      </c>
      <c r="BJ50">
        <v>12.8</v>
      </c>
      <c r="BK50">
        <v>12.6</v>
      </c>
      <c r="BL50">
        <v>12.4</v>
      </c>
      <c r="BM50">
        <v>12</v>
      </c>
      <c r="BN50">
        <v>11.3</v>
      </c>
      <c r="BO50">
        <v>11.3</v>
      </c>
      <c r="BP50">
        <v>11.5</v>
      </c>
    </row>
    <row r="51" spans="1:69" x14ac:dyDescent="0.35">
      <c r="A51" t="s">
        <v>362</v>
      </c>
      <c r="B51" t="s">
        <v>358</v>
      </c>
      <c r="C51" t="s">
        <v>747</v>
      </c>
      <c r="D51" t="s">
        <v>748</v>
      </c>
      <c r="AW51">
        <v>10.8</v>
      </c>
      <c r="BG51">
        <v>13.9</v>
      </c>
    </row>
    <row r="52" spans="1:69" x14ac:dyDescent="0.35">
      <c r="A52" t="s">
        <v>496</v>
      </c>
      <c r="B52" t="s">
        <v>568</v>
      </c>
      <c r="C52" t="s">
        <v>747</v>
      </c>
      <c r="D52" t="s">
        <v>748</v>
      </c>
      <c r="AT52">
        <v>11.7</v>
      </c>
      <c r="AZ52">
        <v>13</v>
      </c>
      <c r="BH52">
        <v>14.3</v>
      </c>
    </row>
    <row r="53" spans="1:69" x14ac:dyDescent="0.35">
      <c r="A53" t="s">
        <v>346</v>
      </c>
      <c r="B53" t="s">
        <v>11</v>
      </c>
      <c r="C53" t="s">
        <v>747</v>
      </c>
      <c r="D53" t="s">
        <v>748</v>
      </c>
      <c r="Z53">
        <v>14.1</v>
      </c>
      <c r="AE53">
        <v>18.100000000000001</v>
      </c>
      <c r="AH53">
        <v>14.7</v>
      </c>
      <c r="AI53">
        <v>14.6</v>
      </c>
      <c r="AJ53">
        <v>14.4</v>
      </c>
      <c r="AK53">
        <v>14.4</v>
      </c>
      <c r="AL53">
        <v>14.3</v>
      </c>
      <c r="AM53">
        <v>14</v>
      </c>
      <c r="AN53">
        <v>14.3</v>
      </c>
      <c r="AO53">
        <v>14</v>
      </c>
      <c r="AP53">
        <v>14.2</v>
      </c>
      <c r="AQ53">
        <v>14.1</v>
      </c>
      <c r="AR53">
        <v>13.5</v>
      </c>
      <c r="AS53">
        <v>13.7</v>
      </c>
      <c r="AT53">
        <v>12.4</v>
      </c>
      <c r="AU53">
        <v>12.2</v>
      </c>
      <c r="AV53">
        <v>13</v>
      </c>
      <c r="AW53">
        <v>13.1</v>
      </c>
      <c r="AX53">
        <v>13.3</v>
      </c>
      <c r="AY53">
        <v>12.8</v>
      </c>
      <c r="AZ53">
        <v>12.6</v>
      </c>
      <c r="BA53">
        <v>12.8</v>
      </c>
      <c r="BB53">
        <v>12.3</v>
      </c>
      <c r="BC53">
        <v>12.9</v>
      </c>
      <c r="BD53">
        <v>12.9</v>
      </c>
      <c r="BE53">
        <v>13</v>
      </c>
      <c r="BF53">
        <v>12.6</v>
      </c>
      <c r="BG53">
        <v>12.8</v>
      </c>
      <c r="BH53">
        <v>12.8</v>
      </c>
      <c r="BI53">
        <v>12.8</v>
      </c>
      <c r="BJ53">
        <v>12.8</v>
      </c>
      <c r="BK53">
        <v>13</v>
      </c>
      <c r="BL53">
        <v>12.8</v>
      </c>
      <c r="BM53">
        <v>12.6</v>
      </c>
      <c r="BN53">
        <v>12.8</v>
      </c>
      <c r="BO53">
        <v>13.1</v>
      </c>
      <c r="BP53">
        <v>13.4</v>
      </c>
      <c r="BQ53">
        <v>13.8</v>
      </c>
    </row>
    <row r="54" spans="1:69" x14ac:dyDescent="0.35">
      <c r="A54" t="s">
        <v>347</v>
      </c>
      <c r="B54" t="s">
        <v>300</v>
      </c>
      <c r="C54" t="s">
        <v>747</v>
      </c>
      <c r="D54" t="s">
        <v>748</v>
      </c>
    </row>
    <row r="55" spans="1:69" x14ac:dyDescent="0.35">
      <c r="A55" t="s">
        <v>99</v>
      </c>
      <c r="B55" t="s">
        <v>257</v>
      </c>
      <c r="C55" t="s">
        <v>747</v>
      </c>
      <c r="D55" t="s">
        <v>748</v>
      </c>
    </row>
    <row r="56" spans="1:69" x14ac:dyDescent="0.35">
      <c r="A56" t="s">
        <v>375</v>
      </c>
      <c r="B56" t="s">
        <v>100</v>
      </c>
      <c r="C56" t="s">
        <v>747</v>
      </c>
      <c r="D56" t="s">
        <v>748</v>
      </c>
    </row>
    <row r="57" spans="1:69" x14ac:dyDescent="0.35">
      <c r="A57" t="s">
        <v>482</v>
      </c>
      <c r="B57" t="s">
        <v>651</v>
      </c>
      <c r="C57" t="s">
        <v>747</v>
      </c>
      <c r="D57" t="s">
        <v>748</v>
      </c>
    </row>
    <row r="58" spans="1:69" x14ac:dyDescent="0.35">
      <c r="A58" t="s">
        <v>448</v>
      </c>
      <c r="B58" t="s">
        <v>258</v>
      </c>
      <c r="C58" t="s">
        <v>747</v>
      </c>
      <c r="D58" t="s">
        <v>748</v>
      </c>
      <c r="AW58">
        <v>17</v>
      </c>
      <c r="AX58">
        <v>16.899999999999999</v>
      </c>
      <c r="AY58">
        <v>16.7</v>
      </c>
      <c r="AZ58">
        <v>16.7</v>
      </c>
      <c r="BA58">
        <v>16.600000000000001</v>
      </c>
      <c r="BB58">
        <v>16.399999999999999</v>
      </c>
      <c r="BC58">
        <v>16.399999999999999</v>
      </c>
      <c r="BD58">
        <v>16.2</v>
      </c>
      <c r="BE58">
        <v>15.8</v>
      </c>
      <c r="BF58">
        <v>15.1</v>
      </c>
      <c r="BG58">
        <v>15.8</v>
      </c>
      <c r="BH58">
        <v>16.2</v>
      </c>
      <c r="BI58">
        <v>16.3</v>
      </c>
      <c r="BJ58">
        <v>16.7</v>
      </c>
      <c r="BK58">
        <v>16.3</v>
      </c>
      <c r="BL58">
        <v>16.7</v>
      </c>
      <c r="BM58">
        <v>16.5</v>
      </c>
      <c r="BN58">
        <v>16.8</v>
      </c>
      <c r="BO58">
        <v>16.5</v>
      </c>
      <c r="BP58">
        <v>16.5</v>
      </c>
    </row>
    <row r="59" spans="1:69" x14ac:dyDescent="0.35">
      <c r="A59" t="s">
        <v>354</v>
      </c>
      <c r="B59" t="s">
        <v>668</v>
      </c>
      <c r="C59" t="s">
        <v>747</v>
      </c>
      <c r="D59" t="s">
        <v>748</v>
      </c>
      <c r="AK59">
        <v>18.399999999999999</v>
      </c>
      <c r="AL59">
        <v>17</v>
      </c>
      <c r="AO59">
        <v>17.8</v>
      </c>
      <c r="AU59">
        <v>17.8</v>
      </c>
      <c r="AW59">
        <v>17.7</v>
      </c>
      <c r="AX59">
        <v>17.8</v>
      </c>
      <c r="AY59">
        <v>17.7</v>
      </c>
      <c r="AZ59">
        <v>17.7</v>
      </c>
      <c r="BA59">
        <v>17.600000000000001</v>
      </c>
      <c r="BB59">
        <v>17.7</v>
      </c>
      <c r="BC59">
        <v>17.7</v>
      </c>
      <c r="BD59">
        <v>17.899999999999999</v>
      </c>
      <c r="BE59">
        <v>17.899999999999999</v>
      </c>
      <c r="BF59">
        <v>17.8</v>
      </c>
      <c r="BG59">
        <v>17.8</v>
      </c>
      <c r="BH59">
        <v>17.8</v>
      </c>
      <c r="BI59">
        <v>17.7</v>
      </c>
      <c r="BJ59">
        <v>17.7</v>
      </c>
      <c r="BK59">
        <v>17.600000000000001</v>
      </c>
      <c r="BL59">
        <v>17.600000000000001</v>
      </c>
      <c r="BM59">
        <v>17.600000000000001</v>
      </c>
      <c r="BN59">
        <v>17.5</v>
      </c>
      <c r="BO59">
        <v>17.7</v>
      </c>
      <c r="BP59">
        <v>18.100000000000001</v>
      </c>
    </row>
    <row r="60" spans="1:69" x14ac:dyDescent="0.35">
      <c r="A60" t="s">
        <v>485</v>
      </c>
      <c r="B60" t="s">
        <v>488</v>
      </c>
      <c r="C60" t="s">
        <v>747</v>
      </c>
      <c r="D60" t="s">
        <v>748</v>
      </c>
      <c r="AJ60">
        <v>17.100000000000001</v>
      </c>
      <c r="AK60">
        <v>17.2</v>
      </c>
      <c r="AL60">
        <v>17.2</v>
      </c>
      <c r="AM60">
        <v>17.600000000000001</v>
      </c>
      <c r="AN60">
        <v>17.600000000000001</v>
      </c>
      <c r="AO60">
        <v>17.600000000000001</v>
      </c>
      <c r="AP60">
        <v>17.600000000000001</v>
      </c>
      <c r="AQ60">
        <v>17.5</v>
      </c>
      <c r="AR60">
        <v>17.3</v>
      </c>
      <c r="AS60">
        <v>17.399999999999999</v>
      </c>
      <c r="AT60">
        <v>17</v>
      </c>
      <c r="AU60">
        <v>17.100000000000001</v>
      </c>
      <c r="AV60">
        <v>17.2</v>
      </c>
      <c r="AW60">
        <v>17</v>
      </c>
      <c r="AX60">
        <v>16.8</v>
      </c>
      <c r="AY60">
        <v>16.8</v>
      </c>
      <c r="AZ60">
        <v>16.8</v>
      </c>
      <c r="BA60">
        <v>17</v>
      </c>
      <c r="BB60">
        <v>17.100000000000001</v>
      </c>
      <c r="BC60">
        <v>17.100000000000001</v>
      </c>
      <c r="BD60">
        <v>16.899999999999999</v>
      </c>
      <c r="BE60">
        <v>17</v>
      </c>
      <c r="BF60">
        <v>16.899999999999999</v>
      </c>
      <c r="BG60">
        <v>17.2</v>
      </c>
      <c r="BH60">
        <v>17</v>
      </c>
      <c r="BI60">
        <v>17.2</v>
      </c>
      <c r="BJ60">
        <v>17.2</v>
      </c>
      <c r="BK60">
        <v>17</v>
      </c>
      <c r="BL60">
        <v>17.100000000000001</v>
      </c>
      <c r="BM60">
        <v>17</v>
      </c>
    </row>
    <row r="61" spans="1:69" x14ac:dyDescent="0.35">
      <c r="A61" t="s">
        <v>22</v>
      </c>
      <c r="B61" t="s">
        <v>250</v>
      </c>
      <c r="C61" t="s">
        <v>747</v>
      </c>
      <c r="D61" t="s">
        <v>748</v>
      </c>
      <c r="AU61">
        <v>15.1</v>
      </c>
      <c r="BE61">
        <v>14.4</v>
      </c>
      <c r="BF61">
        <v>14.6</v>
      </c>
      <c r="BJ61">
        <v>15.1</v>
      </c>
    </row>
    <row r="62" spans="1:69" x14ac:dyDescent="0.35">
      <c r="A62" t="s">
        <v>690</v>
      </c>
      <c r="B62" t="s">
        <v>265</v>
      </c>
      <c r="C62" t="s">
        <v>747</v>
      </c>
      <c r="D62" t="s">
        <v>748</v>
      </c>
    </row>
    <row r="63" spans="1:69" x14ac:dyDescent="0.35">
      <c r="A63" t="s">
        <v>312</v>
      </c>
      <c r="B63" t="s">
        <v>531</v>
      </c>
      <c r="C63" t="s">
        <v>747</v>
      </c>
      <c r="D63" t="s">
        <v>748</v>
      </c>
      <c r="AF63">
        <v>18</v>
      </c>
      <c r="AK63">
        <v>18.3</v>
      </c>
      <c r="AN63">
        <v>18.3</v>
      </c>
      <c r="AS63">
        <v>18.100000000000001</v>
      </c>
      <c r="AV63">
        <v>17.899999999999999</v>
      </c>
      <c r="AW63">
        <v>18</v>
      </c>
      <c r="AX63">
        <v>17.899999999999999</v>
      </c>
      <c r="AY63">
        <v>17.7</v>
      </c>
      <c r="AZ63">
        <v>17.600000000000001</v>
      </c>
      <c r="BA63">
        <v>18</v>
      </c>
      <c r="BB63">
        <v>17.899999999999999</v>
      </c>
      <c r="BC63">
        <v>17.600000000000001</v>
      </c>
      <c r="BD63">
        <v>17.5</v>
      </c>
      <c r="BE63">
        <v>17.399999999999999</v>
      </c>
      <c r="BF63">
        <v>17.3</v>
      </c>
      <c r="BG63">
        <v>17.3</v>
      </c>
      <c r="BH63">
        <v>17.2</v>
      </c>
      <c r="BI63">
        <v>17.3</v>
      </c>
      <c r="BJ63">
        <v>17.2</v>
      </c>
      <c r="BK63">
        <v>17.3</v>
      </c>
      <c r="BL63">
        <v>17.3</v>
      </c>
      <c r="BM63">
        <v>17.5</v>
      </c>
      <c r="BN63">
        <v>17.3</v>
      </c>
      <c r="BO63">
        <v>17.100000000000001</v>
      </c>
      <c r="BP63">
        <v>16.8</v>
      </c>
    </row>
    <row r="64" spans="1:69" x14ac:dyDescent="0.35">
      <c r="A64" t="s">
        <v>422</v>
      </c>
      <c r="B64" t="s">
        <v>715</v>
      </c>
      <c r="C64" t="s">
        <v>747</v>
      </c>
      <c r="D64" t="s">
        <v>748</v>
      </c>
      <c r="AE64">
        <v>13.8</v>
      </c>
      <c r="AH64">
        <v>12.5</v>
      </c>
      <c r="AK64">
        <v>12.3</v>
      </c>
      <c r="AO64">
        <v>13.5</v>
      </c>
      <c r="AP64">
        <v>13.3</v>
      </c>
      <c r="AS64">
        <v>12.3</v>
      </c>
      <c r="AT64">
        <v>12.7</v>
      </c>
      <c r="AU64">
        <v>13</v>
      </c>
      <c r="AV64">
        <v>12.1</v>
      </c>
      <c r="AW64">
        <v>12</v>
      </c>
      <c r="AX64">
        <v>12.6</v>
      </c>
      <c r="AY64">
        <v>12</v>
      </c>
      <c r="AZ64">
        <v>12.9</v>
      </c>
      <c r="BA64">
        <v>13</v>
      </c>
      <c r="BB64">
        <v>12.8</v>
      </c>
      <c r="BC64">
        <v>13.1</v>
      </c>
      <c r="BD64">
        <v>12.9</v>
      </c>
      <c r="BE64">
        <v>13.5</v>
      </c>
      <c r="BF64">
        <v>13</v>
      </c>
      <c r="BG64">
        <v>13.9</v>
      </c>
      <c r="BH64">
        <v>13.8</v>
      </c>
      <c r="BI64">
        <v>13.8</v>
      </c>
      <c r="BJ64">
        <v>14.4</v>
      </c>
      <c r="BK64">
        <v>13.9</v>
      </c>
      <c r="BL64">
        <v>14.4</v>
      </c>
      <c r="BM64">
        <v>14.9</v>
      </c>
      <c r="BN64">
        <v>15.2</v>
      </c>
      <c r="BO64">
        <v>15.7</v>
      </c>
      <c r="BP64">
        <v>15.6</v>
      </c>
      <c r="BQ64">
        <v>15.4</v>
      </c>
    </row>
    <row r="65" spans="1:69" x14ac:dyDescent="0.35">
      <c r="A65" t="s">
        <v>689</v>
      </c>
      <c r="B65" t="s">
        <v>31</v>
      </c>
      <c r="C65" t="s">
        <v>747</v>
      </c>
      <c r="D65" t="s">
        <v>748</v>
      </c>
      <c r="AG65">
        <v>15.6</v>
      </c>
      <c r="AN65">
        <v>16.2</v>
      </c>
      <c r="BD65">
        <v>17.5</v>
      </c>
    </row>
    <row r="66" spans="1:69" x14ac:dyDescent="0.35">
      <c r="A66" t="s">
        <v>213</v>
      </c>
      <c r="B66" t="s">
        <v>241</v>
      </c>
      <c r="C66" t="s">
        <v>747</v>
      </c>
      <c r="D66" t="s">
        <v>748</v>
      </c>
    </row>
    <row r="67" spans="1:69" x14ac:dyDescent="0.35">
      <c r="A67" t="s">
        <v>693</v>
      </c>
      <c r="B67" t="s">
        <v>363</v>
      </c>
      <c r="C67" t="s">
        <v>747</v>
      </c>
      <c r="D67" t="s">
        <v>748</v>
      </c>
    </row>
    <row r="68" spans="1:69" x14ac:dyDescent="0.35">
      <c r="A68" t="s">
        <v>490</v>
      </c>
      <c r="B68" t="s">
        <v>586</v>
      </c>
      <c r="C68" t="s">
        <v>747</v>
      </c>
      <c r="D68" t="s">
        <v>748</v>
      </c>
    </row>
    <row r="69" spans="1:69" x14ac:dyDescent="0.35">
      <c r="A69" t="s">
        <v>279</v>
      </c>
      <c r="B69" t="s">
        <v>328</v>
      </c>
      <c r="C69" t="s">
        <v>747</v>
      </c>
      <c r="D69" t="s">
        <v>748</v>
      </c>
    </row>
    <row r="70" spans="1:69" x14ac:dyDescent="0.35">
      <c r="A70" t="s">
        <v>400</v>
      </c>
      <c r="B70" t="s">
        <v>585</v>
      </c>
      <c r="C70" t="s">
        <v>747</v>
      </c>
      <c r="D70" t="s">
        <v>748</v>
      </c>
    </row>
    <row r="71" spans="1:69" x14ac:dyDescent="0.35">
      <c r="A71" t="s">
        <v>251</v>
      </c>
      <c r="B71" t="s">
        <v>111</v>
      </c>
      <c r="C71" t="s">
        <v>747</v>
      </c>
      <c r="D71" t="s">
        <v>748</v>
      </c>
      <c r="AF71">
        <v>13.3</v>
      </c>
      <c r="AM71">
        <v>12</v>
      </c>
      <c r="AN71">
        <v>12.5</v>
      </c>
      <c r="AQ71">
        <v>12.5</v>
      </c>
      <c r="AR71">
        <v>10.7</v>
      </c>
      <c r="AS71">
        <v>11.2</v>
      </c>
      <c r="AV71">
        <v>11.9</v>
      </c>
      <c r="AW71">
        <v>11.8</v>
      </c>
      <c r="AX71">
        <v>12</v>
      </c>
      <c r="AY71">
        <v>12.1</v>
      </c>
      <c r="AZ71">
        <v>11.7</v>
      </c>
      <c r="BA71">
        <v>12.9</v>
      </c>
      <c r="BB71">
        <v>13.1</v>
      </c>
      <c r="BC71">
        <v>13</v>
      </c>
      <c r="BD71">
        <v>13.9</v>
      </c>
      <c r="BE71">
        <v>14</v>
      </c>
      <c r="BF71">
        <v>13.5</v>
      </c>
      <c r="BG71">
        <v>14</v>
      </c>
      <c r="BH71">
        <v>13.8</v>
      </c>
      <c r="BI71">
        <v>14.1</v>
      </c>
      <c r="BJ71">
        <v>14.3</v>
      </c>
      <c r="BK71">
        <v>14</v>
      </c>
      <c r="BL71">
        <v>13.9</v>
      </c>
      <c r="BM71">
        <v>13.6</v>
      </c>
      <c r="BN71">
        <v>13.9</v>
      </c>
      <c r="BO71">
        <v>14</v>
      </c>
      <c r="BP71">
        <v>14.2</v>
      </c>
      <c r="BQ71">
        <v>14.4</v>
      </c>
    </row>
    <row r="72" spans="1:69" x14ac:dyDescent="0.35">
      <c r="A72" t="s">
        <v>263</v>
      </c>
      <c r="B72" t="s">
        <v>672</v>
      </c>
      <c r="C72" t="s">
        <v>747</v>
      </c>
      <c r="D72" t="s">
        <v>748</v>
      </c>
      <c r="AI72">
        <v>16.3</v>
      </c>
      <c r="AN72">
        <v>16.399999999999999</v>
      </c>
      <c r="AR72">
        <v>16.3</v>
      </c>
      <c r="AW72">
        <v>16.100000000000001</v>
      </c>
      <c r="BA72">
        <v>16.2</v>
      </c>
      <c r="BC72">
        <v>16.399999999999999</v>
      </c>
      <c r="BE72">
        <v>16.7</v>
      </c>
      <c r="BH72">
        <v>16</v>
      </c>
      <c r="BJ72">
        <v>16.2</v>
      </c>
      <c r="BL72">
        <v>16.100000000000001</v>
      </c>
      <c r="BN72">
        <v>16.899999999999999</v>
      </c>
    </row>
    <row r="73" spans="1:69" x14ac:dyDescent="0.35">
      <c r="A73" t="s">
        <v>144</v>
      </c>
      <c r="B73" t="s">
        <v>410</v>
      </c>
      <c r="C73" t="s">
        <v>747</v>
      </c>
      <c r="D73" t="s">
        <v>748</v>
      </c>
    </row>
    <row r="74" spans="1:69" x14ac:dyDescent="0.35">
      <c r="A74" t="s">
        <v>725</v>
      </c>
      <c r="B74" t="s">
        <v>172</v>
      </c>
      <c r="C74" t="s">
        <v>747</v>
      </c>
      <c r="D74" t="s">
        <v>748</v>
      </c>
    </row>
    <row r="75" spans="1:69" x14ac:dyDescent="0.35">
      <c r="A75" t="s">
        <v>82</v>
      </c>
      <c r="B75" t="s">
        <v>256</v>
      </c>
      <c r="C75" t="s">
        <v>747</v>
      </c>
      <c r="D75" t="s">
        <v>748</v>
      </c>
      <c r="Y75">
        <v>16.7</v>
      </c>
      <c r="AD75">
        <v>16.5</v>
      </c>
      <c r="AI75">
        <v>17.100000000000001</v>
      </c>
      <c r="AL75">
        <v>16.600000000000001</v>
      </c>
      <c r="AM75">
        <v>16.8</v>
      </c>
      <c r="AN75">
        <v>16.600000000000001</v>
      </c>
      <c r="AO75">
        <v>16.600000000000001</v>
      </c>
      <c r="AP75">
        <v>16.7</v>
      </c>
      <c r="AQ75">
        <v>16.8</v>
      </c>
      <c r="AR75">
        <v>16.8</v>
      </c>
      <c r="AS75">
        <v>16.8</v>
      </c>
      <c r="AV75">
        <v>17.5</v>
      </c>
      <c r="AW75">
        <v>17.100000000000001</v>
      </c>
      <c r="AX75">
        <v>17.399999999999999</v>
      </c>
      <c r="AY75">
        <v>17.2</v>
      </c>
      <c r="AZ75">
        <v>16.899999999999999</v>
      </c>
      <c r="BA75">
        <v>17</v>
      </c>
      <c r="BB75">
        <v>16.899999999999999</v>
      </c>
      <c r="BC75">
        <v>16.8</v>
      </c>
      <c r="BD75">
        <v>16.899999999999999</v>
      </c>
      <c r="BE75">
        <v>17</v>
      </c>
      <c r="BF75">
        <v>17</v>
      </c>
      <c r="BG75">
        <v>17</v>
      </c>
      <c r="BH75">
        <v>17</v>
      </c>
      <c r="BI75">
        <v>17.100000000000001</v>
      </c>
      <c r="BJ75">
        <v>17.2</v>
      </c>
      <c r="BK75">
        <v>17.100000000000001</v>
      </c>
      <c r="BL75">
        <v>17.3</v>
      </c>
      <c r="BM75">
        <v>17.2</v>
      </c>
      <c r="BN75">
        <v>17.2</v>
      </c>
      <c r="BO75">
        <v>17.2</v>
      </c>
      <c r="BP75">
        <v>17.3</v>
      </c>
    </row>
    <row r="76" spans="1:69" x14ac:dyDescent="0.35">
      <c r="A76" t="s">
        <v>516</v>
      </c>
      <c r="B76" t="s">
        <v>657</v>
      </c>
      <c r="C76" t="s">
        <v>747</v>
      </c>
      <c r="D76" t="s">
        <v>748</v>
      </c>
      <c r="AL76">
        <v>15.2</v>
      </c>
      <c r="AN76">
        <v>17.5</v>
      </c>
      <c r="AQ76">
        <v>15.3</v>
      </c>
      <c r="AS76">
        <v>16.100000000000001</v>
      </c>
      <c r="AT76">
        <v>15.9</v>
      </c>
      <c r="AU76">
        <v>16</v>
      </c>
      <c r="AV76">
        <v>15.8</v>
      </c>
      <c r="AW76">
        <v>16.399999999999999</v>
      </c>
      <c r="AX76">
        <v>16.3</v>
      </c>
      <c r="AY76">
        <v>16.3</v>
      </c>
      <c r="AZ76">
        <v>16.7</v>
      </c>
      <c r="BA76">
        <v>16.600000000000001</v>
      </c>
      <c r="BB76">
        <v>16.899999999999999</v>
      </c>
      <c r="BC76">
        <v>17</v>
      </c>
      <c r="BD76">
        <v>16.600000000000001</v>
      </c>
      <c r="BE76">
        <v>16.5</v>
      </c>
      <c r="BF76">
        <v>15.9</v>
      </c>
      <c r="BG76">
        <v>16.100000000000001</v>
      </c>
      <c r="BH76">
        <v>16.399999999999999</v>
      </c>
      <c r="BI76">
        <v>16.8</v>
      </c>
      <c r="BJ76">
        <v>17</v>
      </c>
      <c r="BK76">
        <v>17.100000000000001</v>
      </c>
      <c r="BL76">
        <v>16.899999999999999</v>
      </c>
      <c r="BM76">
        <v>16.8</v>
      </c>
      <c r="BN76">
        <v>16.7</v>
      </c>
      <c r="BO76">
        <v>16.7</v>
      </c>
      <c r="BP76">
        <v>16.7</v>
      </c>
    </row>
    <row r="77" spans="1:69" x14ac:dyDescent="0.35">
      <c r="A77" t="s">
        <v>159</v>
      </c>
      <c r="B77" t="s">
        <v>102</v>
      </c>
      <c r="C77" t="s">
        <v>747</v>
      </c>
      <c r="D77" t="s">
        <v>748</v>
      </c>
      <c r="AN77">
        <v>13.4</v>
      </c>
      <c r="AR77">
        <v>16.8</v>
      </c>
      <c r="AW77">
        <v>16.899999999999999</v>
      </c>
      <c r="BC77">
        <v>16.3</v>
      </c>
      <c r="BH77">
        <v>16.3</v>
      </c>
      <c r="BN77">
        <v>16.8</v>
      </c>
    </row>
    <row r="78" spans="1:69" x14ac:dyDescent="0.35">
      <c r="A78" t="s">
        <v>42</v>
      </c>
      <c r="B78" t="s">
        <v>704</v>
      </c>
      <c r="C78" t="s">
        <v>747</v>
      </c>
      <c r="D78" t="s">
        <v>748</v>
      </c>
    </row>
    <row r="79" spans="1:69" x14ac:dyDescent="0.35">
      <c r="A79" t="s">
        <v>222</v>
      </c>
      <c r="B79" t="s">
        <v>359</v>
      </c>
      <c r="C79" t="s">
        <v>747</v>
      </c>
      <c r="D79" t="s">
        <v>748</v>
      </c>
    </row>
    <row r="80" spans="1:69" x14ac:dyDescent="0.35">
      <c r="A80" t="s">
        <v>54</v>
      </c>
      <c r="B80" t="s">
        <v>27</v>
      </c>
      <c r="C80" t="s">
        <v>747</v>
      </c>
      <c r="D80" t="s">
        <v>748</v>
      </c>
      <c r="AF80">
        <v>18.5</v>
      </c>
      <c r="AJ80">
        <v>18.2</v>
      </c>
      <c r="AN80">
        <v>17.899999999999999</v>
      </c>
      <c r="AS80">
        <v>17.5</v>
      </c>
      <c r="AV80">
        <v>17.399999999999999</v>
      </c>
      <c r="AW80">
        <v>17.2</v>
      </c>
      <c r="AX80">
        <v>17.3</v>
      </c>
      <c r="AY80">
        <v>17.3</v>
      </c>
      <c r="AZ80">
        <v>17.3</v>
      </c>
      <c r="BA80">
        <v>17.3</v>
      </c>
      <c r="BB80">
        <v>17.5</v>
      </c>
      <c r="BC80">
        <v>17.399999999999999</v>
      </c>
      <c r="BD80">
        <v>17.3</v>
      </c>
      <c r="BE80">
        <v>17.5</v>
      </c>
      <c r="BF80">
        <v>17.5</v>
      </c>
      <c r="BG80">
        <v>17.5</v>
      </c>
      <c r="BH80">
        <v>17.5</v>
      </c>
      <c r="BI80">
        <v>17.5</v>
      </c>
      <c r="BJ80">
        <v>17.399999999999999</v>
      </c>
      <c r="BK80">
        <v>17.5</v>
      </c>
      <c r="BL80">
        <v>17.399999999999999</v>
      </c>
      <c r="BM80">
        <v>17.399999999999999</v>
      </c>
      <c r="BN80">
        <v>17.3</v>
      </c>
      <c r="BO80">
        <v>17.3</v>
      </c>
      <c r="BP80">
        <v>17.600000000000001</v>
      </c>
    </row>
    <row r="81" spans="1:69" x14ac:dyDescent="0.35">
      <c r="A81" t="s">
        <v>149</v>
      </c>
      <c r="B81" t="s">
        <v>392</v>
      </c>
      <c r="C81" t="s">
        <v>747</v>
      </c>
      <c r="D81" t="s">
        <v>748</v>
      </c>
      <c r="AU81">
        <v>15.2</v>
      </c>
      <c r="BA81">
        <v>14.4</v>
      </c>
      <c r="BF81">
        <v>15.2</v>
      </c>
      <c r="BL81">
        <v>16.8</v>
      </c>
    </row>
    <row r="82" spans="1:69" x14ac:dyDescent="0.35">
      <c r="A82" t="s">
        <v>381</v>
      </c>
      <c r="B82" t="s">
        <v>626</v>
      </c>
      <c r="C82" t="s">
        <v>747</v>
      </c>
      <c r="D82" t="s">
        <v>748</v>
      </c>
      <c r="O82">
        <v>15.4</v>
      </c>
      <c r="T82">
        <v>15.8</v>
      </c>
      <c r="X82">
        <v>16.399999999999999</v>
      </c>
      <c r="AC82">
        <v>16.7</v>
      </c>
      <c r="AI82">
        <v>16.899999999999999</v>
      </c>
      <c r="AO82">
        <v>17.2</v>
      </c>
      <c r="AP82">
        <v>17.2</v>
      </c>
      <c r="AQ82">
        <v>17.100000000000001</v>
      </c>
      <c r="AR82">
        <v>16.899999999999999</v>
      </c>
      <c r="AS82">
        <v>16.899999999999999</v>
      </c>
      <c r="AT82">
        <v>16.899999999999999</v>
      </c>
      <c r="AU82">
        <v>16.899999999999999</v>
      </c>
      <c r="AV82">
        <v>16.8</v>
      </c>
      <c r="AW82">
        <v>17</v>
      </c>
      <c r="AX82">
        <v>17.2</v>
      </c>
      <c r="AY82">
        <v>17.3</v>
      </c>
      <c r="AZ82">
        <v>16.5</v>
      </c>
      <c r="BA82">
        <v>16.5</v>
      </c>
      <c r="BB82">
        <v>16.7</v>
      </c>
      <c r="BC82">
        <v>16.3</v>
      </c>
      <c r="BD82">
        <v>16.399999999999999</v>
      </c>
      <c r="BE82">
        <v>16.5</v>
      </c>
      <c r="BF82">
        <v>16.600000000000001</v>
      </c>
      <c r="BG82">
        <v>16.7</v>
      </c>
      <c r="BH82">
        <v>16.7</v>
      </c>
      <c r="BI82">
        <v>16.899999999999999</v>
      </c>
      <c r="BJ82">
        <v>16.899999999999999</v>
      </c>
      <c r="BK82">
        <v>16.7</v>
      </c>
      <c r="BL82">
        <v>17.3</v>
      </c>
      <c r="BM82">
        <v>17.5</v>
      </c>
      <c r="BN82">
        <v>17.3</v>
      </c>
      <c r="BO82">
        <v>17.3</v>
      </c>
      <c r="BP82">
        <v>17.2</v>
      </c>
    </row>
    <row r="83" spans="1:69" x14ac:dyDescent="0.35">
      <c r="A83" t="s">
        <v>345</v>
      </c>
      <c r="B83" t="s">
        <v>473</v>
      </c>
      <c r="C83" t="s">
        <v>747</v>
      </c>
      <c r="D83" t="s">
        <v>748</v>
      </c>
    </row>
    <row r="84" spans="1:69" x14ac:dyDescent="0.35">
      <c r="A84" t="s">
        <v>389</v>
      </c>
      <c r="B84" t="s">
        <v>286</v>
      </c>
      <c r="C84" t="s">
        <v>747</v>
      </c>
      <c r="D84" t="s">
        <v>748</v>
      </c>
      <c r="AX84">
        <v>14.7</v>
      </c>
      <c r="BF84">
        <v>15.3</v>
      </c>
    </row>
    <row r="85" spans="1:69" x14ac:dyDescent="0.35">
      <c r="A85" t="s">
        <v>501</v>
      </c>
      <c r="B85" t="s">
        <v>373</v>
      </c>
      <c r="C85" t="s">
        <v>747</v>
      </c>
      <c r="D85" t="s">
        <v>748</v>
      </c>
      <c r="AX85">
        <v>14.4</v>
      </c>
      <c r="BJ85">
        <v>15.7</v>
      </c>
    </row>
    <row r="86" spans="1:69" x14ac:dyDescent="0.35">
      <c r="A86" t="s">
        <v>669</v>
      </c>
      <c r="B86" t="s">
        <v>587</v>
      </c>
      <c r="C86" t="s">
        <v>747</v>
      </c>
      <c r="D86" t="s">
        <v>748</v>
      </c>
      <c r="M86">
        <v>17.399999999999999</v>
      </c>
      <c r="N86">
        <v>17.3</v>
      </c>
      <c r="O86">
        <v>17.2</v>
      </c>
      <c r="P86">
        <v>16.899999999999999</v>
      </c>
      <c r="Q86">
        <v>17.2</v>
      </c>
      <c r="R86">
        <v>16.899999999999999</v>
      </c>
      <c r="S86">
        <v>17</v>
      </c>
      <c r="T86">
        <v>17.3</v>
      </c>
      <c r="U86">
        <v>17.399999999999999</v>
      </c>
      <c r="V86">
        <v>17.5</v>
      </c>
      <c r="W86">
        <v>17.600000000000001</v>
      </c>
      <c r="X86">
        <v>17.399999999999999</v>
      </c>
      <c r="Y86">
        <v>17.100000000000001</v>
      </c>
      <c r="Z86">
        <v>17.100000000000001</v>
      </c>
      <c r="AA86">
        <v>17.100000000000001</v>
      </c>
      <c r="AB86">
        <v>17.100000000000001</v>
      </c>
      <c r="AC86">
        <v>17.3</v>
      </c>
      <c r="AD86">
        <v>16.899999999999999</v>
      </c>
      <c r="AE86">
        <v>16.8</v>
      </c>
      <c r="AF86">
        <v>16.2</v>
      </c>
      <c r="AG86">
        <v>16.100000000000001</v>
      </c>
      <c r="AH86">
        <v>16.5</v>
      </c>
      <c r="AI86">
        <v>15.9</v>
      </c>
      <c r="AJ86">
        <v>16.2</v>
      </c>
      <c r="AK86">
        <v>16.3</v>
      </c>
      <c r="AL86">
        <v>16.3</v>
      </c>
      <c r="AM86">
        <v>16</v>
      </c>
      <c r="AN86">
        <v>16.100000000000001</v>
      </c>
      <c r="AO86">
        <v>16.2</v>
      </c>
      <c r="AP86">
        <v>16.100000000000001</v>
      </c>
      <c r="AQ86">
        <v>15.9</v>
      </c>
      <c r="AR86">
        <v>15.9</v>
      </c>
      <c r="AS86">
        <v>15.3</v>
      </c>
      <c r="AT86">
        <v>15.7</v>
      </c>
      <c r="AU86">
        <v>16.3</v>
      </c>
      <c r="AV86">
        <v>16.3</v>
      </c>
      <c r="AW86">
        <v>16.2</v>
      </c>
      <c r="AX86">
        <v>16.2</v>
      </c>
      <c r="AY86">
        <v>16.100000000000001</v>
      </c>
      <c r="AZ86">
        <v>16.600000000000001</v>
      </c>
      <c r="BA86">
        <v>16.2</v>
      </c>
      <c r="BB86">
        <v>16.2</v>
      </c>
      <c r="BC86">
        <v>16.600000000000001</v>
      </c>
      <c r="BD86">
        <v>16.7</v>
      </c>
      <c r="BE86">
        <v>16.7</v>
      </c>
      <c r="BF86">
        <v>16.8</v>
      </c>
      <c r="BG86">
        <v>16.8</v>
      </c>
      <c r="BH86">
        <v>16.8</v>
      </c>
      <c r="BI86">
        <v>16.899999999999999</v>
      </c>
      <c r="BJ86">
        <v>17.100000000000001</v>
      </c>
      <c r="BK86">
        <v>16.8</v>
      </c>
      <c r="BL86">
        <v>17.2</v>
      </c>
      <c r="BM86">
        <v>16.899999999999999</v>
      </c>
      <c r="BN86">
        <v>17.100000000000001</v>
      </c>
    </row>
    <row r="87" spans="1:69" x14ac:dyDescent="0.35">
      <c r="A87" t="s">
        <v>620</v>
      </c>
      <c r="B87" t="s">
        <v>468</v>
      </c>
      <c r="C87" t="s">
        <v>747</v>
      </c>
      <c r="D87" t="s">
        <v>748</v>
      </c>
      <c r="AO87">
        <v>16.2</v>
      </c>
      <c r="AP87">
        <v>15.6</v>
      </c>
      <c r="AQ87">
        <v>15.5</v>
      </c>
      <c r="AR87">
        <v>15.6</v>
      </c>
      <c r="AS87">
        <v>15.4</v>
      </c>
      <c r="AT87">
        <v>15.4</v>
      </c>
      <c r="AU87">
        <v>16</v>
      </c>
      <c r="AV87">
        <v>16.2</v>
      </c>
      <c r="AW87">
        <v>16.5</v>
      </c>
      <c r="AX87">
        <v>16</v>
      </c>
      <c r="AY87">
        <v>16</v>
      </c>
      <c r="AZ87">
        <v>15.7</v>
      </c>
      <c r="BA87">
        <v>15.7</v>
      </c>
      <c r="BB87">
        <v>15.7</v>
      </c>
      <c r="BC87">
        <v>15.6</v>
      </c>
      <c r="BD87">
        <v>15.5</v>
      </c>
      <c r="BE87">
        <v>15.6</v>
      </c>
      <c r="BF87">
        <v>15.6</v>
      </c>
      <c r="BG87">
        <v>15.8</v>
      </c>
      <c r="BH87">
        <v>15.9</v>
      </c>
      <c r="BI87">
        <v>15.9</v>
      </c>
      <c r="BJ87">
        <v>15.8</v>
      </c>
      <c r="BK87">
        <v>16.2</v>
      </c>
      <c r="BL87">
        <v>16.2</v>
      </c>
      <c r="BM87">
        <v>16.7</v>
      </c>
      <c r="BN87">
        <v>16.899999999999999</v>
      </c>
      <c r="BO87">
        <v>17</v>
      </c>
      <c r="BP87">
        <v>16.600000000000001</v>
      </c>
      <c r="BQ87">
        <v>16.5</v>
      </c>
    </row>
    <row r="88" spans="1:69" x14ac:dyDescent="0.35">
      <c r="A88" t="s">
        <v>170</v>
      </c>
      <c r="B88" t="s">
        <v>551</v>
      </c>
      <c r="C88" t="s">
        <v>747</v>
      </c>
      <c r="D88" t="s">
        <v>748</v>
      </c>
      <c r="AF88">
        <v>16.3</v>
      </c>
      <c r="AG88">
        <v>16</v>
      </c>
      <c r="AJ88">
        <v>15.2</v>
      </c>
      <c r="AQ88">
        <v>15</v>
      </c>
      <c r="AX88">
        <v>14.6</v>
      </c>
      <c r="BE88">
        <v>14.6</v>
      </c>
      <c r="BI88">
        <v>14.8</v>
      </c>
    </row>
    <row r="89" spans="1:69" x14ac:dyDescent="0.35">
      <c r="A89" t="s">
        <v>132</v>
      </c>
      <c r="B89" t="s">
        <v>683</v>
      </c>
      <c r="C89" t="s">
        <v>747</v>
      </c>
      <c r="D89" t="s">
        <v>748</v>
      </c>
    </row>
    <row r="90" spans="1:69" x14ac:dyDescent="0.35">
      <c r="A90" t="s">
        <v>576</v>
      </c>
      <c r="B90" t="s">
        <v>571</v>
      </c>
      <c r="C90" t="s">
        <v>747</v>
      </c>
      <c r="D90" t="s">
        <v>748</v>
      </c>
      <c r="AJ90">
        <v>14.4</v>
      </c>
      <c r="AM90">
        <v>13.3</v>
      </c>
      <c r="AU90">
        <v>14.1</v>
      </c>
      <c r="AZ90">
        <v>14.8</v>
      </c>
      <c r="BE90">
        <v>16.399999999999999</v>
      </c>
      <c r="BK90">
        <v>17.3</v>
      </c>
    </row>
    <row r="91" spans="1:69" x14ac:dyDescent="0.35">
      <c r="A91" t="s">
        <v>26</v>
      </c>
      <c r="B91" t="s">
        <v>86</v>
      </c>
      <c r="C91" t="s">
        <v>747</v>
      </c>
      <c r="D91" t="s">
        <v>748</v>
      </c>
      <c r="AQ91">
        <v>12.9</v>
      </c>
      <c r="AV91">
        <v>13</v>
      </c>
      <c r="BC91">
        <v>14.1</v>
      </c>
      <c r="BH91">
        <v>15.7</v>
      </c>
      <c r="BM91">
        <v>15.2</v>
      </c>
    </row>
    <row r="92" spans="1:69" x14ac:dyDescent="0.35">
      <c r="A92" t="s">
        <v>581</v>
      </c>
      <c r="B92" t="s">
        <v>163</v>
      </c>
      <c r="C92" t="s">
        <v>747</v>
      </c>
      <c r="D92" t="s">
        <v>748</v>
      </c>
      <c r="AJ92">
        <v>12</v>
      </c>
      <c r="AL92">
        <v>14.2</v>
      </c>
      <c r="AU92">
        <v>15.8</v>
      </c>
      <c r="BC92">
        <v>12.2</v>
      </c>
      <c r="BK92">
        <v>15.7</v>
      </c>
      <c r="BN92">
        <v>16.2</v>
      </c>
    </row>
    <row r="93" spans="1:69" x14ac:dyDescent="0.35">
      <c r="A93" t="s">
        <v>645</v>
      </c>
      <c r="B93" t="s">
        <v>234</v>
      </c>
      <c r="C93" t="s">
        <v>747</v>
      </c>
      <c r="D93" t="s">
        <v>748</v>
      </c>
      <c r="BO93">
        <v>15.2</v>
      </c>
    </row>
    <row r="94" spans="1:69" x14ac:dyDescent="0.35">
      <c r="A94" t="s">
        <v>691</v>
      </c>
      <c r="B94" t="s">
        <v>545</v>
      </c>
      <c r="C94" t="s">
        <v>747</v>
      </c>
      <c r="D94" t="s">
        <v>748</v>
      </c>
      <c r="AN94">
        <v>16.5</v>
      </c>
      <c r="AS94">
        <v>16.899999999999999</v>
      </c>
      <c r="AU94">
        <v>16.600000000000001</v>
      </c>
      <c r="AV94">
        <v>17.2</v>
      </c>
      <c r="AW94">
        <v>16.899999999999999</v>
      </c>
      <c r="AX94">
        <v>16.7</v>
      </c>
      <c r="AY94">
        <v>16.7</v>
      </c>
      <c r="AZ94">
        <v>17</v>
      </c>
      <c r="BA94">
        <v>16.899999999999999</v>
      </c>
      <c r="BB94">
        <v>17.100000000000001</v>
      </c>
      <c r="BC94">
        <v>17.100000000000001</v>
      </c>
      <c r="BD94">
        <v>17.399999999999999</v>
      </c>
      <c r="BE94">
        <v>17.2</v>
      </c>
      <c r="BF94">
        <v>16.899999999999999</v>
      </c>
      <c r="BG94">
        <v>17</v>
      </c>
      <c r="BH94">
        <v>17</v>
      </c>
      <c r="BI94">
        <v>17.100000000000001</v>
      </c>
      <c r="BJ94">
        <v>17.100000000000001</v>
      </c>
      <c r="BK94">
        <v>17.2</v>
      </c>
      <c r="BL94">
        <v>17.2</v>
      </c>
      <c r="BM94">
        <v>17.2</v>
      </c>
      <c r="BN94">
        <v>17.2</v>
      </c>
      <c r="BO94">
        <v>16.899999999999999</v>
      </c>
      <c r="BP94">
        <v>16.899999999999999</v>
      </c>
    </row>
    <row r="95" spans="1:69" x14ac:dyDescent="0.35">
      <c r="A95" t="s">
        <v>76</v>
      </c>
      <c r="B95" t="s">
        <v>599</v>
      </c>
      <c r="C95" t="s">
        <v>747</v>
      </c>
      <c r="D95" t="s">
        <v>748</v>
      </c>
      <c r="BK95">
        <v>13.5</v>
      </c>
    </row>
    <row r="96" spans="1:69" x14ac:dyDescent="0.35">
      <c r="A96" t="s">
        <v>526</v>
      </c>
      <c r="B96" t="s">
        <v>663</v>
      </c>
      <c r="C96" t="s">
        <v>747</v>
      </c>
      <c r="D96" t="s">
        <v>748</v>
      </c>
    </row>
    <row r="97" spans="1:69" x14ac:dyDescent="0.35">
      <c r="A97" t="s">
        <v>268</v>
      </c>
      <c r="B97" t="s">
        <v>140</v>
      </c>
      <c r="C97" t="s">
        <v>747</v>
      </c>
      <c r="D97" t="s">
        <v>748</v>
      </c>
      <c r="AE97">
        <v>11.8</v>
      </c>
      <c r="AH97">
        <v>10.7</v>
      </c>
      <c r="AQ97">
        <v>13.2</v>
      </c>
      <c r="AS97">
        <v>11.5</v>
      </c>
      <c r="AY97">
        <v>11.8</v>
      </c>
      <c r="BG97">
        <v>13.2</v>
      </c>
      <c r="BP97">
        <v>14</v>
      </c>
    </row>
    <row r="98" spans="1:69" x14ac:dyDescent="0.35">
      <c r="A98" t="s">
        <v>735</v>
      </c>
      <c r="B98" t="s">
        <v>41</v>
      </c>
      <c r="C98" t="s">
        <v>747</v>
      </c>
      <c r="D98" t="s">
        <v>748</v>
      </c>
    </row>
    <row r="99" spans="1:69" x14ac:dyDescent="0.35">
      <c r="A99" t="s">
        <v>365</v>
      </c>
      <c r="B99" t="s">
        <v>533</v>
      </c>
      <c r="C99" t="s">
        <v>747</v>
      </c>
      <c r="D99" t="s">
        <v>748</v>
      </c>
      <c r="AK99">
        <v>15.9</v>
      </c>
      <c r="AQ99">
        <v>14.5</v>
      </c>
    </row>
    <row r="100" spans="1:69" x14ac:dyDescent="0.35">
      <c r="A100" t="s">
        <v>353</v>
      </c>
      <c r="B100" t="s">
        <v>534</v>
      </c>
      <c r="C100" t="s">
        <v>747</v>
      </c>
      <c r="D100" t="s">
        <v>748</v>
      </c>
    </row>
    <row r="101" spans="1:69" x14ac:dyDescent="0.35">
      <c r="A101" t="s">
        <v>274</v>
      </c>
      <c r="B101" t="s">
        <v>342</v>
      </c>
      <c r="C101" t="s">
        <v>747</v>
      </c>
      <c r="D101" t="s">
        <v>748</v>
      </c>
    </row>
    <row r="102" spans="1:69" x14ac:dyDescent="0.35">
      <c r="A102" t="s">
        <v>552</v>
      </c>
      <c r="B102" t="s">
        <v>65</v>
      </c>
      <c r="C102" t="s">
        <v>747</v>
      </c>
      <c r="D102" t="s">
        <v>748</v>
      </c>
      <c r="AH102">
        <v>11.3</v>
      </c>
      <c r="AI102">
        <v>11.3</v>
      </c>
      <c r="AJ102">
        <v>12.3</v>
      </c>
      <c r="AK102">
        <v>12.2</v>
      </c>
      <c r="AL102">
        <v>11.8</v>
      </c>
      <c r="AM102">
        <v>11.4</v>
      </c>
      <c r="AN102">
        <v>11.3</v>
      </c>
      <c r="AO102">
        <v>11.4</v>
      </c>
      <c r="AP102">
        <v>12.2</v>
      </c>
      <c r="AQ102">
        <v>11.5</v>
      </c>
      <c r="AR102">
        <v>11.8</v>
      </c>
      <c r="AT102">
        <v>11.7</v>
      </c>
      <c r="AU102">
        <v>11.5</v>
      </c>
      <c r="AV102">
        <v>10.7</v>
      </c>
      <c r="AW102">
        <v>10.7</v>
      </c>
      <c r="AX102">
        <v>10.6</v>
      </c>
      <c r="AY102">
        <v>11.3</v>
      </c>
      <c r="AZ102">
        <v>11.2</v>
      </c>
      <c r="BA102">
        <v>11.7</v>
      </c>
      <c r="BB102">
        <v>12.8</v>
      </c>
      <c r="BC102">
        <v>12</v>
      </c>
      <c r="BD102">
        <v>12.4</v>
      </c>
      <c r="BE102">
        <v>12.1</v>
      </c>
      <c r="BF102">
        <v>13</v>
      </c>
      <c r="BG102">
        <v>13.1</v>
      </c>
      <c r="BH102">
        <v>13.2</v>
      </c>
      <c r="BI102">
        <v>13.3</v>
      </c>
      <c r="BJ102">
        <v>13.3</v>
      </c>
      <c r="BK102">
        <v>13.5</v>
      </c>
      <c r="BL102">
        <v>13.7</v>
      </c>
      <c r="BP102">
        <v>14</v>
      </c>
      <c r="BQ102">
        <v>14.5</v>
      </c>
    </row>
    <row r="103" spans="1:69" x14ac:dyDescent="0.35">
      <c r="A103" t="s">
        <v>684</v>
      </c>
      <c r="B103" t="s">
        <v>160</v>
      </c>
      <c r="C103" t="s">
        <v>747</v>
      </c>
      <c r="D103" t="s">
        <v>748</v>
      </c>
    </row>
    <row r="104" spans="1:69" x14ac:dyDescent="0.35">
      <c r="A104" t="s">
        <v>521</v>
      </c>
      <c r="B104" t="s">
        <v>625</v>
      </c>
      <c r="C104" t="s">
        <v>747</v>
      </c>
      <c r="D104" t="s">
        <v>748</v>
      </c>
      <c r="AG104">
        <v>18.600000000000001</v>
      </c>
      <c r="AQ104">
        <v>17.399999999999999</v>
      </c>
      <c r="AR104">
        <v>17.600000000000001</v>
      </c>
      <c r="AS104">
        <v>16.8</v>
      </c>
      <c r="AT104">
        <v>16.899999999999999</v>
      </c>
      <c r="AW104">
        <v>17.2</v>
      </c>
      <c r="BA104">
        <v>16.100000000000001</v>
      </c>
      <c r="BB104">
        <v>17.3</v>
      </c>
      <c r="BC104">
        <v>17.399999999999999</v>
      </c>
      <c r="BD104">
        <v>17.5</v>
      </c>
      <c r="BE104">
        <v>17.3</v>
      </c>
      <c r="BF104">
        <v>17.5</v>
      </c>
      <c r="BG104">
        <v>17.5</v>
      </c>
      <c r="BH104">
        <v>17.8</v>
      </c>
      <c r="BI104">
        <v>17.8</v>
      </c>
      <c r="BJ104">
        <v>18</v>
      </c>
      <c r="BK104">
        <v>17.8</v>
      </c>
      <c r="BL104">
        <v>18.100000000000001</v>
      </c>
      <c r="BM104">
        <v>17.899999999999999</v>
      </c>
      <c r="BN104">
        <v>17.899999999999999</v>
      </c>
      <c r="BO104">
        <v>17.600000000000001</v>
      </c>
      <c r="BP104">
        <v>17.8</v>
      </c>
    </row>
    <row r="105" spans="1:69" x14ac:dyDescent="0.35">
      <c r="A105" t="s">
        <v>5</v>
      </c>
      <c r="B105" t="s">
        <v>93</v>
      </c>
      <c r="C105" t="s">
        <v>747</v>
      </c>
      <c r="D105" t="s">
        <v>748</v>
      </c>
      <c r="AT105">
        <v>10.3</v>
      </c>
      <c r="BE105">
        <v>15.2</v>
      </c>
    </row>
    <row r="106" spans="1:69" x14ac:dyDescent="0.35">
      <c r="A106" t="s">
        <v>53</v>
      </c>
      <c r="B106" t="s">
        <v>637</v>
      </c>
      <c r="C106" t="s">
        <v>747</v>
      </c>
      <c r="D106" t="s">
        <v>748</v>
      </c>
      <c r="AF106">
        <v>18.5</v>
      </c>
      <c r="AH106">
        <v>17.7</v>
      </c>
      <c r="AJ106">
        <v>17.600000000000001</v>
      </c>
      <c r="AL106">
        <v>17.100000000000001</v>
      </c>
      <c r="AM106">
        <v>16.899999999999999</v>
      </c>
      <c r="AQ106">
        <v>17.8</v>
      </c>
      <c r="AR106">
        <v>17.399999999999999</v>
      </c>
      <c r="AS106">
        <v>17.5</v>
      </c>
      <c r="AT106">
        <v>17.7</v>
      </c>
      <c r="AU106">
        <v>17.600000000000001</v>
      </c>
      <c r="AV106">
        <v>17.100000000000001</v>
      </c>
      <c r="AW106">
        <v>17.5</v>
      </c>
      <c r="AX106">
        <v>16.7</v>
      </c>
      <c r="AY106">
        <v>17.8</v>
      </c>
      <c r="AZ106">
        <v>17.899999999999999</v>
      </c>
      <c r="BA106">
        <v>18</v>
      </c>
      <c r="BB106">
        <v>18.2</v>
      </c>
      <c r="BC106">
        <v>17.7</v>
      </c>
      <c r="BD106">
        <v>17.899999999999999</v>
      </c>
      <c r="BE106">
        <v>17.600000000000001</v>
      </c>
      <c r="BF106">
        <v>17.399999999999999</v>
      </c>
      <c r="BG106">
        <v>17.600000000000001</v>
      </c>
      <c r="BH106">
        <v>17.600000000000001</v>
      </c>
      <c r="BI106">
        <v>17.600000000000001</v>
      </c>
      <c r="BJ106">
        <v>17.600000000000001</v>
      </c>
    </row>
    <row r="107" spans="1:69" x14ac:dyDescent="0.35">
      <c r="A107" t="s">
        <v>716</v>
      </c>
      <c r="B107" t="s">
        <v>145</v>
      </c>
      <c r="C107" t="s">
        <v>747</v>
      </c>
      <c r="D107" t="s">
        <v>748</v>
      </c>
    </row>
    <row r="108" spans="1:69" x14ac:dyDescent="0.35">
      <c r="A108" t="s">
        <v>80</v>
      </c>
      <c r="B108" t="s">
        <v>278</v>
      </c>
      <c r="C108" t="s">
        <v>747</v>
      </c>
      <c r="D108" t="s">
        <v>748</v>
      </c>
    </row>
    <row r="109" spans="1:69" x14ac:dyDescent="0.35">
      <c r="A109" t="s">
        <v>737</v>
      </c>
      <c r="B109" t="s">
        <v>549</v>
      </c>
      <c r="C109" t="s">
        <v>747</v>
      </c>
      <c r="D109" t="s">
        <v>748</v>
      </c>
    </row>
    <row r="110" spans="1:69" x14ac:dyDescent="0.35">
      <c r="A110" t="s">
        <v>503</v>
      </c>
      <c r="B110" t="s">
        <v>1</v>
      </c>
      <c r="C110" t="s">
        <v>747</v>
      </c>
      <c r="D110" t="s">
        <v>748</v>
      </c>
    </row>
    <row r="111" spans="1:69" x14ac:dyDescent="0.35">
      <c r="A111" t="s">
        <v>472</v>
      </c>
      <c r="B111" t="s">
        <v>479</v>
      </c>
      <c r="C111" t="s">
        <v>747</v>
      </c>
      <c r="D111" t="s">
        <v>748</v>
      </c>
      <c r="AC111">
        <v>16.399999999999999</v>
      </c>
      <c r="AF111">
        <v>16.5</v>
      </c>
      <c r="AI111">
        <v>16.3</v>
      </c>
      <c r="AL111">
        <v>16.100000000000001</v>
      </c>
      <c r="AO111">
        <v>15.5</v>
      </c>
      <c r="AQ111">
        <v>16.3</v>
      </c>
      <c r="AR111">
        <v>16.3</v>
      </c>
      <c r="AS111">
        <v>16.399999999999999</v>
      </c>
      <c r="AT111">
        <v>16.2</v>
      </c>
      <c r="AU111">
        <v>16.3</v>
      </c>
      <c r="AV111">
        <v>16.600000000000001</v>
      </c>
      <c r="AW111">
        <v>16.5</v>
      </c>
      <c r="AX111">
        <v>16.7</v>
      </c>
      <c r="AY111">
        <v>16.5</v>
      </c>
      <c r="AZ111">
        <v>15.8</v>
      </c>
      <c r="BA111">
        <v>16.100000000000001</v>
      </c>
      <c r="BB111">
        <v>15.8</v>
      </c>
      <c r="BC111">
        <v>15.6</v>
      </c>
      <c r="BD111">
        <v>14.7</v>
      </c>
      <c r="BE111">
        <v>14.9</v>
      </c>
      <c r="BF111">
        <v>14.3</v>
      </c>
      <c r="BG111">
        <v>14.5</v>
      </c>
      <c r="BH111">
        <v>14.8</v>
      </c>
      <c r="BI111">
        <v>15.3</v>
      </c>
      <c r="BJ111">
        <v>15.4</v>
      </c>
      <c r="BK111">
        <v>15.4</v>
      </c>
      <c r="BL111">
        <v>15.6</v>
      </c>
      <c r="BM111">
        <v>15.6</v>
      </c>
      <c r="BN111">
        <v>15.5</v>
      </c>
      <c r="BO111">
        <v>15.4</v>
      </c>
      <c r="BP111">
        <v>15.2</v>
      </c>
      <c r="BQ111">
        <v>15.4</v>
      </c>
    </row>
    <row r="112" spans="1:69" x14ac:dyDescent="0.35">
      <c r="A112" t="s">
        <v>731</v>
      </c>
      <c r="B112" t="s">
        <v>675</v>
      </c>
      <c r="C112" t="s">
        <v>747</v>
      </c>
      <c r="D112" t="s">
        <v>748</v>
      </c>
    </row>
    <row r="113" spans="1:68" x14ac:dyDescent="0.35">
      <c r="A113" t="s">
        <v>303</v>
      </c>
      <c r="B113" t="s">
        <v>117</v>
      </c>
      <c r="C113" t="s">
        <v>747</v>
      </c>
      <c r="D113" t="s">
        <v>748</v>
      </c>
    </row>
    <row r="114" spans="1:68" x14ac:dyDescent="0.35">
      <c r="A114" t="s">
        <v>208</v>
      </c>
      <c r="B114" t="s">
        <v>596</v>
      </c>
      <c r="C114" t="s">
        <v>747</v>
      </c>
      <c r="D114" t="s">
        <v>748</v>
      </c>
      <c r="V114">
        <v>16.899999999999999</v>
      </c>
      <c r="AB114">
        <v>17.5</v>
      </c>
      <c r="AF114">
        <v>17.2</v>
      </c>
      <c r="AL114">
        <v>17.3</v>
      </c>
      <c r="AW114">
        <v>16.8</v>
      </c>
      <c r="BB114">
        <v>16.899999999999999</v>
      </c>
      <c r="BD114">
        <v>16.7</v>
      </c>
      <c r="BO114">
        <v>17.5</v>
      </c>
    </row>
    <row r="115" spans="1:68" x14ac:dyDescent="0.35">
      <c r="A115" t="s">
        <v>520</v>
      </c>
      <c r="B115" t="s">
        <v>376</v>
      </c>
      <c r="C115" t="s">
        <v>747</v>
      </c>
      <c r="D115" t="s">
        <v>748</v>
      </c>
    </row>
    <row r="116" spans="1:68" x14ac:dyDescent="0.35">
      <c r="A116" t="s">
        <v>106</v>
      </c>
      <c r="B116" t="s">
        <v>58</v>
      </c>
      <c r="C116" t="s">
        <v>747</v>
      </c>
      <c r="D116" t="s">
        <v>748</v>
      </c>
      <c r="AF116">
        <v>16.399999999999999</v>
      </c>
      <c r="AM116">
        <v>15.5</v>
      </c>
      <c r="AN116">
        <v>15.3</v>
      </c>
      <c r="AO116">
        <v>15.9</v>
      </c>
      <c r="AS116">
        <v>16.600000000000001</v>
      </c>
      <c r="AU116">
        <v>16.899999999999999</v>
      </c>
      <c r="AV116">
        <v>16.7</v>
      </c>
      <c r="AW116">
        <v>16.399999999999999</v>
      </c>
      <c r="AX116">
        <v>16.2</v>
      </c>
      <c r="AY116">
        <v>16.399999999999999</v>
      </c>
      <c r="AZ116">
        <v>16.5</v>
      </c>
      <c r="BA116">
        <v>17</v>
      </c>
      <c r="BB116">
        <v>16.7</v>
      </c>
      <c r="BC116">
        <v>16.899999999999999</v>
      </c>
      <c r="BD116">
        <v>16.7</v>
      </c>
      <c r="BE116">
        <v>16.600000000000001</v>
      </c>
      <c r="BF116">
        <v>16.7</v>
      </c>
      <c r="BG116">
        <v>16.7</v>
      </c>
      <c r="BH116">
        <v>16.899999999999999</v>
      </c>
      <c r="BI116">
        <v>16.3</v>
      </c>
      <c r="BJ116">
        <v>16.600000000000001</v>
      </c>
      <c r="BK116">
        <v>16.600000000000001</v>
      </c>
      <c r="BL116">
        <v>16.7</v>
      </c>
      <c r="BM116">
        <v>17.100000000000001</v>
      </c>
      <c r="BN116">
        <v>17.2</v>
      </c>
      <c r="BO116">
        <v>16.899999999999999</v>
      </c>
      <c r="BP116">
        <v>17.100000000000001</v>
      </c>
    </row>
    <row r="117" spans="1:68" x14ac:dyDescent="0.35">
      <c r="A117" t="s">
        <v>420</v>
      </c>
      <c r="B117" t="s">
        <v>182</v>
      </c>
      <c r="C117" t="s">
        <v>747</v>
      </c>
      <c r="D117" t="s">
        <v>748</v>
      </c>
      <c r="AE117">
        <v>13.4</v>
      </c>
      <c r="AI117">
        <v>14.4</v>
      </c>
      <c r="AM117">
        <v>14.4</v>
      </c>
      <c r="AQ117">
        <v>14.2</v>
      </c>
      <c r="AX117">
        <v>14.2</v>
      </c>
      <c r="AY117">
        <v>13.8</v>
      </c>
      <c r="BB117">
        <v>14.7</v>
      </c>
      <c r="BD117">
        <v>16.3</v>
      </c>
      <c r="BE117">
        <v>16.2</v>
      </c>
      <c r="BF117">
        <v>16.2</v>
      </c>
      <c r="BG117">
        <v>16.100000000000001</v>
      </c>
      <c r="BH117">
        <v>16</v>
      </c>
      <c r="BI117">
        <v>15.8</v>
      </c>
      <c r="BJ117">
        <v>15.7</v>
      </c>
      <c r="BK117">
        <v>15.4</v>
      </c>
      <c r="BL117">
        <v>15.8</v>
      </c>
      <c r="BM117">
        <v>15.9</v>
      </c>
      <c r="BN117">
        <v>16.100000000000001</v>
      </c>
      <c r="BO117">
        <v>16.3</v>
      </c>
      <c r="BP117">
        <v>16</v>
      </c>
    </row>
    <row r="118" spans="1:68" x14ac:dyDescent="0.35">
      <c r="A118" t="s">
        <v>0</v>
      </c>
      <c r="B118" t="s">
        <v>539</v>
      </c>
      <c r="C118" t="s">
        <v>747</v>
      </c>
      <c r="D118" t="s">
        <v>748</v>
      </c>
      <c r="AY118">
        <v>17.100000000000001</v>
      </c>
      <c r="BE118">
        <v>17.100000000000001</v>
      </c>
      <c r="BP118">
        <v>16.899999999999999</v>
      </c>
    </row>
    <row r="119" spans="1:68" x14ac:dyDescent="0.35">
      <c r="A119" t="s">
        <v>29</v>
      </c>
      <c r="B119" t="s">
        <v>146</v>
      </c>
      <c r="C119" t="s">
        <v>747</v>
      </c>
      <c r="D119" t="s">
        <v>748</v>
      </c>
      <c r="AV119">
        <v>17.600000000000001</v>
      </c>
      <c r="AW119">
        <v>17.2</v>
      </c>
      <c r="AX119">
        <v>17.100000000000001</v>
      </c>
      <c r="AY119">
        <v>16.7</v>
      </c>
      <c r="AZ119">
        <v>16.8</v>
      </c>
      <c r="BA119">
        <v>16.399999999999999</v>
      </c>
      <c r="BB119">
        <v>17.3</v>
      </c>
      <c r="BC119">
        <v>17.899999999999999</v>
      </c>
      <c r="BD119">
        <v>18</v>
      </c>
      <c r="BE119">
        <v>17.8</v>
      </c>
      <c r="BF119">
        <v>17.899999999999999</v>
      </c>
      <c r="BG119">
        <v>17.600000000000001</v>
      </c>
      <c r="BH119">
        <v>17.7</v>
      </c>
      <c r="BI119">
        <v>17.5</v>
      </c>
      <c r="BJ119">
        <v>17.899999999999999</v>
      </c>
      <c r="BK119">
        <v>18.2</v>
      </c>
      <c r="BL119">
        <v>17.899999999999999</v>
      </c>
    </row>
    <row r="120" spans="1:68" x14ac:dyDescent="0.35">
      <c r="A120" t="s">
        <v>486</v>
      </c>
      <c r="B120" t="s">
        <v>671</v>
      </c>
      <c r="C120" t="s">
        <v>747</v>
      </c>
      <c r="D120" t="s">
        <v>748</v>
      </c>
      <c r="X120">
        <v>16.2</v>
      </c>
      <c r="AE120">
        <v>16.2</v>
      </c>
      <c r="AK120">
        <v>16.3</v>
      </c>
      <c r="AP120">
        <v>16</v>
      </c>
      <c r="AT120">
        <v>15.9</v>
      </c>
      <c r="AU120">
        <v>16</v>
      </c>
      <c r="AV120">
        <v>15.7</v>
      </c>
      <c r="AW120">
        <v>15.7</v>
      </c>
      <c r="AX120">
        <v>15.3</v>
      </c>
      <c r="AY120">
        <v>15.7</v>
      </c>
      <c r="AZ120">
        <v>15.8</v>
      </c>
      <c r="BA120">
        <v>15.6</v>
      </c>
      <c r="BB120">
        <v>15.5</v>
      </c>
      <c r="BC120">
        <v>15.6</v>
      </c>
      <c r="BD120">
        <v>15.7</v>
      </c>
      <c r="BE120">
        <v>15.9</v>
      </c>
      <c r="BF120">
        <v>16</v>
      </c>
      <c r="BG120">
        <v>16.399999999999999</v>
      </c>
      <c r="BH120">
        <v>16.3</v>
      </c>
      <c r="BI120">
        <v>16.5</v>
      </c>
      <c r="BJ120">
        <v>16.7</v>
      </c>
      <c r="BK120">
        <v>16.600000000000001</v>
      </c>
      <c r="BL120">
        <v>16.600000000000001</v>
      </c>
      <c r="BM120">
        <v>16.7</v>
      </c>
      <c r="BN120">
        <v>16.7</v>
      </c>
    </row>
    <row r="121" spans="1:68" x14ac:dyDescent="0.35">
      <c r="A121" t="s">
        <v>175</v>
      </c>
      <c r="B121" t="s">
        <v>565</v>
      </c>
      <c r="C121" t="s">
        <v>747</v>
      </c>
      <c r="D121" t="s">
        <v>748</v>
      </c>
      <c r="V121">
        <v>16.600000000000001</v>
      </c>
      <c r="W121">
        <v>16.899999999999999</v>
      </c>
      <c r="X121">
        <v>17</v>
      </c>
      <c r="Y121">
        <v>16.8</v>
      </c>
      <c r="Z121">
        <v>17</v>
      </c>
      <c r="AA121">
        <v>17.5</v>
      </c>
      <c r="AB121">
        <v>17.5</v>
      </c>
      <c r="AC121">
        <v>17.2</v>
      </c>
      <c r="AE121">
        <v>17.3</v>
      </c>
      <c r="AF121">
        <v>16.899999999999999</v>
      </c>
      <c r="AH121">
        <v>17</v>
      </c>
      <c r="AJ121">
        <v>17.399999999999999</v>
      </c>
      <c r="AL121">
        <v>17.2</v>
      </c>
      <c r="AN121">
        <v>17</v>
      </c>
      <c r="AQ121">
        <v>16.8</v>
      </c>
      <c r="AS121">
        <v>17</v>
      </c>
      <c r="AU121">
        <v>17</v>
      </c>
      <c r="AV121">
        <v>16.8</v>
      </c>
      <c r="AW121">
        <v>16.899999999999999</v>
      </c>
      <c r="AX121">
        <v>17.100000000000001</v>
      </c>
      <c r="AY121">
        <v>17</v>
      </c>
      <c r="AZ121">
        <v>17.2</v>
      </c>
      <c r="BA121">
        <v>17.100000000000001</v>
      </c>
      <c r="BB121">
        <v>17.100000000000001</v>
      </c>
      <c r="BC121">
        <v>17</v>
      </c>
      <c r="BD121">
        <v>16.899999999999999</v>
      </c>
      <c r="BE121">
        <v>16.899999999999999</v>
      </c>
      <c r="BF121">
        <v>17</v>
      </c>
      <c r="BG121">
        <v>17.2</v>
      </c>
      <c r="BH121">
        <v>17.2</v>
      </c>
      <c r="BI121">
        <v>17.100000000000001</v>
      </c>
      <c r="BJ121">
        <v>16.899999999999999</v>
      </c>
      <c r="BK121">
        <v>17</v>
      </c>
      <c r="BL121">
        <v>17.100000000000001</v>
      </c>
      <c r="BM121">
        <v>16.899999999999999</v>
      </c>
      <c r="BN121">
        <v>16.899999999999999</v>
      </c>
      <c r="BO121">
        <v>17.100000000000001</v>
      </c>
      <c r="BP121">
        <v>17</v>
      </c>
    </row>
    <row r="122" spans="1:68" x14ac:dyDescent="0.35">
      <c r="A122" t="s">
        <v>127</v>
      </c>
      <c r="B122" t="s">
        <v>702</v>
      </c>
      <c r="C122" t="s">
        <v>747</v>
      </c>
      <c r="D122" t="s">
        <v>748</v>
      </c>
      <c r="AG122">
        <v>14.5</v>
      </c>
      <c r="AI122">
        <v>14.4</v>
      </c>
      <c r="AL122">
        <v>16.3</v>
      </c>
      <c r="AO122">
        <v>14.9</v>
      </c>
      <c r="AR122">
        <v>13.9</v>
      </c>
      <c r="AU122">
        <v>12.6</v>
      </c>
      <c r="AW122">
        <v>13.2</v>
      </c>
      <c r="BK122">
        <v>15.9</v>
      </c>
      <c r="BN122">
        <v>15.3</v>
      </c>
    </row>
    <row r="123" spans="1:68" x14ac:dyDescent="0.35">
      <c r="A123" t="s">
        <v>575</v>
      </c>
      <c r="B123" t="s">
        <v>311</v>
      </c>
      <c r="C123" t="s">
        <v>747</v>
      </c>
      <c r="D123" t="s">
        <v>748</v>
      </c>
      <c r="AE123">
        <v>15.7</v>
      </c>
      <c r="AK123">
        <v>14</v>
      </c>
      <c r="AP123">
        <v>15.5</v>
      </c>
      <c r="AU123">
        <v>15.3</v>
      </c>
      <c r="AY123">
        <v>15.9</v>
      </c>
      <c r="BA123">
        <v>16.100000000000001</v>
      </c>
      <c r="BC123">
        <v>15.8</v>
      </c>
    </row>
    <row r="124" spans="1:68" x14ac:dyDescent="0.35">
      <c r="A124" t="s">
        <v>734</v>
      </c>
      <c r="B124" t="s">
        <v>566</v>
      </c>
      <c r="C124" t="s">
        <v>747</v>
      </c>
      <c r="D124" t="s">
        <v>748</v>
      </c>
      <c r="BA124">
        <v>17.2</v>
      </c>
      <c r="BB124">
        <v>17.399999999999999</v>
      </c>
      <c r="BC124">
        <v>17.5</v>
      </c>
      <c r="BD124">
        <v>17.3</v>
      </c>
      <c r="BE124">
        <v>17.399999999999999</v>
      </c>
      <c r="BF124">
        <v>17.7</v>
      </c>
      <c r="BG124">
        <v>17.2</v>
      </c>
      <c r="BH124">
        <v>17.5</v>
      </c>
      <c r="BI124">
        <v>17.5</v>
      </c>
      <c r="BJ124">
        <v>17.3</v>
      </c>
      <c r="BK124">
        <v>17.5</v>
      </c>
      <c r="BL124">
        <v>17.399999999999999</v>
      </c>
      <c r="BM124">
        <v>17.600000000000001</v>
      </c>
    </row>
    <row r="125" spans="1:68" x14ac:dyDescent="0.35">
      <c r="A125" t="s">
        <v>84</v>
      </c>
      <c r="B125" t="s">
        <v>292</v>
      </c>
      <c r="C125" t="s">
        <v>747</v>
      </c>
      <c r="D125" t="s">
        <v>748</v>
      </c>
      <c r="AL125">
        <v>16.899999999999999</v>
      </c>
      <c r="AO125">
        <v>16.100000000000001</v>
      </c>
      <c r="AT125">
        <v>16.2</v>
      </c>
      <c r="AU125">
        <v>16.100000000000001</v>
      </c>
      <c r="AV125">
        <v>16.399999999999999</v>
      </c>
      <c r="AW125">
        <v>16.600000000000001</v>
      </c>
      <c r="AX125">
        <v>15.2</v>
      </c>
      <c r="AY125">
        <v>16.600000000000001</v>
      </c>
      <c r="AZ125">
        <v>16.7</v>
      </c>
      <c r="BA125">
        <v>16.899999999999999</v>
      </c>
      <c r="BB125">
        <v>17.100000000000001</v>
      </c>
      <c r="BC125">
        <v>17.100000000000001</v>
      </c>
      <c r="BD125">
        <v>17.100000000000001</v>
      </c>
      <c r="BE125">
        <v>17.100000000000001</v>
      </c>
      <c r="BF125">
        <v>17.3</v>
      </c>
      <c r="BG125">
        <v>17.3</v>
      </c>
      <c r="BH125">
        <v>17.2</v>
      </c>
      <c r="BI125">
        <v>17.2</v>
      </c>
      <c r="BJ125">
        <v>17.100000000000001</v>
      </c>
      <c r="BK125">
        <v>16.8</v>
      </c>
      <c r="BL125">
        <v>16.8</v>
      </c>
      <c r="BM125">
        <v>16.5</v>
      </c>
      <c r="BN125">
        <v>16.3</v>
      </c>
    </row>
    <row r="126" spans="1:68" x14ac:dyDescent="0.35">
      <c r="A126" t="s">
        <v>739</v>
      </c>
      <c r="B126" t="s">
        <v>696</v>
      </c>
      <c r="C126" t="s">
        <v>747</v>
      </c>
      <c r="D126" t="s">
        <v>748</v>
      </c>
      <c r="AK126">
        <v>10.9</v>
      </c>
      <c r="AM126">
        <v>14.6</v>
      </c>
      <c r="AP126">
        <v>13.6</v>
      </c>
      <c r="AX126">
        <v>13.4</v>
      </c>
      <c r="BH126">
        <v>14.6</v>
      </c>
      <c r="BM126">
        <v>15.4</v>
      </c>
      <c r="BN126">
        <v>14.6</v>
      </c>
      <c r="BO126">
        <v>14.8</v>
      </c>
    </row>
    <row r="127" spans="1:68" x14ac:dyDescent="0.35">
      <c r="A127" t="s">
        <v>470</v>
      </c>
      <c r="B127" t="s">
        <v>423</v>
      </c>
      <c r="C127" t="s">
        <v>747</v>
      </c>
      <c r="D127" t="s">
        <v>748</v>
      </c>
      <c r="AQ127">
        <v>14.2</v>
      </c>
      <c r="AS127">
        <v>16.399999999999999</v>
      </c>
      <c r="AT127">
        <v>16.7</v>
      </c>
      <c r="AU127">
        <v>16.7</v>
      </c>
      <c r="AV127">
        <v>16.8</v>
      </c>
      <c r="AW127">
        <v>15.7</v>
      </c>
      <c r="AX127">
        <v>16.100000000000001</v>
      </c>
      <c r="AY127">
        <v>15.1</v>
      </c>
      <c r="AZ127">
        <v>16.100000000000001</v>
      </c>
      <c r="BA127">
        <v>16.7</v>
      </c>
      <c r="BB127">
        <v>16.7</v>
      </c>
      <c r="BC127">
        <v>16.899999999999999</v>
      </c>
      <c r="BD127">
        <v>17.100000000000001</v>
      </c>
      <c r="BE127">
        <v>17.3</v>
      </c>
      <c r="BF127">
        <v>16.899999999999999</v>
      </c>
      <c r="BG127">
        <v>17.2</v>
      </c>
      <c r="BH127">
        <v>16.8</v>
      </c>
      <c r="BI127">
        <v>17.100000000000001</v>
      </c>
      <c r="BJ127">
        <v>17.100000000000001</v>
      </c>
      <c r="BK127">
        <v>17</v>
      </c>
      <c r="BL127">
        <v>16.5</v>
      </c>
      <c r="BM127">
        <v>16.899999999999999</v>
      </c>
      <c r="BN127">
        <v>16.8</v>
      </c>
      <c r="BO127">
        <v>17.399999999999999</v>
      </c>
      <c r="BP127">
        <v>17.2</v>
      </c>
    </row>
    <row r="128" spans="1:68" x14ac:dyDescent="0.35">
      <c r="A128" t="s">
        <v>674</v>
      </c>
      <c r="B128" t="s">
        <v>709</v>
      </c>
      <c r="C128" t="s">
        <v>747</v>
      </c>
      <c r="D128" t="s">
        <v>748</v>
      </c>
    </row>
    <row r="129" spans="1:67" x14ac:dyDescent="0.35">
      <c r="A129" t="s">
        <v>635</v>
      </c>
      <c r="B129" t="s">
        <v>527</v>
      </c>
      <c r="C129" t="s">
        <v>747</v>
      </c>
      <c r="D129" t="s">
        <v>748</v>
      </c>
      <c r="AY129">
        <v>16</v>
      </c>
      <c r="BL129">
        <v>17.2</v>
      </c>
    </row>
    <row r="130" spans="1:67" x14ac:dyDescent="0.35">
      <c r="A130" t="s">
        <v>168</v>
      </c>
      <c r="B130" t="s">
        <v>393</v>
      </c>
      <c r="C130" t="s">
        <v>747</v>
      </c>
      <c r="D130" t="s">
        <v>748</v>
      </c>
    </row>
    <row r="131" spans="1:67" x14ac:dyDescent="0.35">
      <c r="A131" t="s">
        <v>197</v>
      </c>
      <c r="B131" t="s">
        <v>667</v>
      </c>
      <c r="C131" t="s">
        <v>747</v>
      </c>
      <c r="D131" t="s">
        <v>748</v>
      </c>
      <c r="AY131">
        <v>17.5</v>
      </c>
      <c r="BA131">
        <v>17.3</v>
      </c>
      <c r="BC131">
        <v>17.3</v>
      </c>
      <c r="BE131">
        <v>17.600000000000001</v>
      </c>
      <c r="BG131">
        <v>17.5</v>
      </c>
      <c r="BI131">
        <v>16.8</v>
      </c>
      <c r="BJ131">
        <v>16.899999999999999</v>
      </c>
      <c r="BK131">
        <v>17</v>
      </c>
      <c r="BL131">
        <v>17</v>
      </c>
      <c r="BM131">
        <v>17</v>
      </c>
      <c r="BN131">
        <v>16.899999999999999</v>
      </c>
    </row>
    <row r="132" spans="1:67" x14ac:dyDescent="0.35">
      <c r="A132" t="s">
        <v>724</v>
      </c>
      <c r="B132" t="s">
        <v>509</v>
      </c>
      <c r="C132" t="s">
        <v>747</v>
      </c>
      <c r="D132" t="s">
        <v>748</v>
      </c>
    </row>
    <row r="133" spans="1:67" x14ac:dyDescent="0.35">
      <c r="A133" t="s">
        <v>287</v>
      </c>
      <c r="B133" t="s">
        <v>522</v>
      </c>
      <c r="C133" t="s">
        <v>747</v>
      </c>
      <c r="D133" t="s">
        <v>748</v>
      </c>
    </row>
    <row r="134" spans="1:67" x14ac:dyDescent="0.35">
      <c r="A134" t="s">
        <v>574</v>
      </c>
      <c r="B134" t="s">
        <v>245</v>
      </c>
      <c r="C134" t="s">
        <v>747</v>
      </c>
      <c r="D134" t="s">
        <v>748</v>
      </c>
      <c r="AK134">
        <v>15.5</v>
      </c>
      <c r="AP134">
        <v>15.5</v>
      </c>
      <c r="AU134">
        <v>16.100000000000001</v>
      </c>
      <c r="AZ134">
        <v>15.4</v>
      </c>
      <c r="BE134">
        <v>15.5</v>
      </c>
      <c r="BK134">
        <v>14.7</v>
      </c>
    </row>
    <row r="135" spans="1:67" x14ac:dyDescent="0.35">
      <c r="A135" t="s">
        <v>446</v>
      </c>
      <c r="B135" t="s">
        <v>264</v>
      </c>
      <c r="C135" t="s">
        <v>747</v>
      </c>
      <c r="D135" t="s">
        <v>748</v>
      </c>
      <c r="BD135">
        <v>17</v>
      </c>
      <c r="BO135">
        <v>16.3</v>
      </c>
    </row>
    <row r="136" spans="1:67" x14ac:dyDescent="0.35">
      <c r="A136" t="s">
        <v>248</v>
      </c>
      <c r="B136" t="s">
        <v>662</v>
      </c>
      <c r="C136" t="s">
        <v>747</v>
      </c>
      <c r="D136" t="s">
        <v>748</v>
      </c>
      <c r="AZ136">
        <v>16.2</v>
      </c>
      <c r="BG136">
        <v>16.600000000000001</v>
      </c>
      <c r="BI136">
        <v>16</v>
      </c>
    </row>
    <row r="137" spans="1:67" x14ac:dyDescent="0.35">
      <c r="A137" t="s">
        <v>555</v>
      </c>
      <c r="B137" t="s">
        <v>666</v>
      </c>
      <c r="C137" t="s">
        <v>747</v>
      </c>
      <c r="D137" t="s">
        <v>748</v>
      </c>
    </row>
    <row r="138" spans="1:67" x14ac:dyDescent="0.35">
      <c r="A138" t="s">
        <v>515</v>
      </c>
      <c r="B138" t="s">
        <v>383</v>
      </c>
      <c r="C138" t="s">
        <v>747</v>
      </c>
      <c r="D138" t="s">
        <v>748</v>
      </c>
      <c r="AN138">
        <v>14.8</v>
      </c>
      <c r="BH138">
        <v>13.8</v>
      </c>
    </row>
    <row r="139" spans="1:67" x14ac:dyDescent="0.35">
      <c r="A139" t="s">
        <v>605</v>
      </c>
      <c r="B139" t="s">
        <v>178</v>
      </c>
      <c r="C139" t="s">
        <v>747</v>
      </c>
      <c r="D139" t="s">
        <v>748</v>
      </c>
    </row>
    <row r="140" spans="1:67" x14ac:dyDescent="0.35">
      <c r="A140" t="s">
        <v>284</v>
      </c>
      <c r="B140" t="s">
        <v>589</v>
      </c>
      <c r="C140" t="s">
        <v>747</v>
      </c>
      <c r="D140" t="s">
        <v>748</v>
      </c>
    </row>
    <row r="141" spans="1:67" x14ac:dyDescent="0.35">
      <c r="A141" t="s">
        <v>649</v>
      </c>
      <c r="B141" t="s">
        <v>70</v>
      </c>
      <c r="C141" t="s">
        <v>747</v>
      </c>
      <c r="D141" t="s">
        <v>748</v>
      </c>
    </row>
    <row r="142" spans="1:67" x14ac:dyDescent="0.35">
      <c r="A142" t="s">
        <v>615</v>
      </c>
      <c r="B142" t="s">
        <v>356</v>
      </c>
      <c r="C142" t="s">
        <v>747</v>
      </c>
      <c r="D142" t="s">
        <v>748</v>
      </c>
    </row>
    <row r="143" spans="1:67" x14ac:dyDescent="0.35">
      <c r="A143" t="s">
        <v>3</v>
      </c>
      <c r="B143" t="s">
        <v>687</v>
      </c>
      <c r="C143" t="s">
        <v>747</v>
      </c>
      <c r="D143" t="s">
        <v>748</v>
      </c>
      <c r="AD143">
        <v>16.399999999999999</v>
      </c>
      <c r="AI143">
        <v>16</v>
      </c>
      <c r="AN143">
        <v>15.2</v>
      </c>
      <c r="AU143">
        <v>14.2</v>
      </c>
      <c r="AY143">
        <v>14.4</v>
      </c>
      <c r="BB143">
        <v>15.3</v>
      </c>
      <c r="BE143">
        <v>14.6</v>
      </c>
      <c r="BI143">
        <v>14.6</v>
      </c>
      <c r="BL143">
        <v>15</v>
      </c>
    </row>
    <row r="144" spans="1:67" x14ac:dyDescent="0.35">
      <c r="A144" t="s">
        <v>374</v>
      </c>
      <c r="B144" t="s">
        <v>225</v>
      </c>
      <c r="C144" t="s">
        <v>747</v>
      </c>
      <c r="D144" t="s">
        <v>748</v>
      </c>
    </row>
    <row r="145" spans="1:68" x14ac:dyDescent="0.35">
      <c r="A145" t="s">
        <v>329</v>
      </c>
      <c r="B145" t="s">
        <v>306</v>
      </c>
      <c r="C145" t="s">
        <v>747</v>
      </c>
      <c r="D145" t="s">
        <v>748</v>
      </c>
    </row>
    <row r="146" spans="1:68" x14ac:dyDescent="0.35">
      <c r="A146" t="s">
        <v>502</v>
      </c>
      <c r="B146" t="s">
        <v>259</v>
      </c>
      <c r="C146" t="s">
        <v>747</v>
      </c>
      <c r="D146" t="s">
        <v>748</v>
      </c>
      <c r="AE146">
        <v>11.2</v>
      </c>
      <c r="AM146">
        <v>8.9</v>
      </c>
      <c r="AU146">
        <v>12.8</v>
      </c>
      <c r="BJ146">
        <v>14.2</v>
      </c>
    </row>
    <row r="147" spans="1:68" x14ac:dyDescent="0.35">
      <c r="A147" t="s">
        <v>416</v>
      </c>
      <c r="B147" t="s">
        <v>722</v>
      </c>
      <c r="C147" t="s">
        <v>747</v>
      </c>
      <c r="D147" t="s">
        <v>748</v>
      </c>
    </row>
    <row r="148" spans="1:68" x14ac:dyDescent="0.35">
      <c r="A148" t="s">
        <v>424</v>
      </c>
      <c r="B148" t="s">
        <v>114</v>
      </c>
      <c r="C148" t="s">
        <v>747</v>
      </c>
      <c r="D148" t="s">
        <v>748</v>
      </c>
      <c r="AL148">
        <v>16.3</v>
      </c>
      <c r="AO148">
        <v>16.899999999999999</v>
      </c>
      <c r="AQ148">
        <v>16.8</v>
      </c>
      <c r="AR148">
        <v>16.899999999999999</v>
      </c>
      <c r="AS148">
        <v>17.100000000000001</v>
      </c>
      <c r="AT148">
        <v>16.899999999999999</v>
      </c>
      <c r="AU148">
        <v>16.899999999999999</v>
      </c>
      <c r="AV148">
        <v>16</v>
      </c>
      <c r="AW148">
        <v>16.399999999999999</v>
      </c>
      <c r="AX148">
        <v>16.5</v>
      </c>
      <c r="AY148">
        <v>16.5</v>
      </c>
      <c r="AZ148">
        <v>16.399999999999999</v>
      </c>
      <c r="BA148">
        <v>16.2</v>
      </c>
      <c r="BB148">
        <v>16.399999999999999</v>
      </c>
      <c r="BC148">
        <v>17.600000000000001</v>
      </c>
      <c r="BD148">
        <v>17.2</v>
      </c>
      <c r="BE148">
        <v>16.600000000000001</v>
      </c>
      <c r="BF148">
        <v>16.399999999999999</v>
      </c>
      <c r="BG148">
        <v>16</v>
      </c>
      <c r="BH148">
        <v>15.9</v>
      </c>
      <c r="BI148">
        <v>15.9</v>
      </c>
      <c r="BJ148">
        <v>15.9</v>
      </c>
      <c r="BK148">
        <v>16.3</v>
      </c>
      <c r="BL148">
        <v>16.100000000000001</v>
      </c>
      <c r="BM148">
        <v>15.7</v>
      </c>
      <c r="BN148">
        <v>15.6</v>
      </c>
      <c r="BO148">
        <v>15.7</v>
      </c>
      <c r="BP148">
        <v>16.2</v>
      </c>
    </row>
    <row r="149" spans="1:68" x14ac:dyDescent="0.35">
      <c r="A149" t="s">
        <v>301</v>
      </c>
      <c r="B149" t="s">
        <v>546</v>
      </c>
      <c r="C149" t="s">
        <v>747</v>
      </c>
      <c r="D149" t="s">
        <v>748</v>
      </c>
      <c r="AD149">
        <v>17.8</v>
      </c>
      <c r="AE149">
        <v>17.600000000000001</v>
      </c>
      <c r="AF149">
        <v>17.5</v>
      </c>
      <c r="AG149">
        <v>17.3</v>
      </c>
      <c r="AH149">
        <v>16.600000000000001</v>
      </c>
      <c r="AI149">
        <v>17.5</v>
      </c>
      <c r="AJ149">
        <v>17.7</v>
      </c>
      <c r="AK149">
        <v>17.5</v>
      </c>
      <c r="AL149">
        <v>17.5</v>
      </c>
      <c r="AM149">
        <v>17.600000000000001</v>
      </c>
      <c r="AN149">
        <v>17.399999999999999</v>
      </c>
      <c r="AO149">
        <v>17.5</v>
      </c>
      <c r="AP149">
        <v>17.3</v>
      </c>
      <c r="AQ149">
        <v>17.2</v>
      </c>
      <c r="AR149">
        <v>17.3</v>
      </c>
      <c r="AS149">
        <v>17.2</v>
      </c>
      <c r="AT149">
        <v>16.899999999999999</v>
      </c>
      <c r="AU149">
        <v>16.8</v>
      </c>
      <c r="AV149">
        <v>17.2</v>
      </c>
      <c r="AW149">
        <v>17.2</v>
      </c>
      <c r="AX149">
        <v>17.100000000000001</v>
      </c>
      <c r="AY149">
        <v>17.100000000000001</v>
      </c>
      <c r="AZ149">
        <v>17</v>
      </c>
      <c r="BA149">
        <v>16.7</v>
      </c>
      <c r="BB149">
        <v>17.2</v>
      </c>
      <c r="BC149">
        <v>17.3</v>
      </c>
      <c r="BD149">
        <v>17.100000000000001</v>
      </c>
      <c r="BE149">
        <v>16.5</v>
      </c>
      <c r="BF149">
        <v>17</v>
      </c>
      <c r="BG149">
        <v>17.2</v>
      </c>
      <c r="BH149">
        <v>16.8</v>
      </c>
      <c r="BI149">
        <v>17.100000000000001</v>
      </c>
      <c r="BJ149">
        <v>16.7</v>
      </c>
      <c r="BK149">
        <v>16.5</v>
      </c>
      <c r="BL149">
        <v>16.5</v>
      </c>
      <c r="BM149">
        <v>16.8</v>
      </c>
      <c r="BN149">
        <v>17.3</v>
      </c>
      <c r="BO149">
        <v>16.899999999999999</v>
      </c>
      <c r="BP149">
        <v>17</v>
      </c>
    </row>
    <row r="150" spans="1:68" x14ac:dyDescent="0.35">
      <c r="A150" t="s">
        <v>277</v>
      </c>
      <c r="B150" t="s">
        <v>471</v>
      </c>
      <c r="C150" t="s">
        <v>747</v>
      </c>
      <c r="D150" t="s">
        <v>748</v>
      </c>
      <c r="AL150">
        <v>17.5</v>
      </c>
      <c r="AN150">
        <v>17.3</v>
      </c>
      <c r="AO150">
        <v>17.3</v>
      </c>
      <c r="AP150">
        <v>16.399999999999999</v>
      </c>
      <c r="AQ150">
        <v>16.7</v>
      </c>
      <c r="AU150">
        <v>16.2</v>
      </c>
      <c r="AV150">
        <v>15.6</v>
      </c>
      <c r="AW150">
        <v>15.9</v>
      </c>
      <c r="AX150">
        <v>15.3</v>
      </c>
      <c r="AY150">
        <v>16</v>
      </c>
      <c r="AZ150">
        <v>15.9</v>
      </c>
      <c r="BA150">
        <v>16.100000000000001</v>
      </c>
      <c r="BB150">
        <v>16.5</v>
      </c>
      <c r="BC150">
        <v>17.100000000000001</v>
      </c>
      <c r="BD150">
        <v>16.399999999999999</v>
      </c>
      <c r="BE150">
        <v>16.5</v>
      </c>
      <c r="BF150">
        <v>16.2</v>
      </c>
      <c r="BG150">
        <v>16.3</v>
      </c>
      <c r="BH150">
        <v>16.399999999999999</v>
      </c>
      <c r="BI150">
        <v>16.5</v>
      </c>
      <c r="BJ150">
        <v>16.399999999999999</v>
      </c>
      <c r="BK150">
        <v>16.3</v>
      </c>
      <c r="BL150">
        <v>16.399999999999999</v>
      </c>
      <c r="BM150">
        <v>16.2</v>
      </c>
      <c r="BN150">
        <v>16.600000000000001</v>
      </c>
      <c r="BO150">
        <v>16.7</v>
      </c>
      <c r="BP150">
        <v>16.5</v>
      </c>
    </row>
    <row r="151" spans="1:68" x14ac:dyDescent="0.35">
      <c r="A151" t="s">
        <v>578</v>
      </c>
      <c r="B151" t="s">
        <v>307</v>
      </c>
      <c r="C151" t="s">
        <v>747</v>
      </c>
      <c r="D151" t="s">
        <v>748</v>
      </c>
    </row>
    <row r="152" spans="1:68" x14ac:dyDescent="0.35">
      <c r="A152" t="s">
        <v>406</v>
      </c>
      <c r="B152" t="s">
        <v>475</v>
      </c>
      <c r="C152" t="s">
        <v>747</v>
      </c>
      <c r="D152" t="s">
        <v>748</v>
      </c>
    </row>
    <row r="153" spans="1:68" x14ac:dyDescent="0.35">
      <c r="A153" t="s">
        <v>37</v>
      </c>
      <c r="B153" t="s">
        <v>205</v>
      </c>
      <c r="C153" t="s">
        <v>747</v>
      </c>
      <c r="D153" t="s">
        <v>748</v>
      </c>
      <c r="AC153">
        <v>16</v>
      </c>
      <c r="AI153">
        <v>15</v>
      </c>
      <c r="AQ153">
        <v>14.9</v>
      </c>
      <c r="AS153">
        <v>14.5</v>
      </c>
      <c r="AY153">
        <v>14.5</v>
      </c>
      <c r="BF153">
        <v>14.7</v>
      </c>
    </row>
    <row r="154" spans="1:68" x14ac:dyDescent="0.35">
      <c r="A154" t="s">
        <v>414</v>
      </c>
      <c r="B154" t="s">
        <v>6</v>
      </c>
      <c r="C154" t="s">
        <v>747</v>
      </c>
      <c r="D154" t="s">
        <v>748</v>
      </c>
    </row>
    <row r="155" spans="1:68" x14ac:dyDescent="0.35">
      <c r="A155" t="s">
        <v>484</v>
      </c>
      <c r="B155" t="s">
        <v>88</v>
      </c>
      <c r="C155" t="s">
        <v>747</v>
      </c>
      <c r="D155" t="s">
        <v>748</v>
      </c>
      <c r="AP155">
        <v>15.8</v>
      </c>
      <c r="AQ155">
        <v>15.3</v>
      </c>
      <c r="AR155">
        <v>14.1</v>
      </c>
      <c r="AS155">
        <v>15.8</v>
      </c>
      <c r="AT155">
        <v>15.3</v>
      </c>
      <c r="AU155">
        <v>16</v>
      </c>
      <c r="AV155">
        <v>15.9</v>
      </c>
      <c r="AW155">
        <v>16.100000000000001</v>
      </c>
      <c r="AX155">
        <v>15.8</v>
      </c>
      <c r="AY155">
        <v>16.100000000000001</v>
      </c>
      <c r="AZ155">
        <v>16.3</v>
      </c>
      <c r="BA155">
        <v>16.100000000000001</v>
      </c>
      <c r="BB155">
        <v>16.600000000000001</v>
      </c>
      <c r="BC155">
        <v>16.600000000000001</v>
      </c>
      <c r="BD155">
        <v>16.899999999999999</v>
      </c>
      <c r="BE155">
        <v>17.100000000000001</v>
      </c>
      <c r="BF155">
        <v>17.3</v>
      </c>
      <c r="BG155">
        <v>17.399999999999999</v>
      </c>
      <c r="BH155">
        <v>17.5</v>
      </c>
      <c r="BI155">
        <v>17.399999999999999</v>
      </c>
      <c r="BJ155">
        <v>17.600000000000001</v>
      </c>
      <c r="BK155">
        <v>17.5</v>
      </c>
      <c r="BL155">
        <v>17.5</v>
      </c>
      <c r="BM155">
        <v>17.600000000000001</v>
      </c>
      <c r="BN155">
        <v>17.600000000000001</v>
      </c>
      <c r="BO155">
        <v>17.5</v>
      </c>
      <c r="BP155">
        <v>17.3</v>
      </c>
    </row>
    <row r="156" spans="1:68" x14ac:dyDescent="0.35">
      <c r="A156" t="s">
        <v>427</v>
      </c>
      <c r="B156" t="s">
        <v>17</v>
      </c>
      <c r="C156" t="s">
        <v>747</v>
      </c>
      <c r="D156" t="s">
        <v>748</v>
      </c>
      <c r="Y156">
        <v>13.4</v>
      </c>
      <c r="AL156">
        <v>13.8</v>
      </c>
      <c r="AP156">
        <v>15.3</v>
      </c>
      <c r="AR156">
        <v>15.3</v>
      </c>
      <c r="AT156">
        <v>12.7</v>
      </c>
      <c r="AX156">
        <v>14.6</v>
      </c>
      <c r="BC156">
        <v>14</v>
      </c>
      <c r="BE156">
        <v>14.1</v>
      </c>
      <c r="BN156">
        <v>15.5</v>
      </c>
    </row>
    <row r="157" spans="1:68" x14ac:dyDescent="0.35">
      <c r="A157" t="s">
        <v>228</v>
      </c>
      <c r="B157" t="s">
        <v>97</v>
      </c>
      <c r="C157" t="s">
        <v>747</v>
      </c>
      <c r="D157" t="s">
        <v>748</v>
      </c>
      <c r="AU157">
        <v>14.4</v>
      </c>
      <c r="BB157">
        <v>15.7</v>
      </c>
      <c r="BI157">
        <v>16.899999999999999</v>
      </c>
      <c r="BL157">
        <v>17</v>
      </c>
    </row>
    <row r="158" spans="1:68" x14ac:dyDescent="0.35">
      <c r="A158" t="s">
        <v>583</v>
      </c>
      <c r="B158" t="s">
        <v>164</v>
      </c>
      <c r="C158" t="s">
        <v>747</v>
      </c>
      <c r="D158" t="s">
        <v>748</v>
      </c>
    </row>
    <row r="159" spans="1:68" x14ac:dyDescent="0.35">
      <c r="A159" t="s">
        <v>246</v>
      </c>
      <c r="B159" t="s">
        <v>310</v>
      </c>
      <c r="C159" t="s">
        <v>747</v>
      </c>
      <c r="D159" t="s">
        <v>748</v>
      </c>
      <c r="AC159">
        <v>12.8</v>
      </c>
      <c r="AH159">
        <v>12.6</v>
      </c>
      <c r="AK159">
        <v>11.8</v>
      </c>
      <c r="AM159">
        <v>11.6</v>
      </c>
      <c r="AO159">
        <v>12.1</v>
      </c>
      <c r="AQ159">
        <v>12</v>
      </c>
      <c r="AS159">
        <v>11.8</v>
      </c>
      <c r="AU159">
        <v>12.5</v>
      </c>
      <c r="AW159">
        <v>12.5</v>
      </c>
      <c r="AX159">
        <v>12.6</v>
      </c>
      <c r="AY159">
        <v>12.7</v>
      </c>
      <c r="BA159">
        <v>12.5</v>
      </c>
      <c r="BC159">
        <v>13.1</v>
      </c>
      <c r="BE159">
        <v>12.6</v>
      </c>
      <c r="BG159">
        <v>12.7</v>
      </c>
      <c r="BI159">
        <v>13.2</v>
      </c>
      <c r="BK159">
        <v>13.4</v>
      </c>
      <c r="BM159">
        <v>13.8</v>
      </c>
      <c r="BO159">
        <v>14.1</v>
      </c>
    </row>
    <row r="160" spans="1:68" x14ac:dyDescent="0.35">
      <c r="A160" t="s">
        <v>707</v>
      </c>
      <c r="B160" t="s">
        <v>641</v>
      </c>
      <c r="C160" t="s">
        <v>747</v>
      </c>
      <c r="D160" t="s">
        <v>748</v>
      </c>
      <c r="BL160">
        <v>15.8</v>
      </c>
    </row>
    <row r="161" spans="1:67" x14ac:dyDescent="0.35">
      <c r="A161" t="s">
        <v>458</v>
      </c>
      <c r="B161" t="s">
        <v>600</v>
      </c>
      <c r="C161" t="s">
        <v>747</v>
      </c>
      <c r="D161" t="s">
        <v>748</v>
      </c>
    </row>
    <row r="162" spans="1:67" x14ac:dyDescent="0.35">
      <c r="A162" t="s">
        <v>123</v>
      </c>
      <c r="B162" t="s">
        <v>654</v>
      </c>
      <c r="C162" t="s">
        <v>747</v>
      </c>
      <c r="D162" t="s">
        <v>748</v>
      </c>
      <c r="AQ162">
        <v>18</v>
      </c>
      <c r="AS162">
        <v>17.100000000000001</v>
      </c>
      <c r="AU162">
        <v>15.7</v>
      </c>
      <c r="AV162">
        <v>15.6</v>
      </c>
      <c r="AW162">
        <v>15.8</v>
      </c>
      <c r="AX162">
        <v>15.4</v>
      </c>
      <c r="AY162">
        <v>14.5</v>
      </c>
      <c r="BA162">
        <v>13.2</v>
      </c>
      <c r="BB162">
        <v>15.6</v>
      </c>
      <c r="BC162">
        <v>16.899999999999999</v>
      </c>
      <c r="BD162">
        <v>16.5</v>
      </c>
      <c r="BE162">
        <v>16.7</v>
      </c>
      <c r="BF162">
        <v>16.8</v>
      </c>
      <c r="BG162">
        <v>17.2</v>
      </c>
      <c r="BH162">
        <v>17.399999999999999</v>
      </c>
      <c r="BI162">
        <v>17.899999999999999</v>
      </c>
      <c r="BJ162">
        <v>17.899999999999999</v>
      </c>
      <c r="BK162">
        <v>18.100000000000001</v>
      </c>
      <c r="BL162">
        <v>18</v>
      </c>
    </row>
    <row r="163" spans="1:67" x14ac:dyDescent="0.35">
      <c r="A163" t="s">
        <v>357</v>
      </c>
      <c r="B163" t="s">
        <v>612</v>
      </c>
      <c r="C163" t="s">
        <v>747</v>
      </c>
      <c r="D163" t="s">
        <v>748</v>
      </c>
      <c r="AM163">
        <v>11.9</v>
      </c>
      <c r="AT163">
        <v>14.7</v>
      </c>
      <c r="AY163">
        <v>14.9</v>
      </c>
      <c r="BB163">
        <v>16.2</v>
      </c>
      <c r="BK163">
        <v>15.4</v>
      </c>
      <c r="BN163">
        <v>15.4</v>
      </c>
    </row>
    <row r="164" spans="1:67" x14ac:dyDescent="0.35">
      <c r="A164" t="s">
        <v>407</v>
      </c>
      <c r="B164" t="s">
        <v>119</v>
      </c>
      <c r="C164" t="s">
        <v>747</v>
      </c>
      <c r="D164" t="s">
        <v>748</v>
      </c>
      <c r="AY164">
        <v>17.899999999999999</v>
      </c>
      <c r="AZ164">
        <v>17.7</v>
      </c>
      <c r="BA164">
        <v>17.5</v>
      </c>
      <c r="BB164">
        <v>17.3</v>
      </c>
      <c r="BC164">
        <v>17.600000000000001</v>
      </c>
      <c r="BD164">
        <v>17.600000000000001</v>
      </c>
      <c r="BE164">
        <v>17.600000000000001</v>
      </c>
      <c r="BF164">
        <v>17.5</v>
      </c>
      <c r="BG164">
        <v>17.600000000000001</v>
      </c>
      <c r="BH164">
        <v>17.399999999999999</v>
      </c>
      <c r="BI164">
        <v>17.5</v>
      </c>
      <c r="BJ164">
        <v>17.600000000000001</v>
      </c>
      <c r="BK164">
        <v>17.7</v>
      </c>
      <c r="BL164">
        <v>16.899999999999999</v>
      </c>
      <c r="BM164">
        <v>17</v>
      </c>
      <c r="BN164">
        <v>16.8</v>
      </c>
      <c r="BO164">
        <v>16.3</v>
      </c>
    </row>
    <row r="165" spans="1:67" x14ac:dyDescent="0.35">
      <c r="A165" t="s">
        <v>433</v>
      </c>
      <c r="B165" t="s">
        <v>69</v>
      </c>
      <c r="C165" t="s">
        <v>747</v>
      </c>
      <c r="D165" t="s">
        <v>748</v>
      </c>
      <c r="BH165">
        <v>15</v>
      </c>
      <c r="BJ165">
        <v>16.600000000000001</v>
      </c>
    </row>
    <row r="166" spans="1:67" x14ac:dyDescent="0.35">
      <c r="A166" t="s">
        <v>660</v>
      </c>
      <c r="B166" t="s">
        <v>553</v>
      </c>
      <c r="C166" t="s">
        <v>747</v>
      </c>
      <c r="D166" t="s">
        <v>748</v>
      </c>
    </row>
    <row r="167" spans="1:67" x14ac:dyDescent="0.35">
      <c r="A167" t="s">
        <v>412</v>
      </c>
      <c r="B167" t="s">
        <v>201</v>
      </c>
      <c r="C167" t="s">
        <v>747</v>
      </c>
      <c r="D167" t="s">
        <v>748</v>
      </c>
      <c r="AX167">
        <v>17.100000000000001</v>
      </c>
      <c r="AY167">
        <v>17.3</v>
      </c>
      <c r="AZ167">
        <v>17</v>
      </c>
      <c r="BA167">
        <v>17</v>
      </c>
      <c r="BB167">
        <v>17</v>
      </c>
      <c r="BC167">
        <v>17.7</v>
      </c>
      <c r="BD167">
        <v>17.100000000000001</v>
      </c>
      <c r="BE167">
        <v>15.9</v>
      </c>
      <c r="BF167">
        <v>16.3</v>
      </c>
      <c r="BG167">
        <v>16.5</v>
      </c>
      <c r="BH167">
        <v>16.3</v>
      </c>
      <c r="BI167">
        <v>16.399999999999999</v>
      </c>
      <c r="BJ167">
        <v>17.100000000000001</v>
      </c>
      <c r="BK167">
        <v>17.100000000000001</v>
      </c>
      <c r="BL167">
        <v>16.899999999999999</v>
      </c>
      <c r="BM167">
        <v>16.899999999999999</v>
      </c>
      <c r="BN167">
        <v>17.2</v>
      </c>
    </row>
    <row r="168" spans="1:67" x14ac:dyDescent="0.35">
      <c r="A168" t="s">
        <v>405</v>
      </c>
      <c r="B168" t="s">
        <v>481</v>
      </c>
      <c r="C168" t="s">
        <v>747</v>
      </c>
      <c r="D168" t="s">
        <v>748</v>
      </c>
      <c r="AN168">
        <v>16.8</v>
      </c>
      <c r="AQ168">
        <v>17.7</v>
      </c>
      <c r="AU168">
        <v>16.8</v>
      </c>
      <c r="AZ168">
        <v>15.8</v>
      </c>
      <c r="BC168">
        <v>16.5</v>
      </c>
      <c r="BD168">
        <v>16.100000000000001</v>
      </c>
      <c r="BE168">
        <v>16.3</v>
      </c>
      <c r="BG168">
        <v>16.7</v>
      </c>
      <c r="BI168">
        <v>16.600000000000001</v>
      </c>
      <c r="BK168">
        <v>16.5</v>
      </c>
      <c r="BO168">
        <v>16.8</v>
      </c>
    </row>
    <row r="169" spans="1:67" x14ac:dyDescent="0.35">
      <c r="A169" t="s">
        <v>184</v>
      </c>
      <c r="B169" t="s">
        <v>613</v>
      </c>
      <c r="C169" t="s">
        <v>747</v>
      </c>
      <c r="D169" t="s">
        <v>748</v>
      </c>
    </row>
    <row r="170" spans="1:67" x14ac:dyDescent="0.35">
      <c r="A170" t="s">
        <v>606</v>
      </c>
      <c r="B170" t="s">
        <v>141</v>
      </c>
      <c r="C170" t="s">
        <v>747</v>
      </c>
      <c r="D170" t="s">
        <v>748</v>
      </c>
      <c r="AO170">
        <v>11.1</v>
      </c>
      <c r="AU170">
        <v>13</v>
      </c>
      <c r="BA170">
        <v>13.7</v>
      </c>
      <c r="BG170">
        <v>11.2</v>
      </c>
      <c r="BL170">
        <v>12.2</v>
      </c>
      <c r="BO170">
        <v>12.5</v>
      </c>
    </row>
    <row r="171" spans="1:67" x14ac:dyDescent="0.35">
      <c r="A171" t="s">
        <v>59</v>
      </c>
      <c r="B171" t="s">
        <v>419</v>
      </c>
      <c r="C171" t="s">
        <v>747</v>
      </c>
      <c r="D171" t="s">
        <v>748</v>
      </c>
      <c r="AF171">
        <v>15</v>
      </c>
      <c r="AL171">
        <v>12.3</v>
      </c>
      <c r="AN171">
        <v>15.7</v>
      </c>
      <c r="AS171">
        <v>15.2</v>
      </c>
      <c r="AW171">
        <v>14.7</v>
      </c>
      <c r="BA171">
        <v>16.3</v>
      </c>
      <c r="BG171">
        <v>16.899999999999999</v>
      </c>
      <c r="BL171">
        <v>16.8</v>
      </c>
    </row>
    <row r="172" spans="1:67" x14ac:dyDescent="0.35">
      <c r="A172" t="s">
        <v>52</v>
      </c>
      <c r="B172" t="s">
        <v>429</v>
      </c>
      <c r="C172" t="s">
        <v>747</v>
      </c>
      <c r="D172" t="s">
        <v>748</v>
      </c>
      <c r="AY172">
        <v>15.5</v>
      </c>
      <c r="BE172">
        <v>15.1</v>
      </c>
      <c r="BJ172">
        <v>15.5</v>
      </c>
    </row>
    <row r="173" spans="1:67" x14ac:dyDescent="0.35">
      <c r="A173" t="s">
        <v>543</v>
      </c>
      <c r="B173" t="s">
        <v>247</v>
      </c>
      <c r="C173" t="s">
        <v>747</v>
      </c>
      <c r="D173" t="s">
        <v>748</v>
      </c>
      <c r="AP173">
        <v>8.1</v>
      </c>
      <c r="AW173">
        <v>14.5</v>
      </c>
      <c r="BC173">
        <v>13.4</v>
      </c>
      <c r="BI173">
        <v>13.3</v>
      </c>
      <c r="BL173">
        <v>14.9</v>
      </c>
    </row>
    <row r="174" spans="1:67" x14ac:dyDescent="0.35">
      <c r="A174" t="s">
        <v>452</v>
      </c>
      <c r="B174" t="s">
        <v>588</v>
      </c>
      <c r="C174" t="s">
        <v>747</v>
      </c>
      <c r="D174" t="s">
        <v>748</v>
      </c>
      <c r="AC174">
        <v>13</v>
      </c>
      <c r="AF174">
        <v>13.3</v>
      </c>
      <c r="AH174">
        <v>13.5</v>
      </c>
      <c r="AK174">
        <v>13.1</v>
      </c>
      <c r="AN174">
        <v>13</v>
      </c>
      <c r="AP174">
        <v>12.8</v>
      </c>
      <c r="AV174">
        <v>13.6</v>
      </c>
      <c r="AY174">
        <v>13.9</v>
      </c>
      <c r="BA174">
        <v>13.8</v>
      </c>
      <c r="BD174">
        <v>14.1</v>
      </c>
      <c r="BF174">
        <v>14.7</v>
      </c>
      <c r="BH174">
        <v>14.8</v>
      </c>
      <c r="BK174">
        <v>14.8</v>
      </c>
      <c r="BN174">
        <v>15</v>
      </c>
    </row>
    <row r="175" spans="1:67" x14ac:dyDescent="0.35">
      <c r="A175" t="s">
        <v>227</v>
      </c>
      <c r="B175" t="s">
        <v>664</v>
      </c>
      <c r="C175" t="s">
        <v>747</v>
      </c>
      <c r="D175" t="s">
        <v>748</v>
      </c>
    </row>
    <row r="176" spans="1:67" x14ac:dyDescent="0.35">
      <c r="A176" t="s">
        <v>157</v>
      </c>
      <c r="B176" t="s">
        <v>270</v>
      </c>
      <c r="C176" t="s">
        <v>747</v>
      </c>
      <c r="D176" t="s">
        <v>748</v>
      </c>
      <c r="AL176">
        <v>6.2</v>
      </c>
      <c r="AV176">
        <v>8.1</v>
      </c>
      <c r="BB176">
        <v>8.9</v>
      </c>
      <c r="BH176">
        <v>9.8000000000000007</v>
      </c>
    </row>
    <row r="177" spans="1:69" x14ac:dyDescent="0.35">
      <c r="A177" t="s">
        <v>723</v>
      </c>
      <c r="B177" t="s">
        <v>198</v>
      </c>
      <c r="C177" t="s">
        <v>747</v>
      </c>
      <c r="D177" t="s">
        <v>748</v>
      </c>
    </row>
    <row r="178" spans="1:69" x14ac:dyDescent="0.35">
      <c r="A178" t="s">
        <v>181</v>
      </c>
      <c r="B178" t="s">
        <v>142</v>
      </c>
      <c r="C178" t="s">
        <v>747</v>
      </c>
      <c r="D178" t="s">
        <v>748</v>
      </c>
      <c r="AK178">
        <v>15.7</v>
      </c>
      <c r="AM178">
        <v>14.5</v>
      </c>
      <c r="AX178">
        <v>13.7</v>
      </c>
      <c r="AZ178">
        <v>14.8</v>
      </c>
      <c r="BD178">
        <v>16.3</v>
      </c>
      <c r="BG178">
        <v>16</v>
      </c>
      <c r="BK178">
        <v>15</v>
      </c>
      <c r="BN178">
        <v>15.9</v>
      </c>
    </row>
    <row r="179" spans="1:69" x14ac:dyDescent="0.35">
      <c r="A179" t="s">
        <v>304</v>
      </c>
      <c r="B179" t="s">
        <v>685</v>
      </c>
      <c r="C179" t="s">
        <v>747</v>
      </c>
      <c r="D179" t="s">
        <v>748</v>
      </c>
      <c r="AD179">
        <v>15.5</v>
      </c>
      <c r="AK179">
        <v>14.4</v>
      </c>
      <c r="AO179">
        <v>12.3</v>
      </c>
      <c r="AV179">
        <v>15.4</v>
      </c>
      <c r="BC179">
        <v>15.9</v>
      </c>
      <c r="BE179">
        <v>15.9</v>
      </c>
      <c r="BH179">
        <v>15.8</v>
      </c>
      <c r="BK179">
        <v>16.2</v>
      </c>
      <c r="BO179">
        <v>16.399999999999999</v>
      </c>
    </row>
    <row r="180" spans="1:69" x14ac:dyDescent="0.35">
      <c r="A180" t="s">
        <v>604</v>
      </c>
      <c r="B180" t="s">
        <v>220</v>
      </c>
      <c r="C180" t="s">
        <v>747</v>
      </c>
      <c r="D180" t="s">
        <v>748</v>
      </c>
      <c r="AL180">
        <v>11.2</v>
      </c>
      <c r="AQ180">
        <v>11.8</v>
      </c>
      <c r="AT180">
        <v>11.8</v>
      </c>
      <c r="AX180">
        <v>12.8</v>
      </c>
      <c r="BB180">
        <v>14.1</v>
      </c>
      <c r="BG180">
        <v>13.7</v>
      </c>
    </row>
    <row r="181" spans="1:69" x14ac:dyDescent="0.35">
      <c r="A181" t="s">
        <v>14</v>
      </c>
      <c r="B181" t="s">
        <v>517</v>
      </c>
      <c r="C181" t="s">
        <v>747</v>
      </c>
      <c r="D181" t="s">
        <v>748</v>
      </c>
      <c r="AB181">
        <v>17.3</v>
      </c>
      <c r="AF181">
        <v>17.399999999999999</v>
      </c>
      <c r="AI181">
        <v>16.7</v>
      </c>
      <c r="AL181">
        <v>17.2</v>
      </c>
      <c r="AR181">
        <v>17.3</v>
      </c>
      <c r="AW181">
        <v>17.3</v>
      </c>
      <c r="AX181">
        <v>17.3</v>
      </c>
      <c r="AY181">
        <v>17</v>
      </c>
      <c r="AZ181">
        <v>17.100000000000001</v>
      </c>
      <c r="BA181">
        <v>17.3</v>
      </c>
      <c r="BB181">
        <v>17.600000000000001</v>
      </c>
      <c r="BC181">
        <v>17.7</v>
      </c>
      <c r="BD181">
        <v>17.600000000000001</v>
      </c>
      <c r="BE181">
        <v>17.600000000000001</v>
      </c>
      <c r="BF181">
        <v>17.600000000000001</v>
      </c>
      <c r="BG181">
        <v>17.399999999999999</v>
      </c>
      <c r="BH181">
        <v>17.5</v>
      </c>
      <c r="BI181">
        <v>17.600000000000001</v>
      </c>
      <c r="BJ181">
        <v>17.5</v>
      </c>
      <c r="BK181">
        <v>17.600000000000001</v>
      </c>
      <c r="BL181">
        <v>17.399999999999999</v>
      </c>
      <c r="BM181">
        <v>18.3</v>
      </c>
      <c r="BN181">
        <v>18.3</v>
      </c>
    </row>
    <row r="182" spans="1:69" x14ac:dyDescent="0.35">
      <c r="A182" t="s">
        <v>680</v>
      </c>
      <c r="B182" t="s">
        <v>597</v>
      </c>
      <c r="C182" t="s">
        <v>747</v>
      </c>
      <c r="D182" t="s">
        <v>748</v>
      </c>
      <c r="X182">
        <v>17.399999999999999</v>
      </c>
      <c r="AE182">
        <v>18</v>
      </c>
      <c r="AJ182">
        <v>17.899999999999999</v>
      </c>
      <c r="AN182">
        <v>17.8</v>
      </c>
      <c r="AS182">
        <v>17.3</v>
      </c>
      <c r="AV182">
        <v>17.3</v>
      </c>
      <c r="AW182">
        <v>16.399999999999999</v>
      </c>
      <c r="AX182">
        <v>16.600000000000001</v>
      </c>
      <c r="AY182">
        <v>18</v>
      </c>
      <c r="AZ182">
        <v>17.5</v>
      </c>
      <c r="BA182">
        <v>17.7</v>
      </c>
      <c r="BB182">
        <v>17.899999999999999</v>
      </c>
      <c r="BC182">
        <v>18</v>
      </c>
      <c r="BD182">
        <v>18.2</v>
      </c>
      <c r="BE182">
        <v>18.100000000000001</v>
      </c>
      <c r="BF182">
        <v>17.899999999999999</v>
      </c>
      <c r="BG182">
        <v>18</v>
      </c>
      <c r="BH182">
        <v>17.7</v>
      </c>
      <c r="BI182">
        <v>17.7</v>
      </c>
      <c r="BJ182">
        <v>18</v>
      </c>
      <c r="BK182">
        <v>17.8</v>
      </c>
      <c r="BL182">
        <v>17.7</v>
      </c>
      <c r="BM182">
        <v>17.7</v>
      </c>
      <c r="BN182">
        <v>17.3</v>
      </c>
      <c r="BO182">
        <v>17.899999999999999</v>
      </c>
      <c r="BP182">
        <v>18</v>
      </c>
    </row>
    <row r="183" spans="1:69" x14ac:dyDescent="0.35">
      <c r="A183" t="s">
        <v>216</v>
      </c>
      <c r="B183" t="s">
        <v>721</v>
      </c>
      <c r="C183" t="s">
        <v>747</v>
      </c>
      <c r="D183" t="s">
        <v>748</v>
      </c>
      <c r="AC183">
        <v>16.7</v>
      </c>
      <c r="AN183">
        <v>15.6</v>
      </c>
      <c r="AV183">
        <v>13.4</v>
      </c>
      <c r="BC183">
        <v>16.2</v>
      </c>
      <c r="BO183">
        <v>17</v>
      </c>
    </row>
    <row r="184" spans="1:69" x14ac:dyDescent="0.35">
      <c r="A184" t="s">
        <v>105</v>
      </c>
      <c r="B184" t="s">
        <v>272</v>
      </c>
      <c r="C184" t="s">
        <v>747</v>
      </c>
      <c r="D184" t="s">
        <v>748</v>
      </c>
      <c r="BE184">
        <v>16.5</v>
      </c>
    </row>
    <row r="185" spans="1:69" x14ac:dyDescent="0.35">
      <c r="A185" t="s">
        <v>561</v>
      </c>
      <c r="B185" t="s">
        <v>295</v>
      </c>
      <c r="C185" t="s">
        <v>747</v>
      </c>
      <c r="D185" t="s">
        <v>748</v>
      </c>
    </row>
    <row r="186" spans="1:69" x14ac:dyDescent="0.35">
      <c r="A186" t="s">
        <v>344</v>
      </c>
      <c r="B186" t="s">
        <v>653</v>
      </c>
      <c r="C186" t="s">
        <v>747</v>
      </c>
      <c r="D186" t="s">
        <v>748</v>
      </c>
    </row>
    <row r="187" spans="1:69" x14ac:dyDescent="0.35">
      <c r="A187" t="s">
        <v>697</v>
      </c>
      <c r="B187" t="s">
        <v>567</v>
      </c>
      <c r="C187" t="s">
        <v>747</v>
      </c>
      <c r="D187" t="s">
        <v>748</v>
      </c>
    </row>
    <row r="188" spans="1:69" x14ac:dyDescent="0.35">
      <c r="A188" t="s">
        <v>695</v>
      </c>
      <c r="B188" t="s">
        <v>421</v>
      </c>
      <c r="C188" t="s">
        <v>747</v>
      </c>
      <c r="D188" t="s">
        <v>748</v>
      </c>
    </row>
    <row r="189" spans="1:69" x14ac:dyDescent="0.35">
      <c r="A189" t="s">
        <v>740</v>
      </c>
      <c r="B189" t="s">
        <v>135</v>
      </c>
      <c r="C189" t="s">
        <v>747</v>
      </c>
      <c r="D189" t="s">
        <v>748</v>
      </c>
      <c r="AF189">
        <v>15.9</v>
      </c>
      <c r="AI189">
        <v>16.3</v>
      </c>
      <c r="AO189">
        <v>16.5</v>
      </c>
      <c r="AQ189">
        <v>15.8</v>
      </c>
      <c r="AT189">
        <v>16.600000000000001</v>
      </c>
      <c r="AW189">
        <v>16.2</v>
      </c>
      <c r="AX189">
        <v>16</v>
      </c>
      <c r="AZ189">
        <v>16.3</v>
      </c>
      <c r="BC189">
        <v>16.600000000000001</v>
      </c>
      <c r="BD189">
        <v>16.399999999999999</v>
      </c>
      <c r="BF189">
        <v>16.600000000000001</v>
      </c>
      <c r="BH189">
        <v>16</v>
      </c>
      <c r="BK189">
        <v>16.399999999999999</v>
      </c>
    </row>
    <row r="190" spans="1:69" x14ac:dyDescent="0.35">
      <c r="A190" t="s">
        <v>541</v>
      </c>
      <c r="B190" t="s">
        <v>465</v>
      </c>
      <c r="C190" t="s">
        <v>747</v>
      </c>
      <c r="D190" t="s">
        <v>748</v>
      </c>
      <c r="X190">
        <v>13.1</v>
      </c>
      <c r="AH190">
        <v>11.6</v>
      </c>
      <c r="AJ190">
        <v>11.5</v>
      </c>
      <c r="AN190">
        <v>11.6</v>
      </c>
      <c r="AP190">
        <v>11.1</v>
      </c>
      <c r="AQ190">
        <v>11.4</v>
      </c>
      <c r="AR190">
        <v>11.5</v>
      </c>
      <c r="AS190">
        <v>11.4</v>
      </c>
      <c r="AT190">
        <v>11.6</v>
      </c>
      <c r="AU190">
        <v>11.4</v>
      </c>
      <c r="AV190">
        <v>11.5</v>
      </c>
      <c r="AW190">
        <v>11.7</v>
      </c>
      <c r="AX190">
        <v>11.9</v>
      </c>
      <c r="AY190">
        <v>11.8</v>
      </c>
      <c r="AZ190">
        <v>12.4</v>
      </c>
      <c r="BA190">
        <v>12.4</v>
      </c>
      <c r="BB190">
        <v>12.4</v>
      </c>
      <c r="BC190">
        <v>12.6</v>
      </c>
      <c r="BD190">
        <v>12.6</v>
      </c>
      <c r="BE190">
        <v>12.7</v>
      </c>
      <c r="BF190">
        <v>12.7</v>
      </c>
      <c r="BG190">
        <v>13.1</v>
      </c>
      <c r="BH190">
        <v>12.8</v>
      </c>
      <c r="BI190">
        <v>12.9</v>
      </c>
      <c r="BJ190">
        <v>13.3</v>
      </c>
      <c r="BK190">
        <v>13.4</v>
      </c>
      <c r="BL190">
        <v>13.2</v>
      </c>
      <c r="BN190">
        <v>12.5</v>
      </c>
      <c r="BP190">
        <v>13.3</v>
      </c>
      <c r="BQ190">
        <v>13</v>
      </c>
    </row>
    <row r="191" spans="1:69" x14ac:dyDescent="0.35">
      <c r="A191" t="s">
        <v>495</v>
      </c>
      <c r="B191" t="s">
        <v>296</v>
      </c>
      <c r="C191" t="s">
        <v>747</v>
      </c>
      <c r="D191" t="s">
        <v>748</v>
      </c>
      <c r="AD191">
        <v>13.7</v>
      </c>
      <c r="AM191">
        <v>14.5</v>
      </c>
      <c r="AP191">
        <v>12.4</v>
      </c>
      <c r="AQ191">
        <v>11.7</v>
      </c>
      <c r="AR191">
        <v>11.7</v>
      </c>
      <c r="AS191">
        <v>13.6</v>
      </c>
      <c r="AT191">
        <v>12.7</v>
      </c>
      <c r="AU191">
        <v>12.2</v>
      </c>
      <c r="AV191">
        <v>12</v>
      </c>
      <c r="AW191">
        <v>13.1</v>
      </c>
      <c r="AX191">
        <v>13</v>
      </c>
      <c r="AY191">
        <v>13.2</v>
      </c>
      <c r="AZ191">
        <v>13.3</v>
      </c>
      <c r="BA191">
        <v>14</v>
      </c>
      <c r="BB191">
        <v>13.9</v>
      </c>
      <c r="BC191">
        <v>14.4</v>
      </c>
      <c r="BD191">
        <v>14.8</v>
      </c>
      <c r="BE191">
        <v>14.8</v>
      </c>
      <c r="BF191">
        <v>14.9</v>
      </c>
      <c r="BG191">
        <v>15</v>
      </c>
      <c r="BH191">
        <v>14.8</v>
      </c>
      <c r="BI191">
        <v>14.8</v>
      </c>
      <c r="BJ191">
        <v>14.9</v>
      </c>
      <c r="BK191">
        <v>15</v>
      </c>
      <c r="BL191">
        <v>15.2</v>
      </c>
      <c r="BM191">
        <v>14.6</v>
      </c>
      <c r="BN191">
        <v>15.2</v>
      </c>
      <c r="BO191">
        <v>15.2</v>
      </c>
      <c r="BP191">
        <v>15.3</v>
      </c>
      <c r="BQ191">
        <v>15.4</v>
      </c>
    </row>
    <row r="192" spans="1:69" x14ac:dyDescent="0.35">
      <c r="A192" t="s">
        <v>285</v>
      </c>
      <c r="B192" t="s">
        <v>580</v>
      </c>
      <c r="C192" t="s">
        <v>747</v>
      </c>
      <c r="D192" t="s">
        <v>748</v>
      </c>
      <c r="AD192">
        <v>14.4</v>
      </c>
      <c r="AG192">
        <v>14.3</v>
      </c>
      <c r="AJ192">
        <v>13.7</v>
      </c>
      <c r="AM192">
        <v>14</v>
      </c>
      <c r="AP192">
        <v>13.2</v>
      </c>
      <c r="AS192">
        <v>12.7</v>
      </c>
      <c r="AV192">
        <v>13.1</v>
      </c>
      <c r="AY192">
        <v>12.8</v>
      </c>
      <c r="BB192">
        <v>13</v>
      </c>
      <c r="BE192">
        <v>13</v>
      </c>
      <c r="BH192">
        <v>13.4</v>
      </c>
      <c r="BK192">
        <v>14</v>
      </c>
      <c r="BN192">
        <v>14.3</v>
      </c>
      <c r="BP192">
        <v>14.6</v>
      </c>
    </row>
    <row r="193" spans="1:69" x14ac:dyDescent="0.35">
      <c r="A193" t="s">
        <v>679</v>
      </c>
      <c r="B193" t="s">
        <v>384</v>
      </c>
      <c r="C193" t="s">
        <v>747</v>
      </c>
      <c r="D193" t="s">
        <v>748</v>
      </c>
    </row>
    <row r="194" spans="1:69" x14ac:dyDescent="0.35">
      <c r="A194" t="s">
        <v>454</v>
      </c>
      <c r="B194" t="s">
        <v>262</v>
      </c>
      <c r="C194" t="s">
        <v>747</v>
      </c>
      <c r="D194" t="s">
        <v>748</v>
      </c>
      <c r="AO194">
        <v>13.5</v>
      </c>
      <c r="BB194">
        <v>15.2</v>
      </c>
    </row>
    <row r="195" spans="1:69" x14ac:dyDescent="0.35">
      <c r="A195" t="s">
        <v>75</v>
      </c>
      <c r="B195" t="s">
        <v>43</v>
      </c>
      <c r="C195" t="s">
        <v>747</v>
      </c>
      <c r="D195" t="s">
        <v>748</v>
      </c>
      <c r="AD195">
        <v>18.2</v>
      </c>
      <c r="AE195">
        <v>18.100000000000001</v>
      </c>
      <c r="AF195">
        <v>18.100000000000001</v>
      </c>
      <c r="AH195">
        <v>18</v>
      </c>
      <c r="AK195">
        <v>17.399999999999999</v>
      </c>
      <c r="AL195">
        <v>17.899999999999999</v>
      </c>
      <c r="AN195">
        <v>16.8</v>
      </c>
      <c r="AO195">
        <v>16.399999999999999</v>
      </c>
      <c r="AQ195">
        <v>16.5</v>
      </c>
      <c r="AR195">
        <v>17.2</v>
      </c>
      <c r="AS195">
        <v>16.5</v>
      </c>
      <c r="AT195">
        <v>16.5</v>
      </c>
      <c r="AU195">
        <v>16.2</v>
      </c>
      <c r="AV195">
        <v>16.100000000000001</v>
      </c>
      <c r="AW195">
        <v>16.3</v>
      </c>
      <c r="AX195">
        <v>16.5</v>
      </c>
      <c r="AY195">
        <v>16.600000000000001</v>
      </c>
      <c r="AZ195">
        <v>16.600000000000001</v>
      </c>
      <c r="BA195">
        <v>16.8</v>
      </c>
      <c r="BB195">
        <v>16.899999999999999</v>
      </c>
      <c r="BC195">
        <v>16.899999999999999</v>
      </c>
      <c r="BD195">
        <v>17</v>
      </c>
      <c r="BE195">
        <v>17</v>
      </c>
      <c r="BF195">
        <v>17</v>
      </c>
      <c r="BG195">
        <v>17.100000000000001</v>
      </c>
      <c r="BH195">
        <v>17.5</v>
      </c>
      <c r="BI195">
        <v>17.100000000000001</v>
      </c>
      <c r="BJ195">
        <v>17.5</v>
      </c>
      <c r="BK195">
        <v>17.399999999999999</v>
      </c>
      <c r="BL195">
        <v>17.600000000000001</v>
      </c>
      <c r="BM195">
        <v>17.7</v>
      </c>
      <c r="BN195">
        <v>17.7</v>
      </c>
      <c r="BO195">
        <v>17.600000000000001</v>
      </c>
      <c r="BP195">
        <v>17.7</v>
      </c>
    </row>
    <row r="196" spans="1:69" x14ac:dyDescent="0.35">
      <c r="A196" t="s">
        <v>237</v>
      </c>
      <c r="B196" t="s">
        <v>294</v>
      </c>
      <c r="C196" t="s">
        <v>747</v>
      </c>
      <c r="D196" t="s">
        <v>748</v>
      </c>
    </row>
    <row r="197" spans="1:69" x14ac:dyDescent="0.35">
      <c r="A197" t="s">
        <v>269</v>
      </c>
      <c r="B197" t="s">
        <v>686</v>
      </c>
      <c r="C197" t="s">
        <v>747</v>
      </c>
      <c r="D197" t="s">
        <v>748</v>
      </c>
    </row>
    <row r="198" spans="1:69" x14ac:dyDescent="0.35">
      <c r="A198" t="s">
        <v>525</v>
      </c>
      <c r="B198" t="s">
        <v>60</v>
      </c>
      <c r="C198" t="s">
        <v>747</v>
      </c>
      <c r="D198" t="s">
        <v>748</v>
      </c>
    </row>
    <row r="199" spans="1:69" x14ac:dyDescent="0.35">
      <c r="A199" t="s">
        <v>434</v>
      </c>
      <c r="B199" t="s">
        <v>192</v>
      </c>
      <c r="C199" t="s">
        <v>747</v>
      </c>
      <c r="D199" t="s">
        <v>748</v>
      </c>
      <c r="AV199">
        <v>15.3</v>
      </c>
      <c r="AW199">
        <v>15.1</v>
      </c>
      <c r="AX199">
        <v>15</v>
      </c>
      <c r="AY199">
        <v>15.1</v>
      </c>
      <c r="AZ199">
        <v>15.7</v>
      </c>
      <c r="BA199">
        <v>15.8</v>
      </c>
      <c r="BB199">
        <v>16.3</v>
      </c>
      <c r="BC199">
        <v>15.9</v>
      </c>
      <c r="BD199">
        <v>15.8</v>
      </c>
      <c r="BE199">
        <v>16.2</v>
      </c>
      <c r="BF199">
        <v>16.3</v>
      </c>
      <c r="BG199">
        <v>16.399999999999999</v>
      </c>
      <c r="BH199">
        <v>16.3</v>
      </c>
      <c r="BI199">
        <v>16.3</v>
      </c>
      <c r="BJ199">
        <v>16.5</v>
      </c>
      <c r="BK199">
        <v>16.5</v>
      </c>
      <c r="BL199">
        <v>16.7</v>
      </c>
      <c r="BM199">
        <v>16.399999999999999</v>
      </c>
      <c r="BN199">
        <v>16.100000000000001</v>
      </c>
      <c r="BO199">
        <v>15.8</v>
      </c>
      <c r="BP199">
        <v>16.5</v>
      </c>
    </row>
    <row r="200" spans="1:69" x14ac:dyDescent="0.35">
      <c r="A200" t="s">
        <v>494</v>
      </c>
      <c r="B200" t="s">
        <v>72</v>
      </c>
      <c r="C200" t="s">
        <v>747</v>
      </c>
      <c r="D200" t="s">
        <v>748</v>
      </c>
      <c r="AI200">
        <v>14.6</v>
      </c>
      <c r="AN200">
        <v>11</v>
      </c>
      <c r="AP200">
        <v>12.1</v>
      </c>
      <c r="AR200">
        <v>11.8</v>
      </c>
      <c r="AT200">
        <v>11.9</v>
      </c>
      <c r="AU200">
        <v>11.1</v>
      </c>
      <c r="AV200">
        <v>11.4</v>
      </c>
      <c r="AW200">
        <v>12</v>
      </c>
      <c r="AX200">
        <v>12.2</v>
      </c>
      <c r="AY200">
        <v>12.1</v>
      </c>
      <c r="AZ200">
        <v>12.1</v>
      </c>
      <c r="BA200">
        <v>12.4</v>
      </c>
      <c r="BB200">
        <v>13.2</v>
      </c>
      <c r="BC200">
        <v>12.8</v>
      </c>
      <c r="BD200">
        <v>12.5</v>
      </c>
      <c r="BE200">
        <v>13.8</v>
      </c>
      <c r="BF200">
        <v>13.1</v>
      </c>
      <c r="BG200">
        <v>12.6</v>
      </c>
      <c r="BH200">
        <v>13.4</v>
      </c>
      <c r="BI200">
        <v>13.2</v>
      </c>
      <c r="BJ200">
        <v>12.9</v>
      </c>
      <c r="BK200">
        <v>13.7</v>
      </c>
      <c r="BL200">
        <v>13.7</v>
      </c>
      <c r="BM200">
        <v>14.4</v>
      </c>
      <c r="BN200">
        <v>14.4</v>
      </c>
      <c r="BO200">
        <v>14.1</v>
      </c>
      <c r="BP200">
        <v>14.2</v>
      </c>
      <c r="BQ200">
        <v>14.1</v>
      </c>
    </row>
    <row r="201" spans="1:69" x14ac:dyDescent="0.35">
      <c r="A201" t="s">
        <v>87</v>
      </c>
      <c r="B201" t="s">
        <v>199</v>
      </c>
      <c r="C201" t="s">
        <v>747</v>
      </c>
      <c r="D201" t="s">
        <v>748</v>
      </c>
      <c r="AW201">
        <v>16.3</v>
      </c>
      <c r="AX201">
        <v>16.100000000000001</v>
      </c>
      <c r="AY201">
        <v>16.100000000000001</v>
      </c>
      <c r="AZ201">
        <v>16.100000000000001</v>
      </c>
      <c r="BB201">
        <v>15.9</v>
      </c>
      <c r="BC201">
        <v>15.7</v>
      </c>
      <c r="BD201">
        <v>15.9</v>
      </c>
      <c r="BI201">
        <v>16.600000000000001</v>
      </c>
      <c r="BP201">
        <v>16.100000000000001</v>
      </c>
    </row>
    <row r="202" spans="1:69" x14ac:dyDescent="0.35">
      <c r="A202" t="s">
        <v>131</v>
      </c>
      <c r="B202" t="s">
        <v>210</v>
      </c>
      <c r="C202" t="s">
        <v>747</v>
      </c>
      <c r="D202" t="s">
        <v>748</v>
      </c>
    </row>
    <row r="203" spans="1:69" x14ac:dyDescent="0.35">
      <c r="A203" t="s">
        <v>592</v>
      </c>
      <c r="B203" t="s">
        <v>280</v>
      </c>
      <c r="C203" t="s">
        <v>747</v>
      </c>
      <c r="D203" t="s">
        <v>748</v>
      </c>
    </row>
    <row r="204" spans="1:69" x14ac:dyDescent="0.35">
      <c r="A204" t="s">
        <v>364</v>
      </c>
      <c r="B204" t="s">
        <v>577</v>
      </c>
      <c r="C204" t="s">
        <v>747</v>
      </c>
      <c r="D204" t="s">
        <v>748</v>
      </c>
    </row>
    <row r="205" spans="1:69" x14ac:dyDescent="0.35">
      <c r="A205" t="s">
        <v>614</v>
      </c>
      <c r="B205" t="s">
        <v>25</v>
      </c>
      <c r="C205" t="s">
        <v>747</v>
      </c>
      <c r="D205" t="s">
        <v>748</v>
      </c>
      <c r="BJ205">
        <v>16.7</v>
      </c>
    </row>
    <row r="206" spans="1:69" x14ac:dyDescent="0.35">
      <c r="A206" t="s">
        <v>554</v>
      </c>
      <c r="B206" t="s">
        <v>333</v>
      </c>
      <c r="C206" t="s">
        <v>747</v>
      </c>
      <c r="D206" t="s">
        <v>748</v>
      </c>
      <c r="AH206">
        <v>18.7</v>
      </c>
      <c r="AK206">
        <v>18.399999999999999</v>
      </c>
      <c r="AM206">
        <v>17.600000000000001</v>
      </c>
      <c r="AN206">
        <v>17.399999999999999</v>
      </c>
      <c r="AP206">
        <v>17.399999999999999</v>
      </c>
      <c r="AQ206">
        <v>17.2</v>
      </c>
      <c r="AR206">
        <v>17.399999999999999</v>
      </c>
      <c r="AS206">
        <v>17.5</v>
      </c>
      <c r="AT206">
        <v>17.5</v>
      </c>
      <c r="AU206">
        <v>17.399999999999999</v>
      </c>
      <c r="AV206">
        <v>17.3</v>
      </c>
      <c r="AW206">
        <v>17.3</v>
      </c>
      <c r="AX206">
        <v>17.3</v>
      </c>
      <c r="AY206">
        <v>16.3</v>
      </c>
      <c r="AZ206">
        <v>16.600000000000001</v>
      </c>
      <c r="BA206">
        <v>16.7</v>
      </c>
      <c r="BB206">
        <v>16.899999999999999</v>
      </c>
      <c r="BC206">
        <v>17.100000000000001</v>
      </c>
      <c r="BD206">
        <v>17.100000000000001</v>
      </c>
      <c r="BE206">
        <v>17.100000000000001</v>
      </c>
      <c r="BF206">
        <v>17.399999999999999</v>
      </c>
      <c r="BG206">
        <v>17.8</v>
      </c>
      <c r="BH206">
        <v>17.7</v>
      </c>
      <c r="BI206">
        <v>17.899999999999999</v>
      </c>
      <c r="BJ206">
        <v>17.399999999999999</v>
      </c>
      <c r="BK206">
        <v>17.3</v>
      </c>
      <c r="BL206">
        <v>17.7</v>
      </c>
      <c r="BM206">
        <v>17.8</v>
      </c>
      <c r="BN206">
        <v>17.7</v>
      </c>
      <c r="BO206">
        <v>18.399999999999999</v>
      </c>
      <c r="BP206">
        <v>18.399999999999999</v>
      </c>
    </row>
    <row r="207" spans="1:69" x14ac:dyDescent="0.35">
      <c r="A207" t="s">
        <v>2</v>
      </c>
      <c r="B207" t="s">
        <v>355</v>
      </c>
      <c r="C207" t="s">
        <v>747</v>
      </c>
      <c r="D207" t="s">
        <v>748</v>
      </c>
      <c r="AL207">
        <v>14.2</v>
      </c>
      <c r="AO207">
        <v>14.1</v>
      </c>
      <c r="AP207">
        <v>15.6</v>
      </c>
      <c r="AQ207">
        <v>15.7</v>
      </c>
      <c r="AR207">
        <v>15.9</v>
      </c>
      <c r="AS207">
        <v>15.9</v>
      </c>
      <c r="AT207">
        <v>15.8</v>
      </c>
      <c r="AU207">
        <v>15.5</v>
      </c>
      <c r="AV207">
        <v>14.9</v>
      </c>
      <c r="AW207">
        <v>14.9</v>
      </c>
      <c r="AX207">
        <v>14.5</v>
      </c>
      <c r="AY207">
        <v>14.7</v>
      </c>
      <c r="AZ207">
        <v>14.2</v>
      </c>
      <c r="BA207">
        <v>14.3</v>
      </c>
      <c r="BB207">
        <v>14.7</v>
      </c>
      <c r="BC207">
        <v>14.8</v>
      </c>
      <c r="BD207">
        <v>14.7</v>
      </c>
      <c r="BE207">
        <v>14.5</v>
      </c>
      <c r="BF207">
        <v>14.4</v>
      </c>
      <c r="BG207">
        <v>16.2</v>
      </c>
      <c r="BH207">
        <v>16.3</v>
      </c>
      <c r="BI207">
        <v>16.100000000000001</v>
      </c>
      <c r="BJ207">
        <v>16.5</v>
      </c>
      <c r="BK207">
        <v>16.399999999999999</v>
      </c>
      <c r="BL207">
        <v>16.3</v>
      </c>
      <c r="BM207">
        <v>16.5</v>
      </c>
      <c r="BN207">
        <v>16.2</v>
      </c>
      <c r="BO207">
        <v>16.3</v>
      </c>
      <c r="BP207">
        <v>16.5</v>
      </c>
    </row>
    <row r="208" spans="1:69" x14ac:dyDescent="0.35">
      <c r="A208" t="s">
        <v>273</v>
      </c>
      <c r="B208" t="s">
        <v>94</v>
      </c>
      <c r="C208" t="s">
        <v>747</v>
      </c>
      <c r="D208" t="s">
        <v>748</v>
      </c>
      <c r="AS208">
        <v>12.6</v>
      </c>
      <c r="AX208">
        <v>11.7</v>
      </c>
      <c r="BC208">
        <v>12.7</v>
      </c>
      <c r="BF208">
        <v>13.2</v>
      </c>
      <c r="BI208">
        <v>13.6</v>
      </c>
      <c r="BP208">
        <v>14.4</v>
      </c>
    </row>
    <row r="209" spans="1:68" x14ac:dyDescent="0.35">
      <c r="A209" t="s">
        <v>90</v>
      </c>
      <c r="B209" t="s">
        <v>126</v>
      </c>
      <c r="C209" t="s">
        <v>747</v>
      </c>
      <c r="D209" t="s">
        <v>748</v>
      </c>
    </row>
    <row r="210" spans="1:68" x14ac:dyDescent="0.35">
      <c r="A210" t="s">
        <v>480</v>
      </c>
      <c r="B210" t="s">
        <v>249</v>
      </c>
      <c r="C210" t="s">
        <v>747</v>
      </c>
      <c r="D210" t="s">
        <v>748</v>
      </c>
    </row>
    <row r="211" spans="1:68" x14ac:dyDescent="0.35">
      <c r="A211" t="s">
        <v>232</v>
      </c>
      <c r="B211" t="s">
        <v>466</v>
      </c>
      <c r="C211" t="s">
        <v>747</v>
      </c>
      <c r="D211" t="s">
        <v>748</v>
      </c>
      <c r="BB211">
        <v>16.3</v>
      </c>
      <c r="BG211">
        <v>16.100000000000001</v>
      </c>
    </row>
    <row r="212" spans="1:68" x14ac:dyDescent="0.35">
      <c r="A212" t="s">
        <v>35</v>
      </c>
      <c r="B212" t="s">
        <v>560</v>
      </c>
      <c r="C212" t="s">
        <v>747</v>
      </c>
      <c r="D212" t="s">
        <v>748</v>
      </c>
      <c r="AJ212">
        <v>11.6</v>
      </c>
      <c r="AM212">
        <v>14.9</v>
      </c>
      <c r="AT212">
        <v>14.2</v>
      </c>
      <c r="AX212">
        <v>15.2</v>
      </c>
      <c r="BD212">
        <v>15</v>
      </c>
      <c r="BK212">
        <v>14.9</v>
      </c>
      <c r="BN212">
        <v>15.6</v>
      </c>
    </row>
    <row r="213" spans="1:68" x14ac:dyDescent="0.35">
      <c r="A213" t="s">
        <v>508</v>
      </c>
      <c r="B213" t="s">
        <v>83</v>
      </c>
      <c r="C213" t="s">
        <v>747</v>
      </c>
      <c r="D213" t="s">
        <v>748</v>
      </c>
    </row>
    <row r="214" spans="1:68" x14ac:dyDescent="0.35">
      <c r="A214" t="s">
        <v>101</v>
      </c>
      <c r="B214" t="s">
        <v>316</v>
      </c>
      <c r="C214" t="s">
        <v>747</v>
      </c>
      <c r="D214" t="s">
        <v>748</v>
      </c>
      <c r="AX214">
        <v>13.3</v>
      </c>
      <c r="BE214">
        <v>15.5</v>
      </c>
    </row>
    <row r="215" spans="1:68" x14ac:dyDescent="0.35">
      <c r="A215" t="s">
        <v>703</v>
      </c>
      <c r="B215" t="s">
        <v>644</v>
      </c>
      <c r="C215" t="s">
        <v>747</v>
      </c>
      <c r="D215" t="s">
        <v>748</v>
      </c>
      <c r="AV215">
        <v>14.4</v>
      </c>
      <c r="BD215">
        <v>15.8</v>
      </c>
      <c r="BK215">
        <v>15.3</v>
      </c>
    </row>
    <row r="216" spans="1:68" x14ac:dyDescent="0.35">
      <c r="A216" t="s">
        <v>573</v>
      </c>
      <c r="B216" t="s">
        <v>95</v>
      </c>
      <c r="C216" t="s">
        <v>747</v>
      </c>
      <c r="D216" t="s">
        <v>748</v>
      </c>
      <c r="AH216">
        <v>14.4</v>
      </c>
      <c r="AJ216">
        <v>12.3</v>
      </c>
      <c r="AN216">
        <v>13.1</v>
      </c>
      <c r="AO216">
        <v>12.8</v>
      </c>
      <c r="AQ216">
        <v>12.6</v>
      </c>
      <c r="AR216">
        <v>12.9</v>
      </c>
      <c r="AS216">
        <v>12.7</v>
      </c>
      <c r="AT216">
        <v>12.8</v>
      </c>
      <c r="AU216">
        <v>12.7</v>
      </c>
      <c r="AV216">
        <v>13.4</v>
      </c>
      <c r="AW216">
        <v>13.6</v>
      </c>
      <c r="AX216">
        <v>13.3</v>
      </c>
      <c r="AY216">
        <v>13.8</v>
      </c>
      <c r="AZ216">
        <v>13.7</v>
      </c>
      <c r="BA216">
        <v>13.3</v>
      </c>
      <c r="BB216">
        <v>13.8</v>
      </c>
      <c r="BC216">
        <v>14.4</v>
      </c>
      <c r="BD216">
        <v>14.5</v>
      </c>
      <c r="BE216">
        <v>14.7</v>
      </c>
      <c r="BF216">
        <v>14.3</v>
      </c>
      <c r="BG216">
        <v>14.7</v>
      </c>
      <c r="BH216">
        <v>14.8</v>
      </c>
      <c r="BI216">
        <v>15.2</v>
      </c>
      <c r="BJ216">
        <v>15.7</v>
      </c>
      <c r="BK216">
        <v>15.5</v>
      </c>
      <c r="BL216">
        <v>15.4</v>
      </c>
      <c r="BN216">
        <v>15.9</v>
      </c>
      <c r="BO216">
        <v>15.9</v>
      </c>
      <c r="BP216">
        <v>15.4</v>
      </c>
    </row>
    <row r="217" spans="1:68" x14ac:dyDescent="0.35">
      <c r="A217" t="s">
        <v>457</v>
      </c>
      <c r="B217" t="s">
        <v>519</v>
      </c>
      <c r="C217" t="s">
        <v>747</v>
      </c>
      <c r="D217" t="s">
        <v>748</v>
      </c>
    </row>
    <row r="218" spans="1:68" x14ac:dyDescent="0.35">
      <c r="A218" t="s">
        <v>352</v>
      </c>
      <c r="B218" t="s">
        <v>32</v>
      </c>
      <c r="C218" t="s">
        <v>747</v>
      </c>
      <c r="D218" t="s">
        <v>748</v>
      </c>
    </row>
    <row r="219" spans="1:68" x14ac:dyDescent="0.35">
      <c r="A219" t="s">
        <v>321</v>
      </c>
      <c r="B219" t="s">
        <v>445</v>
      </c>
      <c r="C219" t="s">
        <v>747</v>
      </c>
      <c r="D219" t="s">
        <v>748</v>
      </c>
      <c r="AU219">
        <v>16.600000000000001</v>
      </c>
      <c r="AV219">
        <v>16.600000000000001</v>
      </c>
      <c r="AW219">
        <v>15.9</v>
      </c>
      <c r="AX219">
        <v>15.9</v>
      </c>
      <c r="AY219">
        <v>17.2</v>
      </c>
      <c r="AZ219">
        <v>17.3</v>
      </c>
      <c r="BA219">
        <v>17.5</v>
      </c>
      <c r="BB219">
        <v>17.600000000000001</v>
      </c>
      <c r="BC219">
        <v>17.399999999999999</v>
      </c>
      <c r="BE219">
        <v>16.3</v>
      </c>
      <c r="BF219">
        <v>16.600000000000001</v>
      </c>
      <c r="BG219">
        <v>16.600000000000001</v>
      </c>
      <c r="BH219">
        <v>16.5</v>
      </c>
      <c r="BI219">
        <v>17</v>
      </c>
      <c r="BJ219">
        <v>17.399999999999999</v>
      </c>
      <c r="BK219">
        <v>17.3</v>
      </c>
      <c r="BL219">
        <v>17.100000000000001</v>
      </c>
      <c r="BM219">
        <v>16.899999999999999</v>
      </c>
      <c r="BN219">
        <v>17.100000000000001</v>
      </c>
      <c r="BO219">
        <v>17.5</v>
      </c>
    </row>
    <row r="220" spans="1:68" x14ac:dyDescent="0.35">
      <c r="A220" t="s">
        <v>61</v>
      </c>
      <c r="B220" t="s">
        <v>460</v>
      </c>
      <c r="C220" t="s">
        <v>747</v>
      </c>
      <c r="D220" t="s">
        <v>748</v>
      </c>
    </row>
    <row r="221" spans="1:68" x14ac:dyDescent="0.35">
      <c r="A221" t="s">
        <v>288</v>
      </c>
      <c r="B221" t="s">
        <v>64</v>
      </c>
      <c r="C221" t="s">
        <v>747</v>
      </c>
      <c r="D221" t="s">
        <v>748</v>
      </c>
      <c r="BB221">
        <v>14.2</v>
      </c>
      <c r="BI221">
        <v>14.2</v>
      </c>
    </row>
    <row r="222" spans="1:68" x14ac:dyDescent="0.35">
      <c r="A222" t="s">
        <v>313</v>
      </c>
      <c r="B222" t="s">
        <v>187</v>
      </c>
      <c r="C222" t="s">
        <v>747</v>
      </c>
      <c r="D222" t="s">
        <v>748</v>
      </c>
    </row>
    <row r="223" spans="1:68" x14ac:dyDescent="0.35">
      <c r="A223" t="s">
        <v>44</v>
      </c>
      <c r="B223" t="s">
        <v>196</v>
      </c>
      <c r="C223" t="s">
        <v>747</v>
      </c>
      <c r="D223" t="s">
        <v>748</v>
      </c>
    </row>
    <row r="224" spans="1:68" x14ac:dyDescent="0.35">
      <c r="A224" t="s">
        <v>255</v>
      </c>
      <c r="B224" t="s">
        <v>449</v>
      </c>
      <c r="C224" t="s">
        <v>747</v>
      </c>
      <c r="D224" t="s">
        <v>748</v>
      </c>
      <c r="AS224">
        <v>16.7</v>
      </c>
      <c r="BC224">
        <v>16.8</v>
      </c>
      <c r="BJ224">
        <v>14.6</v>
      </c>
    </row>
    <row r="225" spans="1:69" x14ac:dyDescent="0.35">
      <c r="A225" t="s">
        <v>512</v>
      </c>
      <c r="B225" t="s">
        <v>68</v>
      </c>
      <c r="C225" t="s">
        <v>747</v>
      </c>
      <c r="D225" t="s">
        <v>748</v>
      </c>
      <c r="AR225">
        <v>12.2</v>
      </c>
      <c r="BO225">
        <v>15.3</v>
      </c>
    </row>
    <row r="226" spans="1:69" x14ac:dyDescent="0.35">
      <c r="A226" t="s">
        <v>387</v>
      </c>
      <c r="B226" t="s">
        <v>151</v>
      </c>
      <c r="C226" t="s">
        <v>747</v>
      </c>
      <c r="D226" t="s">
        <v>748</v>
      </c>
      <c r="AK226">
        <v>18.899999999999999</v>
      </c>
      <c r="AO226">
        <v>18.600000000000001</v>
      </c>
      <c r="AW226">
        <v>18.5</v>
      </c>
      <c r="AX226">
        <v>17.5</v>
      </c>
      <c r="AY226">
        <v>18.3</v>
      </c>
      <c r="AZ226">
        <v>18.5</v>
      </c>
      <c r="BA226">
        <v>18.2</v>
      </c>
      <c r="BB226">
        <v>18.2</v>
      </c>
      <c r="BC226">
        <v>18.2</v>
      </c>
      <c r="BD226">
        <v>18.399999999999999</v>
      </c>
      <c r="BE226">
        <v>18.7</v>
      </c>
      <c r="BF226">
        <v>18.3</v>
      </c>
      <c r="BG226">
        <v>19</v>
      </c>
      <c r="BH226">
        <v>18.7</v>
      </c>
      <c r="BI226">
        <v>19</v>
      </c>
      <c r="BJ226">
        <v>19.100000000000001</v>
      </c>
      <c r="BK226">
        <v>18.8</v>
      </c>
      <c r="BL226">
        <v>19</v>
      </c>
      <c r="BM226">
        <v>19.100000000000001</v>
      </c>
      <c r="BN226">
        <v>19</v>
      </c>
      <c r="BO226">
        <v>19.600000000000001</v>
      </c>
      <c r="BP226">
        <v>19.3</v>
      </c>
    </row>
    <row r="227" spans="1:69" x14ac:dyDescent="0.35">
      <c r="A227" t="s">
        <v>378</v>
      </c>
      <c r="B227" t="s">
        <v>335</v>
      </c>
      <c r="C227" t="s">
        <v>747</v>
      </c>
      <c r="D227" t="s">
        <v>748</v>
      </c>
      <c r="AF227">
        <v>18.2</v>
      </c>
      <c r="AL227">
        <v>17</v>
      </c>
      <c r="AP227">
        <v>18.399999999999999</v>
      </c>
      <c r="AQ227">
        <v>17.3</v>
      </c>
      <c r="AR227">
        <v>18.3</v>
      </c>
      <c r="AU227">
        <v>17.3</v>
      </c>
      <c r="AV227">
        <v>17.3</v>
      </c>
      <c r="AW227">
        <v>18.2</v>
      </c>
      <c r="AX227">
        <v>18.2</v>
      </c>
      <c r="AY227">
        <v>18.2</v>
      </c>
      <c r="AZ227">
        <v>18.2</v>
      </c>
      <c r="BA227">
        <v>18.3</v>
      </c>
      <c r="BB227">
        <v>18.2</v>
      </c>
      <c r="BC227">
        <v>18.2</v>
      </c>
      <c r="BD227">
        <v>18.2</v>
      </c>
      <c r="BE227">
        <v>18.2</v>
      </c>
      <c r="BF227">
        <v>18.100000000000001</v>
      </c>
      <c r="BG227">
        <v>18.100000000000001</v>
      </c>
      <c r="BH227">
        <v>18.2</v>
      </c>
      <c r="BI227">
        <v>18.3</v>
      </c>
      <c r="BJ227">
        <v>18.3</v>
      </c>
      <c r="BK227">
        <v>18.100000000000001</v>
      </c>
      <c r="BL227">
        <v>18.2</v>
      </c>
      <c r="BM227">
        <v>18.2</v>
      </c>
      <c r="BN227">
        <v>18.100000000000001</v>
      </c>
      <c r="BO227">
        <v>18</v>
      </c>
      <c r="BP227">
        <v>18</v>
      </c>
    </row>
    <row r="228" spans="1:69" x14ac:dyDescent="0.35">
      <c r="A228" t="s">
        <v>73</v>
      </c>
      <c r="B228" t="s">
        <v>291</v>
      </c>
      <c r="C228" t="s">
        <v>747</v>
      </c>
      <c r="D228" t="s">
        <v>748</v>
      </c>
      <c r="T228">
        <v>18.2</v>
      </c>
      <c r="Z228">
        <v>18.7</v>
      </c>
      <c r="AF228">
        <v>18.3</v>
      </c>
      <c r="AK228">
        <v>18.100000000000001</v>
      </c>
      <c r="AN228">
        <v>18.399999999999999</v>
      </c>
      <c r="AS228">
        <v>17.5</v>
      </c>
      <c r="AT228">
        <v>17.5</v>
      </c>
      <c r="AU228">
        <v>17.7</v>
      </c>
      <c r="AV228">
        <v>18.3</v>
      </c>
      <c r="AW228">
        <v>17.899999999999999</v>
      </c>
      <c r="AX228">
        <v>18.2</v>
      </c>
      <c r="AY228">
        <v>18</v>
      </c>
      <c r="AZ228">
        <v>17.8</v>
      </c>
      <c r="BA228">
        <v>17.600000000000001</v>
      </c>
      <c r="BB228">
        <v>17.8</v>
      </c>
      <c r="BC228">
        <v>17.8</v>
      </c>
      <c r="BD228">
        <v>17.8</v>
      </c>
      <c r="BE228">
        <v>17.899999999999999</v>
      </c>
      <c r="BF228">
        <v>17.7</v>
      </c>
      <c r="BG228">
        <v>17.7</v>
      </c>
      <c r="BH228">
        <v>17.5</v>
      </c>
      <c r="BI228">
        <v>17.5</v>
      </c>
      <c r="BJ228">
        <v>17.600000000000001</v>
      </c>
      <c r="BK228">
        <v>17.600000000000001</v>
      </c>
      <c r="BL228">
        <v>17.600000000000001</v>
      </c>
      <c r="BM228">
        <v>17.7</v>
      </c>
      <c r="BN228">
        <v>17.600000000000001</v>
      </c>
      <c r="BO228">
        <v>17.3</v>
      </c>
      <c r="BP228">
        <v>17.8</v>
      </c>
    </row>
    <row r="229" spans="1:69" x14ac:dyDescent="0.35">
      <c r="A229" t="s">
        <v>656</v>
      </c>
      <c r="B229" t="s">
        <v>139</v>
      </c>
      <c r="C229" t="s">
        <v>747</v>
      </c>
      <c r="D229" t="s">
        <v>748</v>
      </c>
      <c r="AM229">
        <v>10.199999999999999</v>
      </c>
      <c r="AS229">
        <v>10.9</v>
      </c>
      <c r="BB229">
        <v>11.8</v>
      </c>
      <c r="BI229">
        <v>10.7</v>
      </c>
    </row>
    <row r="230" spans="1:69" x14ac:dyDescent="0.35">
      <c r="A230" t="s">
        <v>368</v>
      </c>
      <c r="B230" t="s">
        <v>418</v>
      </c>
      <c r="C230" t="s">
        <v>747</v>
      </c>
      <c r="D230" t="s">
        <v>748</v>
      </c>
    </row>
    <row r="231" spans="1:69" x14ac:dyDescent="0.35">
      <c r="A231" t="s">
        <v>504</v>
      </c>
      <c r="B231" t="s">
        <v>155</v>
      </c>
      <c r="C231" t="s">
        <v>747</v>
      </c>
      <c r="D231" t="s">
        <v>748</v>
      </c>
      <c r="AR231">
        <v>14.4</v>
      </c>
      <c r="AY231">
        <v>14.3</v>
      </c>
      <c r="BF231">
        <v>13.3</v>
      </c>
      <c r="BK231">
        <v>17.7</v>
      </c>
    </row>
    <row r="232" spans="1:69" x14ac:dyDescent="0.35">
      <c r="A232" t="s">
        <v>179</v>
      </c>
      <c r="B232" t="s">
        <v>224</v>
      </c>
      <c r="C232" t="s">
        <v>747</v>
      </c>
      <c r="D232" t="s">
        <v>748</v>
      </c>
      <c r="AO232">
        <v>15.6</v>
      </c>
      <c r="AV232">
        <v>15</v>
      </c>
      <c r="AY232">
        <v>15</v>
      </c>
      <c r="BB232">
        <v>14.8</v>
      </c>
      <c r="BO232">
        <v>17.899999999999999</v>
      </c>
    </row>
    <row r="233" spans="1:69" x14ac:dyDescent="0.35">
      <c r="A233" t="s">
        <v>124</v>
      </c>
      <c r="B233" t="s">
        <v>233</v>
      </c>
      <c r="C233" t="s">
        <v>747</v>
      </c>
      <c r="D233" t="s">
        <v>748</v>
      </c>
    </row>
    <row r="234" spans="1:69" x14ac:dyDescent="0.35">
      <c r="A234" t="s">
        <v>609</v>
      </c>
      <c r="B234" t="s">
        <v>582</v>
      </c>
      <c r="C234" t="s">
        <v>747</v>
      </c>
      <c r="D234" t="s">
        <v>748</v>
      </c>
      <c r="AV234">
        <v>14.9</v>
      </c>
      <c r="BD234">
        <v>14.8</v>
      </c>
      <c r="BK234">
        <v>15.2</v>
      </c>
      <c r="BO234">
        <v>15.9</v>
      </c>
    </row>
    <row r="235" spans="1:69" x14ac:dyDescent="0.35">
      <c r="A235" t="s">
        <v>713</v>
      </c>
      <c r="B235" t="s">
        <v>379</v>
      </c>
      <c r="C235" t="s">
        <v>747</v>
      </c>
      <c r="D235" t="s">
        <v>748</v>
      </c>
    </row>
    <row r="236" spans="1:69" x14ac:dyDescent="0.35">
      <c r="A236" t="s">
        <v>489</v>
      </c>
      <c r="B236" t="s">
        <v>513</v>
      </c>
      <c r="C236" t="s">
        <v>747</v>
      </c>
      <c r="D236" t="s">
        <v>748</v>
      </c>
    </row>
    <row r="237" spans="1:69" x14ac:dyDescent="0.35">
      <c r="A237" t="s">
        <v>260</v>
      </c>
      <c r="B237" t="s">
        <v>388</v>
      </c>
      <c r="C237" t="s">
        <v>747</v>
      </c>
      <c r="D237" t="s">
        <v>748</v>
      </c>
      <c r="AY237">
        <v>13.9</v>
      </c>
      <c r="BD237">
        <v>13.4</v>
      </c>
      <c r="BH237">
        <v>14.4</v>
      </c>
      <c r="BK237">
        <v>14.2</v>
      </c>
      <c r="BN237">
        <v>15.4</v>
      </c>
    </row>
    <row r="238" spans="1:69" x14ac:dyDescent="0.35">
      <c r="A238" t="s">
        <v>557</v>
      </c>
      <c r="B238" t="s">
        <v>450</v>
      </c>
      <c r="C238" t="s">
        <v>747</v>
      </c>
      <c r="D238" t="s">
        <v>748</v>
      </c>
      <c r="Z238">
        <v>13.5</v>
      </c>
      <c r="AG238">
        <v>13.5</v>
      </c>
      <c r="AI238">
        <v>12.9</v>
      </c>
      <c r="AK238">
        <v>12.3</v>
      </c>
      <c r="AM238">
        <v>13.5</v>
      </c>
      <c r="AO238">
        <v>13.7</v>
      </c>
      <c r="AQ238">
        <v>14</v>
      </c>
      <c r="AR238">
        <v>13.6</v>
      </c>
      <c r="AS238">
        <v>13.6</v>
      </c>
      <c r="AU238">
        <v>14</v>
      </c>
      <c r="AW238">
        <v>14</v>
      </c>
      <c r="AY238">
        <v>14.3</v>
      </c>
      <c r="AZ238">
        <v>14.7</v>
      </c>
      <c r="BA238">
        <v>14.6</v>
      </c>
      <c r="BB238">
        <v>14.8</v>
      </c>
      <c r="BC238">
        <v>14.8</v>
      </c>
      <c r="BD238">
        <v>15.1</v>
      </c>
      <c r="BE238">
        <v>14.8</v>
      </c>
      <c r="BF238">
        <v>15.1</v>
      </c>
      <c r="BG238">
        <v>15.3</v>
      </c>
      <c r="BH238">
        <v>15.5</v>
      </c>
      <c r="BI238">
        <v>15.3</v>
      </c>
      <c r="BJ238">
        <v>15.5</v>
      </c>
      <c r="BK238">
        <v>15.5</v>
      </c>
      <c r="BL238">
        <v>15.7</v>
      </c>
      <c r="BM238">
        <v>15.8</v>
      </c>
      <c r="BN238">
        <v>15.7</v>
      </c>
      <c r="BO238">
        <v>16</v>
      </c>
      <c r="BP238">
        <v>16.100000000000001</v>
      </c>
    </row>
    <row r="239" spans="1:69" x14ac:dyDescent="0.35">
      <c r="A239" t="s">
        <v>47</v>
      </c>
      <c r="B239" t="s">
        <v>49</v>
      </c>
      <c r="C239" t="s">
        <v>747</v>
      </c>
      <c r="D239" t="s">
        <v>748</v>
      </c>
      <c r="AR239">
        <v>17.399999999999999</v>
      </c>
      <c r="AV239">
        <v>16.5</v>
      </c>
      <c r="AW239">
        <v>16.399999999999999</v>
      </c>
      <c r="AZ239">
        <v>17.100000000000001</v>
      </c>
      <c r="BB239">
        <v>17.100000000000001</v>
      </c>
      <c r="BH239">
        <v>16.399999999999999</v>
      </c>
      <c r="BN239">
        <v>16.899999999999999</v>
      </c>
      <c r="BO239">
        <v>15</v>
      </c>
      <c r="BP239">
        <v>15.6</v>
      </c>
      <c r="BQ239">
        <v>16</v>
      </c>
    </row>
    <row r="240" spans="1:69" x14ac:dyDescent="0.35">
      <c r="A240" t="s">
        <v>524</v>
      </c>
      <c r="B240" t="s">
        <v>267</v>
      </c>
      <c r="C240" t="s">
        <v>747</v>
      </c>
      <c r="D240" t="s">
        <v>748</v>
      </c>
      <c r="AQ240">
        <v>14.5</v>
      </c>
    </row>
    <row r="241" spans="1:69" x14ac:dyDescent="0.35">
      <c r="A241" t="s">
        <v>147</v>
      </c>
      <c r="B241" t="s">
        <v>611</v>
      </c>
      <c r="C241" t="s">
        <v>747</v>
      </c>
      <c r="D241" t="s">
        <v>748</v>
      </c>
    </row>
    <row r="242" spans="1:69" x14ac:dyDescent="0.35">
      <c r="A242" t="s">
        <v>673</v>
      </c>
      <c r="B242" t="s">
        <v>289</v>
      </c>
      <c r="C242" t="s">
        <v>747</v>
      </c>
      <c r="D242" t="s">
        <v>748</v>
      </c>
      <c r="AT242">
        <v>15.6</v>
      </c>
      <c r="AZ242">
        <v>17.2</v>
      </c>
      <c r="BG242">
        <v>16.899999999999999</v>
      </c>
    </row>
    <row r="243" spans="1:69" x14ac:dyDescent="0.35">
      <c r="A243" t="s">
        <v>718</v>
      </c>
      <c r="B243" t="s">
        <v>469</v>
      </c>
      <c r="C243" t="s">
        <v>747</v>
      </c>
      <c r="D243" t="s">
        <v>748</v>
      </c>
    </row>
    <row r="244" spans="1:69" x14ac:dyDescent="0.35">
      <c r="A244" t="s">
        <v>646</v>
      </c>
      <c r="B244" t="s">
        <v>624</v>
      </c>
      <c r="C244" t="s">
        <v>747</v>
      </c>
      <c r="D244" t="s">
        <v>748</v>
      </c>
      <c r="AS244">
        <v>15.9</v>
      </c>
      <c r="BB244">
        <v>15.5</v>
      </c>
      <c r="BH244">
        <v>16.600000000000001</v>
      </c>
      <c r="BN244">
        <v>17.600000000000001</v>
      </c>
    </row>
    <row r="245" spans="1:69" x14ac:dyDescent="0.35">
      <c r="A245" t="s">
        <v>8</v>
      </c>
      <c r="B245" t="s">
        <v>91</v>
      </c>
      <c r="C245" t="s">
        <v>747</v>
      </c>
      <c r="D245" t="s">
        <v>748</v>
      </c>
    </row>
    <row r="246" spans="1:69" x14ac:dyDescent="0.35">
      <c r="A246" t="s">
        <v>240</v>
      </c>
      <c r="B246" t="s">
        <v>505</v>
      </c>
      <c r="C246" t="s">
        <v>747</v>
      </c>
      <c r="D246" t="s">
        <v>748</v>
      </c>
    </row>
    <row r="247" spans="1:69" x14ac:dyDescent="0.35">
      <c r="A247" t="s">
        <v>665</v>
      </c>
      <c r="B247" t="s">
        <v>176</v>
      </c>
      <c r="C247" t="s">
        <v>747</v>
      </c>
      <c r="D247" t="s">
        <v>748</v>
      </c>
      <c r="AG247">
        <v>14.9</v>
      </c>
      <c r="AK247">
        <v>15.5</v>
      </c>
    </row>
    <row r="248" spans="1:69" x14ac:dyDescent="0.35">
      <c r="A248" t="s">
        <v>214</v>
      </c>
      <c r="B248" t="s">
        <v>21</v>
      </c>
      <c r="C248" t="s">
        <v>747</v>
      </c>
      <c r="D248" t="s">
        <v>748</v>
      </c>
      <c r="AD248">
        <v>14.2</v>
      </c>
      <c r="AI248">
        <v>15.2</v>
      </c>
      <c r="AN248">
        <v>14.7</v>
      </c>
      <c r="AS248">
        <v>14.9</v>
      </c>
      <c r="AX248">
        <v>15.6</v>
      </c>
      <c r="BC248">
        <v>15.4</v>
      </c>
      <c r="BH248">
        <v>16.5</v>
      </c>
      <c r="BN248">
        <v>16.399999999999999</v>
      </c>
    </row>
    <row r="249" spans="1:69" x14ac:dyDescent="0.35">
      <c r="A249" t="s">
        <v>121</v>
      </c>
      <c r="B249" t="s">
        <v>432</v>
      </c>
      <c r="C249" t="s">
        <v>747</v>
      </c>
      <c r="D249" t="s">
        <v>748</v>
      </c>
      <c r="AF249">
        <v>14.7</v>
      </c>
      <c r="AM249">
        <v>14.9</v>
      </c>
      <c r="AU249">
        <v>14.8</v>
      </c>
      <c r="AV249">
        <v>14.6</v>
      </c>
      <c r="AW249">
        <v>15.2</v>
      </c>
      <c r="AX249">
        <v>14.8</v>
      </c>
      <c r="AY249">
        <v>15.7</v>
      </c>
      <c r="AZ249">
        <v>15.9</v>
      </c>
      <c r="BA249">
        <v>15.9</v>
      </c>
      <c r="BB249">
        <v>15.6</v>
      </c>
      <c r="BC249">
        <v>15.6</v>
      </c>
      <c r="BD249">
        <v>15.2</v>
      </c>
      <c r="BE249">
        <v>15.1</v>
      </c>
      <c r="BF249">
        <v>15.1</v>
      </c>
      <c r="BG249">
        <v>14.7</v>
      </c>
      <c r="BH249">
        <v>14.2</v>
      </c>
      <c r="BI249">
        <v>14.5</v>
      </c>
      <c r="BJ249">
        <v>14.3</v>
      </c>
      <c r="BK249">
        <v>14.6</v>
      </c>
      <c r="BL249">
        <v>14.3</v>
      </c>
      <c r="BM249">
        <v>14.5</v>
      </c>
      <c r="BN249">
        <v>14.2</v>
      </c>
      <c r="BO249">
        <v>13.9</v>
      </c>
    </row>
    <row r="250" spans="1:69" x14ac:dyDescent="0.35">
      <c r="A250" t="s">
        <v>443</v>
      </c>
      <c r="B250" t="s">
        <v>98</v>
      </c>
      <c r="C250" t="s">
        <v>747</v>
      </c>
      <c r="D250" t="s">
        <v>748</v>
      </c>
      <c r="BC250">
        <v>14.9</v>
      </c>
    </row>
    <row r="251" spans="1:69" x14ac:dyDescent="0.35">
      <c r="A251" t="s">
        <v>569</v>
      </c>
      <c r="B251" t="s">
        <v>467</v>
      </c>
      <c r="C251" t="s">
        <v>747</v>
      </c>
      <c r="D251" t="s">
        <v>748</v>
      </c>
      <c r="AJ251">
        <v>15.9</v>
      </c>
      <c r="AS251">
        <v>15.4</v>
      </c>
      <c r="AZ251">
        <v>14.7</v>
      </c>
      <c r="BD251">
        <v>14.9</v>
      </c>
      <c r="BK251">
        <v>14.2</v>
      </c>
    </row>
    <row r="252" spans="1:69" x14ac:dyDescent="0.35">
      <c r="A252" t="s">
        <v>694</v>
      </c>
      <c r="B252" t="s">
        <v>161</v>
      </c>
      <c r="C252" t="s">
        <v>747</v>
      </c>
      <c r="D252" t="s">
        <v>748</v>
      </c>
      <c r="AH252">
        <v>14.3</v>
      </c>
      <c r="AK252">
        <v>14.6</v>
      </c>
      <c r="AO252">
        <v>14.9</v>
      </c>
      <c r="AR252">
        <v>14</v>
      </c>
      <c r="AU252">
        <v>13.3</v>
      </c>
      <c r="AX252">
        <v>13.8</v>
      </c>
      <c r="BB252">
        <v>13.5</v>
      </c>
      <c r="BE252">
        <v>14.3</v>
      </c>
      <c r="BI252">
        <v>13.8</v>
      </c>
      <c r="BL252">
        <v>14.1</v>
      </c>
    </row>
    <row r="253" spans="1:69" x14ac:dyDescent="0.35">
      <c r="A253" t="s">
        <v>441</v>
      </c>
      <c r="B253" t="s">
        <v>510</v>
      </c>
      <c r="C253" t="s">
        <v>747</v>
      </c>
      <c r="D253" t="s">
        <v>748</v>
      </c>
      <c r="AK253">
        <v>17.7</v>
      </c>
      <c r="AL253">
        <v>17.3</v>
      </c>
      <c r="AN253">
        <v>15.4</v>
      </c>
      <c r="AO253">
        <v>16.2</v>
      </c>
      <c r="AR253">
        <v>17.399999999999999</v>
      </c>
      <c r="AU253">
        <v>17.3</v>
      </c>
      <c r="AV253">
        <v>17.2</v>
      </c>
      <c r="AW253">
        <v>17.3</v>
      </c>
      <c r="AX253">
        <v>17.2</v>
      </c>
      <c r="AY253">
        <v>17</v>
      </c>
      <c r="AZ253">
        <v>17.600000000000001</v>
      </c>
      <c r="BA253">
        <v>17.600000000000001</v>
      </c>
      <c r="BB253">
        <v>17.8</v>
      </c>
      <c r="BC253">
        <v>17.899999999999999</v>
      </c>
      <c r="BD253">
        <v>18</v>
      </c>
      <c r="BE253">
        <v>17.899999999999999</v>
      </c>
      <c r="BF253">
        <v>17.899999999999999</v>
      </c>
      <c r="BG253">
        <v>18</v>
      </c>
      <c r="BH253">
        <v>17.8</v>
      </c>
      <c r="BI253">
        <v>17.899999999999999</v>
      </c>
      <c r="BJ253">
        <v>17.8</v>
      </c>
      <c r="BK253">
        <v>17.8</v>
      </c>
      <c r="BL253">
        <v>17.5</v>
      </c>
      <c r="BM253">
        <v>17.600000000000001</v>
      </c>
    </row>
    <row r="254" spans="1:69" x14ac:dyDescent="0.35">
      <c r="A254" t="s">
        <v>166</v>
      </c>
      <c r="B254" t="s">
        <v>594</v>
      </c>
      <c r="C254" t="s">
        <v>747</v>
      </c>
      <c r="D254" t="s">
        <v>748</v>
      </c>
    </row>
    <row r="255" spans="1:69" x14ac:dyDescent="0.35">
      <c r="A255" t="s">
        <v>532</v>
      </c>
      <c r="B255" t="s">
        <v>730</v>
      </c>
      <c r="C255" t="s">
        <v>747</v>
      </c>
      <c r="D255" t="s">
        <v>748</v>
      </c>
      <c r="Z255">
        <v>14.6</v>
      </c>
      <c r="AH255">
        <v>14.9</v>
      </c>
      <c r="AK255">
        <v>15</v>
      </c>
      <c r="AN255">
        <v>15.2</v>
      </c>
      <c r="AO255">
        <v>15.2</v>
      </c>
      <c r="AP255">
        <v>15.1</v>
      </c>
      <c r="AQ255">
        <v>14.9</v>
      </c>
      <c r="AS255">
        <v>14.5</v>
      </c>
      <c r="AT255">
        <v>13.9</v>
      </c>
      <c r="AU255">
        <v>13.8</v>
      </c>
      <c r="AV255">
        <v>13.8</v>
      </c>
      <c r="AW255">
        <v>13.7</v>
      </c>
      <c r="AX255">
        <v>14.1</v>
      </c>
      <c r="AY255">
        <v>13.5</v>
      </c>
      <c r="AZ255">
        <v>13.4</v>
      </c>
      <c r="BA255">
        <v>13.8</v>
      </c>
      <c r="BB255">
        <v>13.8</v>
      </c>
      <c r="BC255">
        <v>14</v>
      </c>
      <c r="BD255">
        <v>14.7</v>
      </c>
      <c r="BE255">
        <v>15.4</v>
      </c>
      <c r="BF255">
        <v>15.3</v>
      </c>
      <c r="BG255">
        <v>15.4</v>
      </c>
      <c r="BH255">
        <v>15.4</v>
      </c>
      <c r="BI255">
        <v>15.4</v>
      </c>
      <c r="BJ255">
        <v>15.4</v>
      </c>
      <c r="BK255">
        <v>15.3</v>
      </c>
      <c r="BL255">
        <v>15.4</v>
      </c>
      <c r="BM255">
        <v>15.3</v>
      </c>
      <c r="BN255">
        <v>15.1</v>
      </c>
      <c r="BO255">
        <v>15.2</v>
      </c>
      <c r="BP255">
        <v>15.1</v>
      </c>
      <c r="BQ255">
        <v>15.3</v>
      </c>
    </row>
    <row r="256" spans="1:69" x14ac:dyDescent="0.35">
      <c r="A256" t="s">
        <v>408</v>
      </c>
      <c r="B256" t="s">
        <v>617</v>
      </c>
      <c r="C256" t="s">
        <v>747</v>
      </c>
      <c r="D256" t="s">
        <v>748</v>
      </c>
      <c r="H256">
        <v>16.600000000000001</v>
      </c>
      <c r="I256">
        <v>16.3</v>
      </c>
      <c r="J256">
        <v>16.5</v>
      </c>
      <c r="K256">
        <v>16.5</v>
      </c>
      <c r="L256">
        <v>16.5</v>
      </c>
      <c r="M256">
        <v>16.600000000000001</v>
      </c>
      <c r="N256">
        <v>16.600000000000001</v>
      </c>
      <c r="O256">
        <v>16.600000000000001</v>
      </c>
      <c r="P256">
        <v>16.5</v>
      </c>
      <c r="Q256">
        <v>16.7</v>
      </c>
      <c r="R256">
        <v>16.8</v>
      </c>
      <c r="S256">
        <v>16.899999999999999</v>
      </c>
      <c r="T256">
        <v>16.899999999999999</v>
      </c>
      <c r="U256">
        <v>16.899999999999999</v>
      </c>
      <c r="V256">
        <v>16.8</v>
      </c>
      <c r="W256">
        <v>17.100000000000001</v>
      </c>
      <c r="X256">
        <v>17</v>
      </c>
      <c r="Y256">
        <v>17</v>
      </c>
      <c r="Z256">
        <v>16.8</v>
      </c>
      <c r="AA256">
        <v>16.7</v>
      </c>
      <c r="AB256">
        <v>16.600000000000001</v>
      </c>
      <c r="AC256">
        <v>16.600000000000001</v>
      </c>
      <c r="AD256">
        <v>16.5</v>
      </c>
      <c r="AE256">
        <v>16.5</v>
      </c>
      <c r="AF256">
        <v>16.600000000000001</v>
      </c>
      <c r="AG256">
        <v>16.399999999999999</v>
      </c>
      <c r="AH256">
        <v>16.3</v>
      </c>
      <c r="AI256">
        <v>16.3</v>
      </c>
      <c r="AJ256">
        <v>16.399999999999999</v>
      </c>
      <c r="AK256">
        <v>16.3</v>
      </c>
      <c r="AL256">
        <v>15.8</v>
      </c>
      <c r="AM256">
        <v>15.8</v>
      </c>
      <c r="AN256">
        <v>15.7</v>
      </c>
      <c r="AO256">
        <v>15.6</v>
      </c>
      <c r="AP256">
        <v>15.6</v>
      </c>
      <c r="AQ256">
        <v>15.8</v>
      </c>
      <c r="AR256">
        <v>15.7</v>
      </c>
      <c r="AS256">
        <v>15.6</v>
      </c>
      <c r="AT256">
        <v>15.6</v>
      </c>
      <c r="AU256">
        <v>15.7</v>
      </c>
      <c r="AV256">
        <v>15.6</v>
      </c>
      <c r="AW256">
        <v>15.6</v>
      </c>
      <c r="AX256">
        <v>15.4</v>
      </c>
      <c r="AY256">
        <v>15.3</v>
      </c>
      <c r="AZ256">
        <v>15.5</v>
      </c>
      <c r="BA256">
        <v>15.5</v>
      </c>
      <c r="BB256">
        <v>15.4</v>
      </c>
      <c r="BC256">
        <v>15.6</v>
      </c>
      <c r="BD256">
        <v>15.4</v>
      </c>
      <c r="BE256">
        <v>15.4</v>
      </c>
      <c r="BF256">
        <v>15.4</v>
      </c>
      <c r="BG256">
        <v>15</v>
      </c>
      <c r="BH256">
        <v>15.1</v>
      </c>
      <c r="BI256">
        <v>15.2</v>
      </c>
      <c r="BJ256">
        <v>15.3</v>
      </c>
      <c r="BK256">
        <v>15.2</v>
      </c>
      <c r="BL256">
        <v>15.1</v>
      </c>
      <c r="BM256">
        <v>15.5</v>
      </c>
      <c r="BN256">
        <v>15.3</v>
      </c>
      <c r="BO256">
        <v>15.2</v>
      </c>
      <c r="BP256">
        <v>15.2</v>
      </c>
    </row>
    <row r="257" spans="1:69" x14ac:dyDescent="0.35">
      <c r="A257" t="s">
        <v>315</v>
      </c>
      <c r="B257" t="s">
        <v>158</v>
      </c>
      <c r="C257" t="s">
        <v>747</v>
      </c>
      <c r="D257" t="s">
        <v>748</v>
      </c>
      <c r="AQ257">
        <v>14.8</v>
      </c>
      <c r="AS257">
        <v>15.8</v>
      </c>
      <c r="AU257">
        <v>16.100000000000001</v>
      </c>
      <c r="AV257">
        <v>15.8</v>
      </c>
      <c r="BN257">
        <v>17.100000000000001</v>
      </c>
      <c r="BO257">
        <v>17.7</v>
      </c>
      <c r="BP257">
        <v>16.899999999999999</v>
      </c>
      <c r="BQ257">
        <v>16.7</v>
      </c>
    </row>
    <row r="258" spans="1:69" x14ac:dyDescent="0.35">
      <c r="A258" t="s">
        <v>55</v>
      </c>
      <c r="B258" t="s">
        <v>104</v>
      </c>
      <c r="C258" t="s">
        <v>747</v>
      </c>
      <c r="D258" t="s">
        <v>748</v>
      </c>
    </row>
    <row r="259" spans="1:69" x14ac:dyDescent="0.35">
      <c r="A259" t="s">
        <v>81</v>
      </c>
      <c r="B259" t="s">
        <v>324</v>
      </c>
      <c r="C259" t="s">
        <v>747</v>
      </c>
      <c r="D259" t="s">
        <v>748</v>
      </c>
      <c r="Z259">
        <v>11.2</v>
      </c>
      <c r="AF259">
        <v>11.6</v>
      </c>
      <c r="AH259">
        <v>14.9</v>
      </c>
      <c r="AK259">
        <v>15</v>
      </c>
      <c r="AN259">
        <v>13.8</v>
      </c>
      <c r="AQ259">
        <v>13.8</v>
      </c>
      <c r="AR259">
        <v>13.8</v>
      </c>
      <c r="AT259">
        <v>13.7</v>
      </c>
      <c r="AU259">
        <v>13.5</v>
      </c>
      <c r="AV259">
        <v>14</v>
      </c>
      <c r="AW259">
        <v>14.1</v>
      </c>
      <c r="AX259">
        <v>13.9</v>
      </c>
      <c r="AY259">
        <v>14.6</v>
      </c>
    </row>
    <row r="260" spans="1:69" x14ac:dyDescent="0.35">
      <c r="A260" t="s">
        <v>332</v>
      </c>
      <c r="B260" t="s">
        <v>595</v>
      </c>
      <c r="C260" t="s">
        <v>747</v>
      </c>
      <c r="D260" t="s">
        <v>748</v>
      </c>
    </row>
    <row r="261" spans="1:69" x14ac:dyDescent="0.35">
      <c r="A261" t="s">
        <v>436</v>
      </c>
      <c r="B261" t="s">
        <v>138</v>
      </c>
      <c r="C261" t="s">
        <v>747</v>
      </c>
      <c r="D261" t="s">
        <v>748</v>
      </c>
    </row>
    <row r="262" spans="1:69" x14ac:dyDescent="0.35">
      <c r="A262" t="s">
        <v>399</v>
      </c>
      <c r="B262" t="s">
        <v>636</v>
      </c>
      <c r="C262" t="s">
        <v>747</v>
      </c>
      <c r="D262" t="s">
        <v>748</v>
      </c>
      <c r="AK262">
        <v>15.3</v>
      </c>
      <c r="AP262">
        <v>15.2</v>
      </c>
      <c r="AU262">
        <v>14.8</v>
      </c>
      <c r="AW262">
        <v>15.3</v>
      </c>
      <c r="AY262">
        <v>15.8</v>
      </c>
      <c r="BA262">
        <v>15.7</v>
      </c>
      <c r="BC262">
        <v>15</v>
      </c>
      <c r="BE262">
        <v>16.100000000000001</v>
      </c>
      <c r="BG262">
        <v>16.399999999999999</v>
      </c>
      <c r="BI262">
        <v>16.3</v>
      </c>
      <c r="BK262">
        <v>16.3</v>
      </c>
      <c r="BM262">
        <v>15.9</v>
      </c>
      <c r="BO262">
        <v>16.100000000000001</v>
      </c>
    </row>
    <row r="263" spans="1:69" x14ac:dyDescent="0.35">
      <c r="A263" t="s">
        <v>633</v>
      </c>
      <c r="B263" t="s">
        <v>125</v>
      </c>
      <c r="C263" t="s">
        <v>747</v>
      </c>
      <c r="D263" t="s">
        <v>748</v>
      </c>
      <c r="BC263">
        <v>15.6</v>
      </c>
      <c r="BL263">
        <v>17.2</v>
      </c>
    </row>
    <row r="264" spans="1:69" x14ac:dyDescent="0.35">
      <c r="A264" t="s">
        <v>591</v>
      </c>
      <c r="B264" t="s">
        <v>717</v>
      </c>
      <c r="C264" t="s">
        <v>747</v>
      </c>
      <c r="D264" t="s">
        <v>748</v>
      </c>
    </row>
    <row r="265" spans="1:69" x14ac:dyDescent="0.35">
      <c r="A265" t="s">
        <v>185</v>
      </c>
      <c r="B265" t="s">
        <v>491</v>
      </c>
      <c r="C265" t="s">
        <v>747</v>
      </c>
      <c r="D265" t="s">
        <v>748</v>
      </c>
      <c r="AU265">
        <v>14.6</v>
      </c>
      <c r="BA265">
        <v>14.1</v>
      </c>
      <c r="BF265">
        <v>14.9</v>
      </c>
    </row>
    <row r="266" spans="1:69" x14ac:dyDescent="0.35">
      <c r="A266" t="s">
        <v>442</v>
      </c>
      <c r="B266" t="s">
        <v>218</v>
      </c>
      <c r="C266" t="s">
        <v>747</v>
      </c>
      <c r="D266" t="s">
        <v>748</v>
      </c>
      <c r="AV266">
        <v>17.2</v>
      </c>
      <c r="AX266">
        <v>16.7</v>
      </c>
      <c r="AY266">
        <v>16.899999999999999</v>
      </c>
      <c r="BB266">
        <v>16.8</v>
      </c>
      <c r="BC266">
        <v>16.2</v>
      </c>
      <c r="BD266">
        <v>17.399999999999999</v>
      </c>
      <c r="BE266">
        <v>17.399999999999999</v>
      </c>
      <c r="BF266">
        <v>17.600000000000001</v>
      </c>
      <c r="BG266">
        <v>17.8</v>
      </c>
      <c r="BH266">
        <v>17.7</v>
      </c>
      <c r="BI266">
        <v>17.600000000000001</v>
      </c>
      <c r="BJ266">
        <v>15.4</v>
      </c>
      <c r="BK266">
        <v>16</v>
      </c>
      <c r="BL266">
        <v>16.3</v>
      </c>
      <c r="BM266">
        <v>12.2</v>
      </c>
      <c r="BN266">
        <v>15</v>
      </c>
      <c r="BO266">
        <v>16.8</v>
      </c>
    </row>
    <row r="267" spans="1:69" x14ac:dyDescent="0.35">
      <c r="A267" t="s">
        <v>700</v>
      </c>
      <c r="B267" t="s">
        <v>16</v>
      </c>
      <c r="C267" t="s">
        <v>747</v>
      </c>
      <c r="D267" t="s">
        <v>748</v>
      </c>
      <c r="AQ267">
        <v>16.2</v>
      </c>
      <c r="AX267">
        <v>15.9</v>
      </c>
      <c r="BG267">
        <v>15.3</v>
      </c>
    </row>
    <row r="268" spans="1:69" x14ac:dyDescent="0.35">
      <c r="A268" t="s">
        <v>493</v>
      </c>
      <c r="B268" t="s">
        <v>397</v>
      </c>
      <c r="C268" t="s">
        <v>747</v>
      </c>
      <c r="D268" t="s">
        <v>748</v>
      </c>
      <c r="AL268">
        <v>9.3000000000000007</v>
      </c>
      <c r="AS268">
        <v>9.9</v>
      </c>
      <c r="AX268">
        <v>7.5</v>
      </c>
      <c r="BA268">
        <v>8.1</v>
      </c>
      <c r="BC268">
        <v>8</v>
      </c>
      <c r="BG268">
        <v>8.1999999999999993</v>
      </c>
    </row>
    <row r="269" spans="1:69" x14ac:dyDescent="0.35">
      <c r="A269" t="s">
        <v>9</v>
      </c>
      <c r="B269" t="s">
        <v>437</v>
      </c>
      <c r="C269" t="s">
        <v>747</v>
      </c>
      <c r="D269" t="s">
        <v>748</v>
      </c>
      <c r="AJ269">
        <v>10.7</v>
      </c>
      <c r="AL269">
        <v>12.3</v>
      </c>
      <c r="AO269">
        <v>12.9</v>
      </c>
      <c r="AQ269">
        <v>12.8</v>
      </c>
      <c r="AU269">
        <v>14.2</v>
      </c>
      <c r="AW269">
        <v>11.2</v>
      </c>
      <c r="AY269">
        <v>11.1</v>
      </c>
      <c r="BC269">
        <v>11.6</v>
      </c>
      <c r="BH269">
        <v>10.9</v>
      </c>
      <c r="BO269">
        <v>11.9</v>
      </c>
    </row>
    <row r="270" spans="1:69" x14ac:dyDescent="0.35">
      <c r="A270" t="s">
        <v>741</v>
      </c>
      <c r="B270" t="s">
        <v>350</v>
      </c>
      <c r="C270" t="s">
        <v>747</v>
      </c>
      <c r="D270" t="s">
        <v>748</v>
      </c>
      <c r="BD270">
        <v>14</v>
      </c>
      <c r="BJ270">
        <v>13.2</v>
      </c>
      <c r="BL270">
        <v>12</v>
      </c>
    </row>
  </sheetData>
  <pageMargins left="0.7" right="0.7" top="0.75" bottom="0.75" header="0.3" footer="0.3"/>
  <headerFooter alignWithMargins="0">
    <oddFooter>&amp;L_x000D_&amp;1#&amp;"Aptos"&amp;10&amp;K000000 LUT Group Confidential - Other information (3Y)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BB76F-1B58-41DF-B1B0-47160522549B}">
  <dimension ref="A1:BQ270"/>
  <sheetViews>
    <sheetView workbookViewId="0"/>
  </sheetViews>
  <sheetFormatPr defaultRowHeight="14.5" x14ac:dyDescent="0.35"/>
  <cols>
    <col min="1" max="1" width="60.1796875" bestFit="1" customWidth="1"/>
    <col min="2" max="2" width="25.6328125" bestFit="1" customWidth="1"/>
    <col min="3" max="3" width="27.54296875" bestFit="1" customWidth="1"/>
    <col min="4" max="4" width="13.1796875" bestFit="1" customWidth="1"/>
    <col min="5" max="69" width="5" bestFit="1" customWidth="1"/>
  </cols>
  <sheetData>
    <row r="1" spans="1:69" x14ac:dyDescent="0.35">
      <c r="A1" t="s">
        <v>642</v>
      </c>
      <c r="B1" t="s">
        <v>413</v>
      </c>
    </row>
    <row r="2" spans="1:69" x14ac:dyDescent="0.35">
      <c r="A2" t="s">
        <v>66</v>
      </c>
      <c r="B2" s="2">
        <v>46007</v>
      </c>
    </row>
    <row r="4" spans="1:69" x14ac:dyDescent="0.35">
      <c r="A4" t="s">
        <v>720</v>
      </c>
      <c r="B4" t="s">
        <v>487</v>
      </c>
      <c r="C4" t="s">
        <v>231</v>
      </c>
      <c r="D4" t="s">
        <v>728</v>
      </c>
      <c r="E4" t="s">
        <v>658</v>
      </c>
      <c r="F4" t="s">
        <v>136</v>
      </c>
      <c r="G4" t="s">
        <v>193</v>
      </c>
      <c r="H4" t="s">
        <v>261</v>
      </c>
      <c r="I4" t="s">
        <v>323</v>
      </c>
      <c r="J4" t="s">
        <v>548</v>
      </c>
      <c r="K4" t="s">
        <v>602</v>
      </c>
      <c r="L4" t="s">
        <v>661</v>
      </c>
      <c r="M4" t="s">
        <v>712</v>
      </c>
      <c r="N4" t="s">
        <v>195</v>
      </c>
      <c r="O4" t="s">
        <v>727</v>
      </c>
      <c r="P4" t="s">
        <v>38</v>
      </c>
      <c r="Q4" t="s">
        <v>281</v>
      </c>
      <c r="R4" t="s">
        <v>337</v>
      </c>
      <c r="S4" t="s">
        <v>391</v>
      </c>
      <c r="T4" t="s">
        <v>447</v>
      </c>
      <c r="U4" t="s">
        <v>678</v>
      </c>
      <c r="V4" t="s">
        <v>733</v>
      </c>
      <c r="W4" t="s">
        <v>45</v>
      </c>
      <c r="X4" t="s">
        <v>116</v>
      </c>
      <c r="Y4" t="s">
        <v>62</v>
      </c>
      <c r="Z4" t="s">
        <v>133</v>
      </c>
      <c r="AA4" t="s">
        <v>186</v>
      </c>
      <c r="AB4" t="s">
        <v>403</v>
      </c>
      <c r="AC4" t="s">
        <v>464</v>
      </c>
      <c r="AD4" t="s">
        <v>544</v>
      </c>
      <c r="AE4" t="s">
        <v>598</v>
      </c>
      <c r="AF4" t="s">
        <v>67</v>
      </c>
      <c r="AG4" t="s">
        <v>137</v>
      </c>
      <c r="AH4" t="s">
        <v>194</v>
      </c>
      <c r="AI4" t="s">
        <v>148</v>
      </c>
      <c r="AJ4" t="s">
        <v>204</v>
      </c>
      <c r="AK4" t="s">
        <v>275</v>
      </c>
      <c r="AL4" t="s">
        <v>334</v>
      </c>
      <c r="AM4" t="s">
        <v>558</v>
      </c>
      <c r="AN4" t="s">
        <v>610</v>
      </c>
      <c r="AO4" t="s">
        <v>676</v>
      </c>
      <c r="AP4" t="s">
        <v>729</v>
      </c>
      <c r="AQ4" t="s">
        <v>211</v>
      </c>
      <c r="AR4" t="s">
        <v>282</v>
      </c>
      <c r="AS4" t="s">
        <v>579</v>
      </c>
      <c r="AT4" t="s">
        <v>631</v>
      </c>
      <c r="AU4" t="s">
        <v>107</v>
      </c>
      <c r="AV4" t="s">
        <v>173</v>
      </c>
      <c r="AW4" t="s">
        <v>236</v>
      </c>
      <c r="AX4" t="s">
        <v>308</v>
      </c>
      <c r="AY4" t="s">
        <v>523</v>
      </c>
      <c r="AZ4" t="s">
        <v>584</v>
      </c>
      <c r="BA4" t="s">
        <v>638</v>
      </c>
      <c r="BB4" t="s">
        <v>110</v>
      </c>
      <c r="BC4" t="s">
        <v>647</v>
      </c>
      <c r="BD4" t="s">
        <v>701</v>
      </c>
      <c r="BE4" t="s">
        <v>19</v>
      </c>
      <c r="BF4" t="s">
        <v>252</v>
      </c>
      <c r="BG4" t="s">
        <v>319</v>
      </c>
      <c r="BH4" t="s">
        <v>371</v>
      </c>
      <c r="BI4" t="s">
        <v>428</v>
      </c>
      <c r="BJ4" t="s">
        <v>652</v>
      </c>
      <c r="BK4" t="s">
        <v>705</v>
      </c>
      <c r="BL4" t="s">
        <v>23</v>
      </c>
      <c r="BM4" t="s">
        <v>719</v>
      </c>
      <c r="BN4" t="s">
        <v>34</v>
      </c>
      <c r="BO4" t="s">
        <v>103</v>
      </c>
      <c r="BP4" t="s">
        <v>171</v>
      </c>
      <c r="BQ4" t="s">
        <v>385</v>
      </c>
    </row>
    <row r="5" spans="1:69" x14ac:dyDescent="0.35">
      <c r="A5" t="s">
        <v>529</v>
      </c>
      <c r="B5" t="s">
        <v>12</v>
      </c>
      <c r="C5" t="s">
        <v>749</v>
      </c>
      <c r="D5" t="s">
        <v>750</v>
      </c>
    </row>
    <row r="6" spans="1:69" x14ac:dyDescent="0.35">
      <c r="A6" t="s">
        <v>542</v>
      </c>
      <c r="B6" t="s">
        <v>511</v>
      </c>
      <c r="C6" t="s">
        <v>749</v>
      </c>
      <c r="D6" t="s">
        <v>750</v>
      </c>
    </row>
    <row r="7" spans="1:69" x14ac:dyDescent="0.35">
      <c r="A7" t="s">
        <v>336</v>
      </c>
      <c r="B7" t="s">
        <v>628</v>
      </c>
      <c r="C7" t="s">
        <v>749</v>
      </c>
      <c r="D7" t="s">
        <v>750</v>
      </c>
    </row>
    <row r="8" spans="1:69" x14ac:dyDescent="0.35">
      <c r="A8" t="s">
        <v>706</v>
      </c>
      <c r="B8" t="s">
        <v>177</v>
      </c>
      <c r="C8" t="s">
        <v>749</v>
      </c>
      <c r="D8" t="s">
        <v>750</v>
      </c>
    </row>
    <row r="9" spans="1:69" x14ac:dyDescent="0.35">
      <c r="A9" t="s">
        <v>326</v>
      </c>
      <c r="B9" t="s">
        <v>18</v>
      </c>
      <c r="C9" t="s">
        <v>749</v>
      </c>
      <c r="D9" t="s">
        <v>750</v>
      </c>
      <c r="AS9">
        <v>20.2</v>
      </c>
      <c r="BA9">
        <v>21.9</v>
      </c>
      <c r="BK9">
        <v>20.399999999999999</v>
      </c>
    </row>
    <row r="10" spans="1:69" x14ac:dyDescent="0.35">
      <c r="A10" t="s">
        <v>207</v>
      </c>
      <c r="B10" t="s">
        <v>462</v>
      </c>
      <c r="C10" t="s">
        <v>749</v>
      </c>
      <c r="D10" t="s">
        <v>750</v>
      </c>
      <c r="AO10">
        <v>23.4</v>
      </c>
      <c r="AU10">
        <v>22.2</v>
      </c>
      <c r="AX10">
        <v>22.5</v>
      </c>
      <c r="BA10">
        <v>22.2</v>
      </c>
      <c r="BE10">
        <v>22.8</v>
      </c>
      <c r="BG10">
        <v>23.3</v>
      </c>
      <c r="BH10">
        <v>23</v>
      </c>
      <c r="BI10">
        <v>23.2</v>
      </c>
      <c r="BJ10">
        <v>23.3</v>
      </c>
      <c r="BK10">
        <v>23.3</v>
      </c>
      <c r="BL10">
        <v>22.7</v>
      </c>
      <c r="BM10">
        <v>23</v>
      </c>
    </row>
    <row r="11" spans="1:69" x14ac:dyDescent="0.35">
      <c r="A11" t="s">
        <v>351</v>
      </c>
      <c r="B11" t="s">
        <v>738</v>
      </c>
      <c r="C11" t="s">
        <v>749</v>
      </c>
      <c r="D11" t="s">
        <v>750</v>
      </c>
    </row>
    <row r="12" spans="1:69" x14ac:dyDescent="0.35">
      <c r="A12" t="s">
        <v>115</v>
      </c>
      <c r="B12" t="s">
        <v>618</v>
      </c>
      <c r="C12" t="s">
        <v>749</v>
      </c>
      <c r="D12" t="s">
        <v>750</v>
      </c>
    </row>
    <row r="13" spans="1:69" x14ac:dyDescent="0.35">
      <c r="A13" t="s">
        <v>46</v>
      </c>
      <c r="B13" t="s">
        <v>217</v>
      </c>
      <c r="C13" t="s">
        <v>749</v>
      </c>
      <c r="D13" t="s">
        <v>750</v>
      </c>
      <c r="BF13">
        <v>25.5</v>
      </c>
      <c r="BK13">
        <v>23.3</v>
      </c>
    </row>
    <row r="14" spans="1:69" x14ac:dyDescent="0.35">
      <c r="A14" t="s">
        <v>318</v>
      </c>
      <c r="B14" t="s">
        <v>500</v>
      </c>
      <c r="C14" t="s">
        <v>749</v>
      </c>
      <c r="D14" t="s">
        <v>750</v>
      </c>
      <c r="Y14">
        <v>22.6</v>
      </c>
      <c r="AE14">
        <v>21.8</v>
      </c>
      <c r="AF14">
        <v>21.5</v>
      </c>
      <c r="AJ14">
        <v>20.3</v>
      </c>
      <c r="AK14">
        <v>21.5</v>
      </c>
      <c r="AL14">
        <v>22</v>
      </c>
      <c r="AM14">
        <v>21.6</v>
      </c>
      <c r="AN14">
        <v>20.8</v>
      </c>
      <c r="AO14">
        <v>21.2</v>
      </c>
      <c r="AP14">
        <v>21.3</v>
      </c>
      <c r="AQ14">
        <v>21</v>
      </c>
      <c r="AR14">
        <v>21.3</v>
      </c>
      <c r="AS14">
        <v>21.3</v>
      </c>
      <c r="AT14">
        <v>21.1</v>
      </c>
      <c r="AU14">
        <v>20.3</v>
      </c>
      <c r="AV14">
        <v>21.5</v>
      </c>
      <c r="AW14">
        <v>22.1</v>
      </c>
      <c r="AX14">
        <v>22.1</v>
      </c>
      <c r="AY14">
        <v>22.5</v>
      </c>
      <c r="AZ14">
        <v>22.4</v>
      </c>
      <c r="BA14">
        <v>22.7</v>
      </c>
      <c r="BB14">
        <v>23</v>
      </c>
      <c r="BC14">
        <v>22.6</v>
      </c>
      <c r="BD14">
        <v>22.7</v>
      </c>
      <c r="BE14">
        <v>23.2</v>
      </c>
      <c r="BF14">
        <v>23.3</v>
      </c>
      <c r="BG14">
        <v>23.1</v>
      </c>
      <c r="BI14">
        <v>22.8</v>
      </c>
      <c r="BJ14">
        <v>23</v>
      </c>
      <c r="BK14">
        <v>23</v>
      </c>
      <c r="BL14">
        <v>22.8</v>
      </c>
      <c r="BM14">
        <v>23.2</v>
      </c>
      <c r="BN14">
        <v>22.5</v>
      </c>
      <c r="BO14">
        <v>22.7</v>
      </c>
      <c r="BP14">
        <v>22.7</v>
      </c>
      <c r="BQ14">
        <v>22.5</v>
      </c>
    </row>
    <row r="15" spans="1:69" x14ac:dyDescent="0.35">
      <c r="A15" t="s">
        <v>89</v>
      </c>
      <c r="B15" t="s">
        <v>293</v>
      </c>
      <c r="C15" t="s">
        <v>749</v>
      </c>
      <c r="D15" t="s">
        <v>750</v>
      </c>
      <c r="AO15">
        <v>20.6</v>
      </c>
      <c r="AR15">
        <v>21.2</v>
      </c>
      <c r="AT15">
        <v>20.8</v>
      </c>
      <c r="AU15">
        <v>20.8</v>
      </c>
      <c r="AV15">
        <v>20.8</v>
      </c>
      <c r="AW15">
        <v>20.2</v>
      </c>
      <c r="AX15">
        <v>20.2</v>
      </c>
      <c r="AY15">
        <v>22.1</v>
      </c>
      <c r="AZ15">
        <v>22.1</v>
      </c>
      <c r="BA15">
        <v>22.4</v>
      </c>
      <c r="BB15">
        <v>22.4</v>
      </c>
      <c r="BC15">
        <v>21.7</v>
      </c>
      <c r="BD15">
        <v>22.2</v>
      </c>
      <c r="BE15">
        <v>22</v>
      </c>
      <c r="BF15">
        <v>22.2</v>
      </c>
      <c r="BG15">
        <v>22</v>
      </c>
      <c r="BH15">
        <v>21.8</v>
      </c>
      <c r="BI15">
        <v>22.8</v>
      </c>
      <c r="BJ15">
        <v>20.9</v>
      </c>
      <c r="BK15">
        <v>20.8</v>
      </c>
      <c r="BL15">
        <v>21.7</v>
      </c>
      <c r="BM15">
        <v>22.2</v>
      </c>
      <c r="BN15">
        <v>21.8</v>
      </c>
      <c r="BO15">
        <v>22.4</v>
      </c>
      <c r="BP15">
        <v>22.1</v>
      </c>
    </row>
    <row r="16" spans="1:69" x14ac:dyDescent="0.35">
      <c r="A16" t="s">
        <v>112</v>
      </c>
      <c r="B16" t="s">
        <v>360</v>
      </c>
      <c r="C16" t="s">
        <v>749</v>
      </c>
      <c r="D16" t="s">
        <v>750</v>
      </c>
    </row>
    <row r="17" spans="1:68" x14ac:dyDescent="0.35">
      <c r="A17" t="s">
        <v>417</v>
      </c>
      <c r="B17" t="s">
        <v>499</v>
      </c>
      <c r="C17" t="s">
        <v>749</v>
      </c>
      <c r="D17" t="s">
        <v>750</v>
      </c>
    </row>
    <row r="18" spans="1:68" x14ac:dyDescent="0.35">
      <c r="A18" t="s">
        <v>439</v>
      </c>
      <c r="B18" t="s">
        <v>309</v>
      </c>
      <c r="C18" t="s">
        <v>749</v>
      </c>
      <c r="D18" t="s">
        <v>750</v>
      </c>
      <c r="Z18">
        <v>23.5</v>
      </c>
      <c r="AD18">
        <v>23</v>
      </c>
      <c r="AH18">
        <v>23.3</v>
      </c>
      <c r="AN18">
        <v>23</v>
      </c>
      <c r="AT18">
        <v>23.2</v>
      </c>
      <c r="AV18">
        <v>23.2</v>
      </c>
      <c r="AW18">
        <v>22.9</v>
      </c>
      <c r="BA18">
        <v>22.5</v>
      </c>
      <c r="BC18">
        <v>22.7</v>
      </c>
      <c r="BG18">
        <v>22.2</v>
      </c>
      <c r="BI18">
        <v>22.9</v>
      </c>
      <c r="BK18">
        <v>22.5</v>
      </c>
      <c r="BM18">
        <v>22.7</v>
      </c>
    </row>
    <row r="19" spans="1:68" x14ac:dyDescent="0.35">
      <c r="A19" t="s">
        <v>63</v>
      </c>
      <c r="B19" t="s">
        <v>361</v>
      </c>
      <c r="C19" t="s">
        <v>749</v>
      </c>
      <c r="D19" t="s">
        <v>750</v>
      </c>
      <c r="AM19">
        <v>22.9</v>
      </c>
      <c r="AN19">
        <v>23</v>
      </c>
      <c r="AO19">
        <v>22.8</v>
      </c>
      <c r="AP19">
        <v>23.1</v>
      </c>
      <c r="AQ19">
        <v>22.4</v>
      </c>
      <c r="AR19">
        <v>22.7</v>
      </c>
      <c r="AS19">
        <v>22.9</v>
      </c>
      <c r="AV19">
        <v>22.7</v>
      </c>
      <c r="AW19">
        <v>22.5</v>
      </c>
      <c r="AX19">
        <v>22.8</v>
      </c>
      <c r="AY19">
        <v>22.6</v>
      </c>
      <c r="AZ19">
        <v>22.9</v>
      </c>
      <c r="BA19">
        <v>22.6</v>
      </c>
      <c r="BB19">
        <v>22.6</v>
      </c>
      <c r="BC19">
        <v>22.9</v>
      </c>
      <c r="BD19">
        <v>23</v>
      </c>
      <c r="BE19">
        <v>23</v>
      </c>
      <c r="BF19">
        <v>22.7</v>
      </c>
      <c r="BG19">
        <v>22.7</v>
      </c>
      <c r="BH19">
        <v>22.9</v>
      </c>
      <c r="BI19">
        <v>23</v>
      </c>
      <c r="BJ19">
        <v>23.1</v>
      </c>
      <c r="BK19">
        <v>23</v>
      </c>
      <c r="BL19">
        <v>23.1</v>
      </c>
      <c r="BM19">
        <v>23</v>
      </c>
      <c r="BN19">
        <v>22.9</v>
      </c>
      <c r="BO19">
        <v>22.3</v>
      </c>
      <c r="BP19">
        <v>22.5</v>
      </c>
    </row>
    <row r="20" spans="1:68" x14ac:dyDescent="0.35">
      <c r="A20" t="s">
        <v>537</v>
      </c>
      <c r="B20" t="s">
        <v>528</v>
      </c>
      <c r="C20" t="s">
        <v>749</v>
      </c>
      <c r="D20" t="s">
        <v>750</v>
      </c>
      <c r="AN20">
        <v>22.5</v>
      </c>
      <c r="AT20">
        <v>21.2</v>
      </c>
      <c r="AU20">
        <v>21</v>
      </c>
      <c r="AV20">
        <v>21.4</v>
      </c>
      <c r="AW20">
        <v>20.8</v>
      </c>
      <c r="AX20">
        <v>20.9</v>
      </c>
    </row>
    <row r="21" spans="1:68" x14ac:dyDescent="0.35">
      <c r="A21" t="s">
        <v>477</v>
      </c>
      <c r="B21" t="s">
        <v>550</v>
      </c>
      <c r="C21" t="s">
        <v>749</v>
      </c>
      <c r="D21" t="s">
        <v>750</v>
      </c>
      <c r="AK21">
        <v>22</v>
      </c>
      <c r="AQ21">
        <v>21.3</v>
      </c>
      <c r="AY21">
        <v>20.9</v>
      </c>
      <c r="BF21">
        <v>20.8</v>
      </c>
      <c r="BM21">
        <v>21.4</v>
      </c>
    </row>
    <row r="22" spans="1:68" x14ac:dyDescent="0.35">
      <c r="A22" t="s">
        <v>643</v>
      </c>
      <c r="B22" t="s">
        <v>48</v>
      </c>
      <c r="C22" t="s">
        <v>749</v>
      </c>
      <c r="D22" t="s">
        <v>750</v>
      </c>
      <c r="AD22">
        <v>22.9</v>
      </c>
      <c r="AG22">
        <v>22.8</v>
      </c>
      <c r="AK22">
        <v>23.1</v>
      </c>
      <c r="AN22">
        <v>22.6</v>
      </c>
      <c r="AP22">
        <v>22.8</v>
      </c>
      <c r="AS22">
        <v>20.9</v>
      </c>
      <c r="AV22">
        <v>22.7</v>
      </c>
      <c r="AW22">
        <v>21.9</v>
      </c>
      <c r="AX22">
        <v>22.2</v>
      </c>
      <c r="AY22">
        <v>22.7</v>
      </c>
      <c r="AZ22">
        <v>22.3</v>
      </c>
      <c r="BA22">
        <v>22.7</v>
      </c>
      <c r="BB22">
        <v>22.7</v>
      </c>
      <c r="BC22">
        <v>22.5</v>
      </c>
      <c r="BD22">
        <v>22.7</v>
      </c>
      <c r="BE22">
        <v>22.8</v>
      </c>
      <c r="BF22">
        <v>23</v>
      </c>
      <c r="BG22">
        <v>22.8</v>
      </c>
      <c r="BH22">
        <v>22.7</v>
      </c>
      <c r="BI22">
        <v>22.7</v>
      </c>
      <c r="BJ22">
        <v>22.7</v>
      </c>
      <c r="BK22">
        <v>22.4</v>
      </c>
      <c r="BL22">
        <v>22.3</v>
      </c>
      <c r="BM22">
        <v>22.6</v>
      </c>
      <c r="BN22">
        <v>22.4</v>
      </c>
      <c r="BO22">
        <v>22.1</v>
      </c>
      <c r="BP22">
        <v>22.2</v>
      </c>
    </row>
    <row r="23" spans="1:68" x14ac:dyDescent="0.35">
      <c r="A23" t="s">
        <v>629</v>
      </c>
      <c r="B23" t="s">
        <v>343</v>
      </c>
      <c r="C23" t="s">
        <v>749</v>
      </c>
      <c r="D23" t="s">
        <v>750</v>
      </c>
      <c r="AV23">
        <v>20.9</v>
      </c>
      <c r="BD23">
        <v>20.2</v>
      </c>
      <c r="BH23">
        <v>20.8</v>
      </c>
      <c r="BK23">
        <v>21.4</v>
      </c>
      <c r="BN23">
        <v>22.1</v>
      </c>
    </row>
    <row r="24" spans="1:68" x14ac:dyDescent="0.35">
      <c r="A24" t="s">
        <v>120</v>
      </c>
      <c r="B24" t="s">
        <v>463</v>
      </c>
      <c r="C24" t="s">
        <v>749</v>
      </c>
      <c r="D24" t="s">
        <v>750</v>
      </c>
      <c r="AM24">
        <v>18.7</v>
      </c>
      <c r="AQ24">
        <v>17.5</v>
      </c>
      <c r="AV24">
        <v>20.8</v>
      </c>
      <c r="BB24">
        <v>20.9</v>
      </c>
      <c r="BG24">
        <v>20.6</v>
      </c>
      <c r="BK24">
        <v>20</v>
      </c>
      <c r="BN24">
        <v>21.1</v>
      </c>
    </row>
    <row r="25" spans="1:68" x14ac:dyDescent="0.35">
      <c r="A25" t="s">
        <v>39</v>
      </c>
      <c r="B25" t="s">
        <v>152</v>
      </c>
      <c r="C25" t="s">
        <v>749</v>
      </c>
      <c r="D25" t="s">
        <v>750</v>
      </c>
      <c r="AB25">
        <v>22.3</v>
      </c>
      <c r="AD25">
        <v>21.7</v>
      </c>
      <c r="AG25">
        <v>21.6</v>
      </c>
      <c r="AJ25">
        <v>22</v>
      </c>
      <c r="AN25">
        <v>20.6</v>
      </c>
      <c r="AS25">
        <v>21</v>
      </c>
      <c r="AX25">
        <v>20.9</v>
      </c>
      <c r="BC25">
        <v>21.2</v>
      </c>
      <c r="BI25">
        <v>21.4</v>
      </c>
      <c r="BO25">
        <v>21.8</v>
      </c>
    </row>
    <row r="26" spans="1:68" x14ac:dyDescent="0.35">
      <c r="A26" t="s">
        <v>608</v>
      </c>
      <c r="B26" t="s">
        <v>154</v>
      </c>
      <c r="C26" t="s">
        <v>749</v>
      </c>
      <c r="D26" t="s">
        <v>750</v>
      </c>
      <c r="AH26">
        <v>22.5</v>
      </c>
      <c r="AK26">
        <v>22.3</v>
      </c>
      <c r="AM26">
        <v>22.2</v>
      </c>
      <c r="AN26">
        <v>22</v>
      </c>
      <c r="AP26">
        <v>21.9</v>
      </c>
      <c r="AT26">
        <v>22.8</v>
      </c>
      <c r="AV26">
        <v>22.2</v>
      </c>
      <c r="AY26">
        <v>22.9</v>
      </c>
      <c r="AZ26">
        <v>22.3</v>
      </c>
      <c r="BA26">
        <v>22.6</v>
      </c>
      <c r="BB26">
        <v>22.8</v>
      </c>
      <c r="BC26">
        <v>22.7</v>
      </c>
      <c r="BD26">
        <v>22.7</v>
      </c>
      <c r="BE26">
        <v>22.4</v>
      </c>
      <c r="BF26">
        <v>22.6</v>
      </c>
      <c r="BG26">
        <v>22.1</v>
      </c>
      <c r="BH26">
        <v>22.6</v>
      </c>
      <c r="BI26">
        <v>21.8</v>
      </c>
      <c r="BJ26">
        <v>21.3</v>
      </c>
      <c r="BK26">
        <v>21</v>
      </c>
      <c r="BL26">
        <v>21.4</v>
      </c>
      <c r="BM26">
        <v>20.7</v>
      </c>
      <c r="BN26">
        <v>21.9</v>
      </c>
      <c r="BO26">
        <v>21.4</v>
      </c>
      <c r="BP26">
        <v>21.2</v>
      </c>
    </row>
    <row r="27" spans="1:68" x14ac:dyDescent="0.35">
      <c r="A27" t="s">
        <v>372</v>
      </c>
      <c r="B27" t="s">
        <v>71</v>
      </c>
      <c r="C27" t="s">
        <v>749</v>
      </c>
      <c r="D27" t="s">
        <v>750</v>
      </c>
    </row>
    <row r="28" spans="1:68" x14ac:dyDescent="0.35">
      <c r="A28" t="s">
        <v>169</v>
      </c>
      <c r="B28" t="s">
        <v>302</v>
      </c>
      <c r="C28" t="s">
        <v>749</v>
      </c>
      <c r="D28" t="s">
        <v>750</v>
      </c>
    </row>
    <row r="29" spans="1:68" x14ac:dyDescent="0.35">
      <c r="A29" t="s">
        <v>398</v>
      </c>
      <c r="B29" t="s">
        <v>556</v>
      </c>
      <c r="C29" t="s">
        <v>749</v>
      </c>
      <c r="D29" t="s">
        <v>750</v>
      </c>
      <c r="AT29">
        <v>22.1</v>
      </c>
      <c r="AW29">
        <v>22.4</v>
      </c>
      <c r="AZ29">
        <v>23</v>
      </c>
      <c r="BD29">
        <v>22.9</v>
      </c>
    </row>
    <row r="30" spans="1:68" x14ac:dyDescent="0.35">
      <c r="A30" t="s">
        <v>590</v>
      </c>
      <c r="B30" t="s">
        <v>226</v>
      </c>
      <c r="C30" t="s">
        <v>749</v>
      </c>
      <c r="D30" t="s">
        <v>750</v>
      </c>
      <c r="AL30">
        <v>22.2</v>
      </c>
      <c r="AN30">
        <v>22.9</v>
      </c>
      <c r="AQ30">
        <v>22.6</v>
      </c>
      <c r="AR30">
        <v>23.2</v>
      </c>
      <c r="AS30">
        <v>23</v>
      </c>
      <c r="AT30">
        <v>22.7</v>
      </c>
      <c r="AU30">
        <v>22.6</v>
      </c>
      <c r="AV30">
        <v>22.8</v>
      </c>
      <c r="AW30">
        <v>22.9</v>
      </c>
      <c r="AX30">
        <v>23</v>
      </c>
      <c r="AY30">
        <v>22.9</v>
      </c>
      <c r="AZ30">
        <v>22.5</v>
      </c>
      <c r="BA30">
        <v>22.9</v>
      </c>
      <c r="BB30">
        <v>22.4</v>
      </c>
      <c r="BC30">
        <v>22.8</v>
      </c>
      <c r="BD30">
        <v>22.8</v>
      </c>
      <c r="BE30">
        <v>22.5</v>
      </c>
      <c r="BF30">
        <v>22.5</v>
      </c>
      <c r="BG30">
        <v>22.4</v>
      </c>
      <c r="BH30">
        <v>22.6</v>
      </c>
      <c r="BI30">
        <v>22.3</v>
      </c>
      <c r="BJ30">
        <v>22.5</v>
      </c>
      <c r="BK30">
        <v>22.3</v>
      </c>
      <c r="BL30">
        <v>22.4</v>
      </c>
      <c r="BM30">
        <v>22.5</v>
      </c>
    </row>
    <row r="31" spans="1:68" x14ac:dyDescent="0.35">
      <c r="A31" t="s">
        <v>322</v>
      </c>
      <c r="B31" t="s">
        <v>299</v>
      </c>
      <c r="C31" t="s">
        <v>749</v>
      </c>
      <c r="D31" t="s">
        <v>750</v>
      </c>
      <c r="AL31">
        <v>16.2</v>
      </c>
      <c r="AM31">
        <v>15.2</v>
      </c>
      <c r="AN31">
        <v>19.7</v>
      </c>
      <c r="AO31">
        <v>17.600000000000001</v>
      </c>
      <c r="AP31">
        <v>16.600000000000001</v>
      </c>
      <c r="AQ31">
        <v>19</v>
      </c>
      <c r="AR31">
        <v>19.399999999999999</v>
      </c>
      <c r="BK31">
        <v>22.3</v>
      </c>
    </row>
    <row r="32" spans="1:68" x14ac:dyDescent="0.35">
      <c r="A32" t="s">
        <v>380</v>
      </c>
      <c r="B32" t="s">
        <v>639</v>
      </c>
      <c r="C32" t="s">
        <v>749</v>
      </c>
      <c r="D32" t="s">
        <v>750</v>
      </c>
    </row>
    <row r="33" spans="1:68" x14ac:dyDescent="0.35">
      <c r="A33" t="s">
        <v>56</v>
      </c>
      <c r="B33" t="s">
        <v>518</v>
      </c>
      <c r="C33" t="s">
        <v>749</v>
      </c>
      <c r="D33" t="s">
        <v>750</v>
      </c>
      <c r="AI33">
        <v>22</v>
      </c>
      <c r="AK33">
        <v>19.7</v>
      </c>
      <c r="AP33">
        <v>18.8</v>
      </c>
      <c r="AR33">
        <v>20.8</v>
      </c>
      <c r="AS33">
        <v>18.8</v>
      </c>
      <c r="AT33">
        <v>19.5</v>
      </c>
      <c r="AU33">
        <v>18.899999999999999</v>
      </c>
      <c r="AW33">
        <v>18.8</v>
      </c>
      <c r="AX33">
        <v>19.2</v>
      </c>
      <c r="AY33">
        <v>19.8</v>
      </c>
      <c r="AZ33">
        <v>19.8</v>
      </c>
      <c r="BA33">
        <v>20.9</v>
      </c>
      <c r="BB33">
        <v>21.3</v>
      </c>
      <c r="BD33">
        <v>22.2</v>
      </c>
      <c r="BE33">
        <v>22.5</v>
      </c>
      <c r="BF33">
        <v>21.7</v>
      </c>
      <c r="BG33">
        <v>21.3</v>
      </c>
      <c r="BH33">
        <v>21.8</v>
      </c>
      <c r="BI33">
        <v>22.8</v>
      </c>
      <c r="BJ33">
        <v>22.9</v>
      </c>
      <c r="BK33">
        <v>22.9</v>
      </c>
      <c r="BL33">
        <v>22.4</v>
      </c>
      <c r="BM33">
        <v>22.1</v>
      </c>
      <c r="BN33">
        <v>22.4</v>
      </c>
      <c r="BO33">
        <v>22.6</v>
      </c>
      <c r="BP33">
        <v>22.3</v>
      </c>
    </row>
    <row r="34" spans="1:68" x14ac:dyDescent="0.35">
      <c r="A34" t="s">
        <v>593</v>
      </c>
      <c r="B34" t="s">
        <v>341</v>
      </c>
      <c r="C34" t="s">
        <v>749</v>
      </c>
      <c r="D34" t="s">
        <v>750</v>
      </c>
      <c r="Z34">
        <v>18.399999999999999</v>
      </c>
      <c r="AA34">
        <v>18.3</v>
      </c>
      <c r="AB34">
        <v>18.100000000000001</v>
      </c>
      <c r="AC34">
        <v>18.100000000000001</v>
      </c>
      <c r="AD34">
        <v>19.600000000000001</v>
      </c>
      <c r="AE34">
        <v>18.2</v>
      </c>
      <c r="AF34">
        <v>18.100000000000001</v>
      </c>
      <c r="AG34">
        <v>17.5</v>
      </c>
      <c r="AH34">
        <v>16.8</v>
      </c>
      <c r="AI34">
        <v>17.899999999999999</v>
      </c>
      <c r="AK34">
        <v>20.8</v>
      </c>
      <c r="AL34">
        <v>17.5</v>
      </c>
      <c r="AN34">
        <v>17.899999999999999</v>
      </c>
      <c r="AO34">
        <v>18.2</v>
      </c>
      <c r="AP34">
        <v>18.100000000000001</v>
      </c>
      <c r="AQ34">
        <v>17.899999999999999</v>
      </c>
      <c r="AR34">
        <v>18</v>
      </c>
      <c r="AT34">
        <v>18.5</v>
      </c>
      <c r="AU34">
        <v>18.3</v>
      </c>
      <c r="AV34">
        <v>18.7</v>
      </c>
      <c r="AW34">
        <v>18.8</v>
      </c>
      <c r="AX34">
        <v>18.7</v>
      </c>
      <c r="AY34">
        <v>18.8</v>
      </c>
      <c r="AZ34">
        <v>19.2</v>
      </c>
      <c r="BA34">
        <v>19.3</v>
      </c>
      <c r="BB34">
        <v>19.399999999999999</v>
      </c>
      <c r="BD34">
        <v>19.5</v>
      </c>
      <c r="BE34">
        <v>19.2</v>
      </c>
      <c r="BF34">
        <v>19.3</v>
      </c>
      <c r="BG34">
        <v>19.5</v>
      </c>
      <c r="BH34">
        <v>19.600000000000001</v>
      </c>
      <c r="BI34">
        <v>19.3</v>
      </c>
      <c r="BJ34">
        <v>19.399999999999999</v>
      </c>
      <c r="BK34">
        <v>19.3</v>
      </c>
      <c r="BL34">
        <v>19.5</v>
      </c>
      <c r="BM34">
        <v>19.3</v>
      </c>
      <c r="BN34">
        <v>19.600000000000001</v>
      </c>
      <c r="BO34">
        <v>19.5</v>
      </c>
      <c r="BP34">
        <v>19.399999999999999</v>
      </c>
    </row>
    <row r="35" spans="1:68" x14ac:dyDescent="0.35">
      <c r="A35" t="s">
        <v>563</v>
      </c>
      <c r="B35" t="s">
        <v>395</v>
      </c>
      <c r="C35" t="s">
        <v>749</v>
      </c>
      <c r="D35" t="s">
        <v>750</v>
      </c>
      <c r="BI35">
        <v>22.8</v>
      </c>
    </row>
    <row r="36" spans="1:68" x14ac:dyDescent="0.35">
      <c r="A36" t="s">
        <v>435</v>
      </c>
      <c r="B36" t="s">
        <v>129</v>
      </c>
      <c r="C36" t="s">
        <v>749</v>
      </c>
      <c r="D36" t="s">
        <v>750</v>
      </c>
    </row>
    <row r="37" spans="1:68" x14ac:dyDescent="0.35">
      <c r="A37" t="s">
        <v>572</v>
      </c>
      <c r="B37" t="s">
        <v>122</v>
      </c>
      <c r="C37" t="s">
        <v>749</v>
      </c>
      <c r="D37" t="s">
        <v>750</v>
      </c>
      <c r="AV37">
        <v>21.3</v>
      </c>
      <c r="AZ37">
        <v>22.1</v>
      </c>
      <c r="BE37">
        <v>21.4</v>
      </c>
      <c r="BJ37">
        <v>22.7</v>
      </c>
      <c r="BO37">
        <v>22.8</v>
      </c>
    </row>
    <row r="38" spans="1:68" x14ac:dyDescent="0.35">
      <c r="A38" t="s">
        <v>51</v>
      </c>
      <c r="B38" t="s">
        <v>402</v>
      </c>
      <c r="C38" t="s">
        <v>749</v>
      </c>
      <c r="D38" t="s">
        <v>750</v>
      </c>
      <c r="AD38">
        <v>19.2</v>
      </c>
      <c r="AL38">
        <v>16.7</v>
      </c>
      <c r="AU38">
        <v>16.8</v>
      </c>
      <c r="BB38">
        <v>17.8</v>
      </c>
      <c r="BH38">
        <v>19.100000000000001</v>
      </c>
    </row>
    <row r="39" spans="1:68" x14ac:dyDescent="0.35">
      <c r="A39" t="s">
        <v>188</v>
      </c>
      <c r="B39" t="s">
        <v>492</v>
      </c>
      <c r="C39" t="s">
        <v>749</v>
      </c>
      <c r="D39" t="s">
        <v>750</v>
      </c>
      <c r="AK39">
        <v>18.3</v>
      </c>
      <c r="BA39">
        <v>17.7</v>
      </c>
      <c r="BN39">
        <v>21.4</v>
      </c>
    </row>
    <row r="40" spans="1:68" x14ac:dyDescent="0.35">
      <c r="A40" t="s">
        <v>203</v>
      </c>
      <c r="B40" t="s">
        <v>564</v>
      </c>
      <c r="C40" t="s">
        <v>749</v>
      </c>
      <c r="D40" t="s">
        <v>750</v>
      </c>
      <c r="P40">
        <v>23.2</v>
      </c>
      <c r="R40">
        <v>23.3</v>
      </c>
      <c r="T40">
        <v>23.4</v>
      </c>
      <c r="V40">
        <v>23.6</v>
      </c>
      <c r="X40">
        <v>23.6</v>
      </c>
      <c r="Z40">
        <v>23.5</v>
      </c>
      <c r="AA40">
        <v>23.2</v>
      </c>
      <c r="AC40">
        <v>23.2</v>
      </c>
      <c r="AD40">
        <v>23.1</v>
      </c>
      <c r="AE40">
        <v>23.3</v>
      </c>
      <c r="AF40">
        <v>23.2</v>
      </c>
      <c r="AG40">
        <v>23.3</v>
      </c>
      <c r="AH40">
        <v>23.4</v>
      </c>
      <c r="AI40">
        <v>23.4</v>
      </c>
      <c r="AJ40">
        <v>23.4</v>
      </c>
      <c r="AK40">
        <v>23.3</v>
      </c>
      <c r="AL40">
        <v>23.4</v>
      </c>
      <c r="AM40">
        <v>23.3</v>
      </c>
      <c r="AN40">
        <v>23.3</v>
      </c>
      <c r="AO40">
        <v>23</v>
      </c>
      <c r="AP40">
        <v>22.8</v>
      </c>
      <c r="AQ40">
        <v>22.8</v>
      </c>
      <c r="AR40">
        <v>22.9</v>
      </c>
      <c r="AS40">
        <v>22.8</v>
      </c>
      <c r="AT40">
        <v>22.8</v>
      </c>
      <c r="AU40">
        <v>23</v>
      </c>
      <c r="AV40">
        <v>22.9</v>
      </c>
      <c r="AW40">
        <v>23</v>
      </c>
      <c r="AX40">
        <v>22.9</v>
      </c>
      <c r="AY40">
        <v>22.8</v>
      </c>
      <c r="AZ40">
        <v>22.7</v>
      </c>
      <c r="BA40">
        <v>22.8</v>
      </c>
      <c r="BB40">
        <v>22.9</v>
      </c>
      <c r="BC40">
        <v>22.8</v>
      </c>
      <c r="BD40">
        <v>22.9</v>
      </c>
      <c r="BE40">
        <v>23.2</v>
      </c>
      <c r="BF40">
        <v>23.4</v>
      </c>
      <c r="BG40">
        <v>23</v>
      </c>
      <c r="BH40">
        <v>23</v>
      </c>
      <c r="BI40">
        <v>23</v>
      </c>
      <c r="BJ40">
        <v>23</v>
      </c>
      <c r="BK40">
        <v>23</v>
      </c>
      <c r="BL40">
        <v>23.1</v>
      </c>
      <c r="BM40">
        <v>22.7</v>
      </c>
      <c r="BN40">
        <v>22.6</v>
      </c>
    </row>
    <row r="41" spans="1:68" x14ac:dyDescent="0.35">
      <c r="A41" t="s">
        <v>444</v>
      </c>
      <c r="B41" t="s">
        <v>239</v>
      </c>
      <c r="C41" t="s">
        <v>749</v>
      </c>
      <c r="D41" t="s">
        <v>750</v>
      </c>
    </row>
    <row r="42" spans="1:68" x14ac:dyDescent="0.35">
      <c r="A42" t="s">
        <v>191</v>
      </c>
      <c r="B42" t="s">
        <v>648</v>
      </c>
      <c r="C42" t="s">
        <v>749</v>
      </c>
      <c r="D42" t="s">
        <v>750</v>
      </c>
      <c r="AA42">
        <v>22</v>
      </c>
      <c r="AK42">
        <v>22.7</v>
      </c>
      <c r="AS42">
        <v>22.7</v>
      </c>
      <c r="AU42">
        <v>23.3</v>
      </c>
      <c r="AW42">
        <v>23.4</v>
      </c>
      <c r="AY42">
        <v>22.7</v>
      </c>
      <c r="AZ42">
        <v>22.5</v>
      </c>
      <c r="BA42">
        <v>22.6</v>
      </c>
      <c r="BB42">
        <v>22.7</v>
      </c>
      <c r="BC42">
        <v>22.6</v>
      </c>
      <c r="BD42">
        <v>22.7</v>
      </c>
      <c r="BE42">
        <v>22.5</v>
      </c>
      <c r="BF42">
        <v>22.5</v>
      </c>
      <c r="BG42">
        <v>22.5</v>
      </c>
      <c r="BH42">
        <v>22.6</v>
      </c>
      <c r="BI42">
        <v>22.5</v>
      </c>
      <c r="BJ42">
        <v>22.4</v>
      </c>
      <c r="BK42">
        <v>22.5</v>
      </c>
      <c r="BL42">
        <v>22.3</v>
      </c>
      <c r="BM42">
        <v>22.3</v>
      </c>
      <c r="BN42">
        <v>22.3</v>
      </c>
      <c r="BO42">
        <v>22.1</v>
      </c>
    </row>
    <row r="43" spans="1:68" x14ac:dyDescent="0.35">
      <c r="A43" t="s">
        <v>396</v>
      </c>
      <c r="B43" t="s">
        <v>320</v>
      </c>
      <c r="C43" t="s">
        <v>749</v>
      </c>
      <c r="D43" t="s">
        <v>750</v>
      </c>
    </row>
    <row r="44" spans="1:68" x14ac:dyDescent="0.35">
      <c r="A44" t="s">
        <v>167</v>
      </c>
      <c r="B44" t="s">
        <v>655</v>
      </c>
      <c r="C44" t="s">
        <v>749</v>
      </c>
      <c r="D44" t="s">
        <v>750</v>
      </c>
      <c r="AF44">
        <v>17.899999999999999</v>
      </c>
      <c r="AI44">
        <v>17.3</v>
      </c>
      <c r="AK44">
        <v>17.899999999999999</v>
      </c>
      <c r="AM44">
        <v>17.7</v>
      </c>
      <c r="AO44">
        <v>18.2</v>
      </c>
      <c r="AQ44">
        <v>18</v>
      </c>
      <c r="AS44">
        <v>18.7</v>
      </c>
      <c r="AV44">
        <v>19.100000000000001</v>
      </c>
      <c r="AY44">
        <v>19.600000000000001</v>
      </c>
      <c r="BB44">
        <v>19.3</v>
      </c>
      <c r="BD44">
        <v>19.399999999999999</v>
      </c>
      <c r="BF44">
        <v>19.2</v>
      </c>
      <c r="BH44">
        <v>19.600000000000001</v>
      </c>
      <c r="BJ44">
        <v>19.600000000000001</v>
      </c>
      <c r="BM44">
        <v>19.7</v>
      </c>
      <c r="BO44">
        <v>20.3</v>
      </c>
    </row>
    <row r="45" spans="1:68" x14ac:dyDescent="0.35">
      <c r="A45" t="s">
        <v>506</v>
      </c>
      <c r="B45" t="s">
        <v>189</v>
      </c>
      <c r="C45" t="s">
        <v>749</v>
      </c>
      <c r="D45" t="s">
        <v>750</v>
      </c>
      <c r="Z45">
        <v>23.2</v>
      </c>
      <c r="AC45">
        <v>23.2</v>
      </c>
      <c r="AF45">
        <v>23.4</v>
      </c>
      <c r="AI45">
        <v>22.1</v>
      </c>
      <c r="AL45">
        <v>22.1</v>
      </c>
      <c r="AO45">
        <v>22.4</v>
      </c>
      <c r="AR45">
        <v>22.3</v>
      </c>
      <c r="AU45">
        <v>22.4</v>
      </c>
      <c r="AX45">
        <v>22.3</v>
      </c>
      <c r="BA45">
        <v>22.5</v>
      </c>
      <c r="BC45">
        <v>22.3</v>
      </c>
      <c r="BD45">
        <v>22.3</v>
      </c>
      <c r="BE45">
        <v>22.4</v>
      </c>
      <c r="BF45">
        <v>22.1</v>
      </c>
      <c r="BG45">
        <v>22.3</v>
      </c>
      <c r="BH45">
        <v>22.3</v>
      </c>
      <c r="BI45">
        <v>22.2</v>
      </c>
      <c r="BJ45">
        <v>22.1</v>
      </c>
      <c r="BK45">
        <v>22.2</v>
      </c>
      <c r="BL45">
        <v>22</v>
      </c>
      <c r="BM45">
        <v>21.7</v>
      </c>
      <c r="BN45">
        <v>21.9</v>
      </c>
      <c r="BO45">
        <v>21.9</v>
      </c>
    </row>
    <row r="46" spans="1:68" x14ac:dyDescent="0.35">
      <c r="A46" t="s">
        <v>688</v>
      </c>
      <c r="B46" t="s">
        <v>338</v>
      </c>
      <c r="C46" t="s">
        <v>749</v>
      </c>
      <c r="D46" t="s">
        <v>750</v>
      </c>
      <c r="AD46">
        <v>20.7</v>
      </c>
      <c r="AE46">
        <v>21.6</v>
      </c>
      <c r="AF46">
        <v>21</v>
      </c>
      <c r="AG46">
        <v>22.6</v>
      </c>
      <c r="AK46">
        <v>22.3</v>
      </c>
      <c r="AN46">
        <v>21.3</v>
      </c>
      <c r="AQ46">
        <v>21.4</v>
      </c>
      <c r="AU46">
        <v>20.6</v>
      </c>
      <c r="BA46">
        <v>21.7</v>
      </c>
      <c r="BH46">
        <v>21.7</v>
      </c>
      <c r="BK46">
        <v>21.9</v>
      </c>
      <c r="BN46">
        <v>21.8</v>
      </c>
    </row>
    <row r="47" spans="1:68" x14ac:dyDescent="0.35">
      <c r="A47" t="s">
        <v>742</v>
      </c>
      <c r="B47" t="s">
        <v>79</v>
      </c>
      <c r="C47" t="s">
        <v>749</v>
      </c>
      <c r="D47" t="s">
        <v>750</v>
      </c>
      <c r="AO47">
        <v>19.600000000000001</v>
      </c>
      <c r="AT47">
        <v>20.6</v>
      </c>
      <c r="AZ47">
        <v>21.5</v>
      </c>
      <c r="BG47">
        <v>21.6</v>
      </c>
      <c r="BN47">
        <v>22.5</v>
      </c>
    </row>
    <row r="48" spans="1:68" x14ac:dyDescent="0.35">
      <c r="A48" t="s">
        <v>498</v>
      </c>
      <c r="B48" t="s">
        <v>230</v>
      </c>
      <c r="C48" t="s">
        <v>749</v>
      </c>
      <c r="D48" t="s">
        <v>750</v>
      </c>
      <c r="AW48">
        <v>21.5</v>
      </c>
      <c r="BE48">
        <v>21.6</v>
      </c>
      <c r="BM48">
        <v>20.2</v>
      </c>
    </row>
    <row r="49" spans="1:69" x14ac:dyDescent="0.35">
      <c r="A49" t="s">
        <v>394</v>
      </c>
      <c r="B49" t="s">
        <v>411</v>
      </c>
      <c r="C49" t="s">
        <v>749</v>
      </c>
      <c r="D49" t="s">
        <v>750</v>
      </c>
      <c r="AX49">
        <v>20.399999999999999</v>
      </c>
      <c r="BD49">
        <v>20.7</v>
      </c>
    </row>
    <row r="50" spans="1:69" x14ac:dyDescent="0.35">
      <c r="A50" t="s">
        <v>559</v>
      </c>
      <c r="B50" t="s">
        <v>305</v>
      </c>
      <c r="C50" t="s">
        <v>749</v>
      </c>
      <c r="D50" t="s">
        <v>750</v>
      </c>
      <c r="Y50">
        <v>20</v>
      </c>
      <c r="AG50">
        <v>20</v>
      </c>
      <c r="AH50">
        <v>19.8</v>
      </c>
      <c r="AJ50">
        <v>20.399999999999999</v>
      </c>
      <c r="AK50">
        <v>19.399999999999999</v>
      </c>
      <c r="AO50">
        <v>18.399999999999999</v>
      </c>
      <c r="AR50">
        <v>18.100000000000001</v>
      </c>
      <c r="AS50">
        <v>18.100000000000001</v>
      </c>
      <c r="AT50">
        <v>18.2</v>
      </c>
      <c r="AU50">
        <v>18.399999999999999</v>
      </c>
      <c r="AV50">
        <v>18.8</v>
      </c>
      <c r="AW50">
        <v>18.3</v>
      </c>
      <c r="AX50">
        <v>18.600000000000001</v>
      </c>
      <c r="BA50">
        <v>19</v>
      </c>
      <c r="BB50">
        <v>19.2</v>
      </c>
      <c r="BC50">
        <v>19</v>
      </c>
      <c r="BD50">
        <v>19.3</v>
      </c>
      <c r="BE50">
        <v>19.7</v>
      </c>
      <c r="BF50">
        <v>19.600000000000001</v>
      </c>
      <c r="BG50">
        <v>19.600000000000001</v>
      </c>
      <c r="BH50">
        <v>20</v>
      </c>
      <c r="BI50">
        <v>19.899999999999999</v>
      </c>
      <c r="BJ50">
        <v>20.100000000000001</v>
      </c>
      <c r="BK50">
        <v>19.899999999999999</v>
      </c>
      <c r="BL50">
        <v>19.8</v>
      </c>
      <c r="BM50">
        <v>19.5</v>
      </c>
      <c r="BN50">
        <v>18.8</v>
      </c>
      <c r="BO50">
        <v>18.8</v>
      </c>
      <c r="BP50">
        <v>19.100000000000001</v>
      </c>
    </row>
    <row r="51" spans="1:69" x14ac:dyDescent="0.35">
      <c r="A51" t="s">
        <v>362</v>
      </c>
      <c r="B51" t="s">
        <v>358</v>
      </c>
      <c r="C51" t="s">
        <v>749</v>
      </c>
      <c r="D51" t="s">
        <v>750</v>
      </c>
      <c r="AW51">
        <v>16.5</v>
      </c>
      <c r="BG51">
        <v>22.2</v>
      </c>
    </row>
    <row r="52" spans="1:69" x14ac:dyDescent="0.35">
      <c r="A52" t="s">
        <v>496</v>
      </c>
      <c r="B52" t="s">
        <v>568</v>
      </c>
      <c r="C52" t="s">
        <v>749</v>
      </c>
      <c r="D52" t="s">
        <v>750</v>
      </c>
      <c r="AT52">
        <v>18.5</v>
      </c>
      <c r="AZ52">
        <v>20</v>
      </c>
      <c r="BH52">
        <v>21.6</v>
      </c>
    </row>
    <row r="53" spans="1:69" x14ac:dyDescent="0.35">
      <c r="A53" t="s">
        <v>346</v>
      </c>
      <c r="B53" t="s">
        <v>11</v>
      </c>
      <c r="C53" t="s">
        <v>749</v>
      </c>
      <c r="D53" t="s">
        <v>750</v>
      </c>
      <c r="Z53">
        <v>22.8</v>
      </c>
      <c r="AE53">
        <v>24.9</v>
      </c>
      <c r="AH53">
        <v>22.2</v>
      </c>
      <c r="AI53">
        <v>22.5</v>
      </c>
      <c r="AJ53">
        <v>22.1</v>
      </c>
      <c r="AK53">
        <v>22</v>
      </c>
      <c r="AL53">
        <v>22.1</v>
      </c>
      <c r="AM53">
        <v>21.4</v>
      </c>
      <c r="AN53">
        <v>22</v>
      </c>
      <c r="AO53">
        <v>21.9</v>
      </c>
      <c r="AP53">
        <v>21.8</v>
      </c>
      <c r="AQ53">
        <v>21.6</v>
      </c>
      <c r="AR53">
        <v>21.1</v>
      </c>
      <c r="AS53">
        <v>21.5</v>
      </c>
      <c r="AT53">
        <v>20.100000000000001</v>
      </c>
      <c r="AU53">
        <v>19.7</v>
      </c>
      <c r="AV53">
        <v>21.1</v>
      </c>
      <c r="AW53">
        <v>21</v>
      </c>
      <c r="AX53">
        <v>21</v>
      </c>
      <c r="AY53">
        <v>20.100000000000001</v>
      </c>
      <c r="AZ53">
        <v>19.7</v>
      </c>
      <c r="BA53">
        <v>20.3</v>
      </c>
      <c r="BB53">
        <v>19.899999999999999</v>
      </c>
      <c r="BC53">
        <v>20.5</v>
      </c>
      <c r="BD53">
        <v>20.8</v>
      </c>
      <c r="BE53">
        <v>20.9</v>
      </c>
      <c r="BF53">
        <v>21</v>
      </c>
      <c r="BG53">
        <v>20.8</v>
      </c>
      <c r="BH53">
        <v>20.6</v>
      </c>
      <c r="BI53">
        <v>20.6</v>
      </c>
      <c r="BJ53">
        <v>20.5</v>
      </c>
      <c r="BK53">
        <v>20.9</v>
      </c>
      <c r="BL53">
        <v>20.7</v>
      </c>
      <c r="BM53">
        <v>20.9</v>
      </c>
      <c r="BN53">
        <v>20.6</v>
      </c>
      <c r="BO53">
        <v>21.1</v>
      </c>
      <c r="BP53">
        <v>21.4</v>
      </c>
      <c r="BQ53">
        <v>21.8</v>
      </c>
    </row>
    <row r="54" spans="1:69" x14ac:dyDescent="0.35">
      <c r="A54" t="s">
        <v>347</v>
      </c>
      <c r="B54" t="s">
        <v>300</v>
      </c>
      <c r="C54" t="s">
        <v>749</v>
      </c>
      <c r="D54" t="s">
        <v>750</v>
      </c>
    </row>
    <row r="55" spans="1:69" x14ac:dyDescent="0.35">
      <c r="A55" t="s">
        <v>99</v>
      </c>
      <c r="B55" t="s">
        <v>257</v>
      </c>
      <c r="C55" t="s">
        <v>749</v>
      </c>
      <c r="D55" t="s">
        <v>750</v>
      </c>
    </row>
    <row r="56" spans="1:69" x14ac:dyDescent="0.35">
      <c r="A56" t="s">
        <v>375</v>
      </c>
      <c r="B56" t="s">
        <v>100</v>
      </c>
      <c r="C56" t="s">
        <v>749</v>
      </c>
      <c r="D56" t="s">
        <v>750</v>
      </c>
    </row>
    <row r="57" spans="1:69" x14ac:dyDescent="0.35">
      <c r="A57" t="s">
        <v>482</v>
      </c>
      <c r="B57" t="s">
        <v>651</v>
      </c>
      <c r="C57" t="s">
        <v>749</v>
      </c>
      <c r="D57" t="s">
        <v>750</v>
      </c>
    </row>
    <row r="58" spans="1:69" x14ac:dyDescent="0.35">
      <c r="A58" t="s">
        <v>448</v>
      </c>
      <c r="B58" t="s">
        <v>258</v>
      </c>
      <c r="C58" t="s">
        <v>749</v>
      </c>
      <c r="D58" t="s">
        <v>750</v>
      </c>
      <c r="AW58">
        <v>22.3</v>
      </c>
      <c r="AX58">
        <v>22</v>
      </c>
      <c r="AY58">
        <v>21.6</v>
      </c>
      <c r="AZ58">
        <v>21.9</v>
      </c>
      <c r="BA58">
        <v>21.6</v>
      </c>
      <c r="BB58">
        <v>21.9</v>
      </c>
      <c r="BC58">
        <v>21.8</v>
      </c>
      <c r="BD58">
        <v>21.6</v>
      </c>
      <c r="BE58">
        <v>21.4</v>
      </c>
      <c r="BF58">
        <v>20.7</v>
      </c>
      <c r="BG58">
        <v>21.3</v>
      </c>
      <c r="BH58">
        <v>21.7</v>
      </c>
      <c r="BI58">
        <v>21.7</v>
      </c>
      <c r="BJ58">
        <v>21.9</v>
      </c>
      <c r="BK58">
        <v>21.4</v>
      </c>
      <c r="BL58">
        <v>21.8</v>
      </c>
      <c r="BM58">
        <v>21.6</v>
      </c>
      <c r="BN58">
        <v>21.8</v>
      </c>
      <c r="BO58">
        <v>21.6</v>
      </c>
      <c r="BP58">
        <v>21.7</v>
      </c>
    </row>
    <row r="59" spans="1:69" x14ac:dyDescent="0.35">
      <c r="A59" t="s">
        <v>354</v>
      </c>
      <c r="B59" t="s">
        <v>668</v>
      </c>
      <c r="C59" t="s">
        <v>749</v>
      </c>
      <c r="D59" t="s">
        <v>750</v>
      </c>
      <c r="AK59">
        <v>21.7</v>
      </c>
      <c r="AL59">
        <v>21.3</v>
      </c>
      <c r="AO59">
        <v>21.9</v>
      </c>
      <c r="AU59">
        <v>21.9</v>
      </c>
      <c r="AW59">
        <v>21.9</v>
      </c>
      <c r="AX59">
        <v>21.7</v>
      </c>
      <c r="AY59">
        <v>21.9</v>
      </c>
      <c r="AZ59">
        <v>21.8</v>
      </c>
      <c r="BA59">
        <v>21.6</v>
      </c>
      <c r="BB59">
        <v>21.9</v>
      </c>
      <c r="BC59">
        <v>22</v>
      </c>
      <c r="BD59">
        <v>22</v>
      </c>
      <c r="BE59">
        <v>21.9</v>
      </c>
      <c r="BF59">
        <v>21.8</v>
      </c>
      <c r="BG59">
        <v>21.9</v>
      </c>
      <c r="BH59">
        <v>21.9</v>
      </c>
      <c r="BI59">
        <v>21.8</v>
      </c>
      <c r="BJ59">
        <v>22</v>
      </c>
      <c r="BK59">
        <v>22</v>
      </c>
      <c r="BL59">
        <v>22.1</v>
      </c>
      <c r="BM59">
        <v>21.7</v>
      </c>
      <c r="BN59">
        <v>22</v>
      </c>
      <c r="BO59">
        <v>22.1</v>
      </c>
      <c r="BP59">
        <v>22.2</v>
      </c>
    </row>
    <row r="60" spans="1:69" x14ac:dyDescent="0.35">
      <c r="A60" t="s">
        <v>485</v>
      </c>
      <c r="B60" t="s">
        <v>488</v>
      </c>
      <c r="C60" t="s">
        <v>749</v>
      </c>
      <c r="D60" t="s">
        <v>750</v>
      </c>
      <c r="AJ60">
        <v>23</v>
      </c>
      <c r="AK60">
        <v>22.8</v>
      </c>
      <c r="AL60">
        <v>22.9</v>
      </c>
      <c r="AM60">
        <v>23</v>
      </c>
      <c r="AN60">
        <v>22.9</v>
      </c>
      <c r="AO60">
        <v>22.8</v>
      </c>
      <c r="AP60">
        <v>23</v>
      </c>
      <c r="AQ60">
        <v>23</v>
      </c>
      <c r="AR60">
        <v>22.8</v>
      </c>
      <c r="AS60">
        <v>22.8</v>
      </c>
      <c r="AT60">
        <v>22.5</v>
      </c>
      <c r="AU60">
        <v>22.7</v>
      </c>
      <c r="AV60">
        <v>22.5</v>
      </c>
      <c r="AW60">
        <v>22.5</v>
      </c>
      <c r="AX60">
        <v>22.3</v>
      </c>
      <c r="AY60">
        <v>22.5</v>
      </c>
      <c r="AZ60">
        <v>22.2</v>
      </c>
      <c r="BA60">
        <v>22.4</v>
      </c>
      <c r="BB60">
        <v>22.7</v>
      </c>
      <c r="BC60">
        <v>22.5</v>
      </c>
      <c r="BD60">
        <v>22.4</v>
      </c>
      <c r="BE60">
        <v>22.6</v>
      </c>
      <c r="BF60">
        <v>22.4</v>
      </c>
      <c r="BG60">
        <v>22.8</v>
      </c>
      <c r="BH60">
        <v>22.6</v>
      </c>
      <c r="BI60">
        <v>22.7</v>
      </c>
      <c r="BJ60">
        <v>22.7</v>
      </c>
      <c r="BK60">
        <v>22.4</v>
      </c>
      <c r="BL60">
        <v>22.4</v>
      </c>
      <c r="BM60">
        <v>22.5</v>
      </c>
    </row>
    <row r="61" spans="1:69" x14ac:dyDescent="0.35">
      <c r="A61" t="s">
        <v>22</v>
      </c>
      <c r="B61" t="s">
        <v>250</v>
      </c>
      <c r="C61" t="s">
        <v>749</v>
      </c>
      <c r="D61" t="s">
        <v>750</v>
      </c>
      <c r="AU61">
        <v>21.8</v>
      </c>
      <c r="BE61">
        <v>21.2</v>
      </c>
      <c r="BF61">
        <v>20.9</v>
      </c>
      <c r="BJ61">
        <v>21.6</v>
      </c>
    </row>
    <row r="62" spans="1:69" x14ac:dyDescent="0.35">
      <c r="A62" t="s">
        <v>690</v>
      </c>
      <c r="B62" t="s">
        <v>265</v>
      </c>
      <c r="C62" t="s">
        <v>749</v>
      </c>
      <c r="D62" t="s">
        <v>750</v>
      </c>
    </row>
    <row r="63" spans="1:69" x14ac:dyDescent="0.35">
      <c r="A63" t="s">
        <v>312</v>
      </c>
      <c r="B63" t="s">
        <v>531</v>
      </c>
      <c r="C63" t="s">
        <v>749</v>
      </c>
      <c r="D63" t="s">
        <v>750</v>
      </c>
      <c r="AF63">
        <v>22.6</v>
      </c>
      <c r="AK63">
        <v>22.7</v>
      </c>
      <c r="AN63">
        <v>22.6</v>
      </c>
      <c r="AS63">
        <v>22.7</v>
      </c>
      <c r="AV63">
        <v>22.5</v>
      </c>
      <c r="AW63">
        <v>22.6</v>
      </c>
      <c r="AX63">
        <v>22.5</v>
      </c>
      <c r="AY63">
        <v>22.3</v>
      </c>
      <c r="AZ63">
        <v>22.1</v>
      </c>
      <c r="BA63">
        <v>22.5</v>
      </c>
      <c r="BB63">
        <v>22.5</v>
      </c>
      <c r="BC63">
        <v>22.3</v>
      </c>
      <c r="BD63">
        <v>22.3</v>
      </c>
      <c r="BE63">
        <v>22.1</v>
      </c>
      <c r="BF63">
        <v>21.9</v>
      </c>
      <c r="BG63">
        <v>22</v>
      </c>
      <c r="BH63">
        <v>21.8</v>
      </c>
      <c r="BI63">
        <v>22</v>
      </c>
      <c r="BJ63">
        <v>21.9</v>
      </c>
      <c r="BK63">
        <v>21.9</v>
      </c>
      <c r="BL63">
        <v>21.9</v>
      </c>
      <c r="BM63">
        <v>22.1</v>
      </c>
      <c r="BN63">
        <v>21.8</v>
      </c>
      <c r="BO63">
        <v>21.8</v>
      </c>
      <c r="BP63">
        <v>21.4</v>
      </c>
    </row>
    <row r="64" spans="1:69" x14ac:dyDescent="0.35">
      <c r="A64" t="s">
        <v>422</v>
      </c>
      <c r="B64" t="s">
        <v>715</v>
      </c>
      <c r="C64" t="s">
        <v>749</v>
      </c>
      <c r="D64" t="s">
        <v>750</v>
      </c>
      <c r="AE64">
        <v>21.4</v>
      </c>
      <c r="AH64">
        <v>19.899999999999999</v>
      </c>
      <c r="AK64">
        <v>19</v>
      </c>
      <c r="AO64">
        <v>20.7</v>
      </c>
      <c r="AP64">
        <v>20.6</v>
      </c>
      <c r="AS64">
        <v>20.100000000000001</v>
      </c>
      <c r="AT64">
        <v>19.899999999999999</v>
      </c>
      <c r="AU64">
        <v>20.6</v>
      </c>
      <c r="AV64">
        <v>19.3</v>
      </c>
      <c r="AW64">
        <v>19.2</v>
      </c>
      <c r="AX64">
        <v>19.899999999999999</v>
      </c>
      <c r="AY64">
        <v>19.399999999999999</v>
      </c>
      <c r="AZ64">
        <v>19.8</v>
      </c>
      <c r="BA64">
        <v>20.2</v>
      </c>
      <c r="BB64">
        <v>19.8</v>
      </c>
      <c r="BC64">
        <v>20.8</v>
      </c>
      <c r="BD64">
        <v>20.6</v>
      </c>
      <c r="BE64">
        <v>20.5</v>
      </c>
      <c r="BF64">
        <v>19.899999999999999</v>
      </c>
      <c r="BG64">
        <v>21.5</v>
      </c>
      <c r="BH64">
        <v>20.9</v>
      </c>
      <c r="BI64">
        <v>20.8</v>
      </c>
      <c r="BJ64">
        <v>20.6</v>
      </c>
      <c r="BK64">
        <v>20.399999999999999</v>
      </c>
      <c r="BL64">
        <v>21</v>
      </c>
      <c r="BM64">
        <v>21.7</v>
      </c>
      <c r="BN64">
        <v>21.5</v>
      </c>
      <c r="BO64">
        <v>22.4</v>
      </c>
      <c r="BP64">
        <v>22.3</v>
      </c>
      <c r="BQ64">
        <v>22.3</v>
      </c>
    </row>
    <row r="65" spans="1:69" x14ac:dyDescent="0.35">
      <c r="A65" t="s">
        <v>689</v>
      </c>
      <c r="B65" t="s">
        <v>31</v>
      </c>
      <c r="C65" t="s">
        <v>749</v>
      </c>
      <c r="D65" t="s">
        <v>750</v>
      </c>
      <c r="AG65">
        <v>21.6</v>
      </c>
      <c r="AN65">
        <v>22.6</v>
      </c>
      <c r="BD65">
        <v>22.3</v>
      </c>
    </row>
    <row r="66" spans="1:69" x14ac:dyDescent="0.35">
      <c r="A66" t="s">
        <v>213</v>
      </c>
      <c r="B66" t="s">
        <v>241</v>
      </c>
      <c r="C66" t="s">
        <v>749</v>
      </c>
      <c r="D66" t="s">
        <v>750</v>
      </c>
    </row>
    <row r="67" spans="1:69" x14ac:dyDescent="0.35">
      <c r="A67" t="s">
        <v>693</v>
      </c>
      <c r="B67" t="s">
        <v>363</v>
      </c>
      <c r="C67" t="s">
        <v>749</v>
      </c>
      <c r="D67" t="s">
        <v>750</v>
      </c>
    </row>
    <row r="68" spans="1:69" x14ac:dyDescent="0.35">
      <c r="A68" t="s">
        <v>490</v>
      </c>
      <c r="B68" t="s">
        <v>586</v>
      </c>
      <c r="C68" t="s">
        <v>749</v>
      </c>
      <c r="D68" t="s">
        <v>750</v>
      </c>
    </row>
    <row r="69" spans="1:69" x14ac:dyDescent="0.35">
      <c r="A69" t="s">
        <v>279</v>
      </c>
      <c r="B69" t="s">
        <v>328</v>
      </c>
      <c r="C69" t="s">
        <v>749</v>
      </c>
      <c r="D69" t="s">
        <v>750</v>
      </c>
    </row>
    <row r="70" spans="1:69" x14ac:dyDescent="0.35">
      <c r="A70" t="s">
        <v>400</v>
      </c>
      <c r="B70" t="s">
        <v>585</v>
      </c>
      <c r="C70" t="s">
        <v>749</v>
      </c>
      <c r="D70" t="s">
        <v>750</v>
      </c>
    </row>
    <row r="71" spans="1:69" x14ac:dyDescent="0.35">
      <c r="A71" t="s">
        <v>251</v>
      </c>
      <c r="B71" t="s">
        <v>111</v>
      </c>
      <c r="C71" t="s">
        <v>749</v>
      </c>
      <c r="D71" t="s">
        <v>750</v>
      </c>
      <c r="AF71">
        <v>20.9</v>
      </c>
      <c r="AM71">
        <v>19.100000000000001</v>
      </c>
      <c r="AN71">
        <v>19.5</v>
      </c>
      <c r="AQ71">
        <v>20.7</v>
      </c>
      <c r="AR71">
        <v>17.7</v>
      </c>
      <c r="AS71">
        <v>18.100000000000001</v>
      </c>
      <c r="AV71">
        <v>19.5</v>
      </c>
      <c r="AW71">
        <v>19.399999999999999</v>
      </c>
      <c r="AX71">
        <v>19.899999999999999</v>
      </c>
      <c r="AY71">
        <v>19.600000000000001</v>
      </c>
      <c r="AZ71">
        <v>19.399999999999999</v>
      </c>
      <c r="BA71">
        <v>20.6</v>
      </c>
      <c r="BB71">
        <v>20.8</v>
      </c>
      <c r="BC71">
        <v>20.5</v>
      </c>
      <c r="BD71">
        <v>21.7</v>
      </c>
      <c r="BE71">
        <v>21.6</v>
      </c>
      <c r="BF71">
        <v>21</v>
      </c>
      <c r="BG71">
        <v>21.2</v>
      </c>
      <c r="BH71">
        <v>21.3</v>
      </c>
      <c r="BI71">
        <v>21.4</v>
      </c>
      <c r="BJ71">
        <v>21.5</v>
      </c>
      <c r="BK71">
        <v>21.2</v>
      </c>
      <c r="BL71">
        <v>21.5</v>
      </c>
      <c r="BM71">
        <v>21.1</v>
      </c>
      <c r="BN71">
        <v>21.2</v>
      </c>
      <c r="BO71">
        <v>21.3</v>
      </c>
      <c r="BP71">
        <v>22.1</v>
      </c>
      <c r="BQ71">
        <v>22.2</v>
      </c>
    </row>
    <row r="72" spans="1:69" x14ac:dyDescent="0.35">
      <c r="A72" t="s">
        <v>263</v>
      </c>
      <c r="B72" t="s">
        <v>672</v>
      </c>
      <c r="C72" t="s">
        <v>749</v>
      </c>
      <c r="D72" t="s">
        <v>750</v>
      </c>
      <c r="AI72">
        <v>21.4</v>
      </c>
      <c r="AN72">
        <v>21.1</v>
      </c>
      <c r="AR72">
        <v>21.2</v>
      </c>
      <c r="AW72">
        <v>20.8</v>
      </c>
      <c r="BA72">
        <v>20.8</v>
      </c>
      <c r="BC72">
        <v>21.1</v>
      </c>
      <c r="BE72">
        <v>21.2</v>
      </c>
      <c r="BH72">
        <v>20.6</v>
      </c>
      <c r="BJ72">
        <v>21</v>
      </c>
      <c r="BL72">
        <v>20.8</v>
      </c>
      <c r="BN72">
        <v>21.4</v>
      </c>
    </row>
    <row r="73" spans="1:69" x14ac:dyDescent="0.35">
      <c r="A73" t="s">
        <v>144</v>
      </c>
      <c r="B73" t="s">
        <v>410</v>
      </c>
      <c r="C73" t="s">
        <v>749</v>
      </c>
      <c r="D73" t="s">
        <v>750</v>
      </c>
    </row>
    <row r="74" spans="1:69" x14ac:dyDescent="0.35">
      <c r="A74" t="s">
        <v>725</v>
      </c>
      <c r="B74" t="s">
        <v>172</v>
      </c>
      <c r="C74" t="s">
        <v>749</v>
      </c>
      <c r="D74" t="s">
        <v>750</v>
      </c>
    </row>
    <row r="75" spans="1:69" x14ac:dyDescent="0.35">
      <c r="A75" t="s">
        <v>82</v>
      </c>
      <c r="B75" t="s">
        <v>256</v>
      </c>
      <c r="C75" t="s">
        <v>749</v>
      </c>
      <c r="D75" t="s">
        <v>750</v>
      </c>
      <c r="Y75">
        <v>22.7</v>
      </c>
      <c r="AD75">
        <v>22.3</v>
      </c>
      <c r="AI75">
        <v>22.7</v>
      </c>
      <c r="AL75">
        <v>22.9</v>
      </c>
      <c r="AM75">
        <v>23.1</v>
      </c>
      <c r="AN75">
        <v>22.7</v>
      </c>
      <c r="AO75">
        <v>23.1</v>
      </c>
      <c r="AP75">
        <v>23</v>
      </c>
      <c r="AQ75">
        <v>23.1</v>
      </c>
      <c r="AR75">
        <v>22.7</v>
      </c>
      <c r="AS75">
        <v>22.8</v>
      </c>
      <c r="AV75">
        <v>23.2</v>
      </c>
      <c r="AW75">
        <v>23.2</v>
      </c>
      <c r="AX75">
        <v>23.2</v>
      </c>
      <c r="AY75">
        <v>23.2</v>
      </c>
      <c r="AZ75">
        <v>23.1</v>
      </c>
      <c r="BA75">
        <v>23.2</v>
      </c>
      <c r="BB75">
        <v>23.2</v>
      </c>
      <c r="BC75">
        <v>23.2</v>
      </c>
      <c r="BD75">
        <v>23.5</v>
      </c>
      <c r="BE75">
        <v>23.4</v>
      </c>
      <c r="BF75">
        <v>23.7</v>
      </c>
      <c r="BG75">
        <v>23.6</v>
      </c>
      <c r="BH75">
        <v>23.5</v>
      </c>
      <c r="BI75">
        <v>23.5</v>
      </c>
      <c r="BJ75">
        <v>23.4</v>
      </c>
      <c r="BK75">
        <v>23.5</v>
      </c>
      <c r="BL75">
        <v>23.6</v>
      </c>
      <c r="BM75">
        <v>23.7</v>
      </c>
      <c r="BN75">
        <v>23.6</v>
      </c>
      <c r="BO75">
        <v>23.3</v>
      </c>
      <c r="BP75">
        <v>23.4</v>
      </c>
    </row>
    <row r="76" spans="1:69" x14ac:dyDescent="0.35">
      <c r="A76" t="s">
        <v>516</v>
      </c>
      <c r="B76" t="s">
        <v>657</v>
      </c>
      <c r="C76" t="s">
        <v>749</v>
      </c>
      <c r="D76" t="s">
        <v>750</v>
      </c>
      <c r="AL76">
        <v>21.3</v>
      </c>
      <c r="AN76">
        <v>23.4</v>
      </c>
      <c r="AQ76">
        <v>21.6</v>
      </c>
      <c r="AS76">
        <v>22.2</v>
      </c>
      <c r="AT76">
        <v>22.1</v>
      </c>
      <c r="AU76">
        <v>22.4</v>
      </c>
      <c r="AV76">
        <v>22</v>
      </c>
      <c r="AW76">
        <v>22.4</v>
      </c>
      <c r="AX76">
        <v>22.3</v>
      </c>
      <c r="AY76">
        <v>21.9</v>
      </c>
      <c r="AZ76">
        <v>23</v>
      </c>
      <c r="BA76">
        <v>22.6</v>
      </c>
      <c r="BB76">
        <v>22.5</v>
      </c>
      <c r="BC76">
        <v>22.8</v>
      </c>
      <c r="BD76">
        <v>22.8</v>
      </c>
      <c r="BE76">
        <v>22.6</v>
      </c>
      <c r="BF76">
        <v>22.6</v>
      </c>
      <c r="BG76">
        <v>22.5</v>
      </c>
      <c r="BH76">
        <v>23.2</v>
      </c>
      <c r="BI76">
        <v>23.6</v>
      </c>
      <c r="BJ76">
        <v>23.7</v>
      </c>
      <c r="BK76">
        <v>23.7</v>
      </c>
      <c r="BL76">
        <v>23.2</v>
      </c>
      <c r="BM76">
        <v>23.1</v>
      </c>
      <c r="BN76">
        <v>23.1</v>
      </c>
      <c r="BO76">
        <v>23.2</v>
      </c>
      <c r="BP76">
        <v>22.8</v>
      </c>
    </row>
    <row r="77" spans="1:69" x14ac:dyDescent="0.35">
      <c r="A77" t="s">
        <v>159</v>
      </c>
      <c r="B77" t="s">
        <v>102</v>
      </c>
      <c r="C77" t="s">
        <v>749</v>
      </c>
      <c r="D77" t="s">
        <v>750</v>
      </c>
      <c r="AN77">
        <v>18.8</v>
      </c>
      <c r="AR77">
        <v>21.5</v>
      </c>
      <c r="AW77">
        <v>21.4</v>
      </c>
      <c r="BC77">
        <v>21.3</v>
      </c>
      <c r="BH77">
        <v>21.2</v>
      </c>
      <c r="BN77">
        <v>22.4</v>
      </c>
    </row>
    <row r="78" spans="1:69" x14ac:dyDescent="0.35">
      <c r="A78" t="s">
        <v>42</v>
      </c>
      <c r="B78" t="s">
        <v>704</v>
      </c>
      <c r="C78" t="s">
        <v>749</v>
      </c>
      <c r="D78" t="s">
        <v>750</v>
      </c>
    </row>
    <row r="79" spans="1:69" x14ac:dyDescent="0.35">
      <c r="A79" t="s">
        <v>222</v>
      </c>
      <c r="B79" t="s">
        <v>359</v>
      </c>
      <c r="C79" t="s">
        <v>749</v>
      </c>
      <c r="D79" t="s">
        <v>750</v>
      </c>
    </row>
    <row r="80" spans="1:69" x14ac:dyDescent="0.35">
      <c r="A80" t="s">
        <v>54</v>
      </c>
      <c r="B80" t="s">
        <v>27</v>
      </c>
      <c r="C80" t="s">
        <v>749</v>
      </c>
      <c r="D80" t="s">
        <v>750</v>
      </c>
      <c r="AF80">
        <v>22.6</v>
      </c>
      <c r="AJ80">
        <v>22.6</v>
      </c>
      <c r="AN80">
        <v>22.2</v>
      </c>
      <c r="AS80">
        <v>22.2</v>
      </c>
      <c r="AV80">
        <v>22.1</v>
      </c>
      <c r="AW80">
        <v>22.2</v>
      </c>
      <c r="AX80">
        <v>22.2</v>
      </c>
      <c r="AY80">
        <v>22.4</v>
      </c>
      <c r="AZ80">
        <v>22.3</v>
      </c>
      <c r="BA80">
        <v>22.3</v>
      </c>
      <c r="BB80">
        <v>22.4</v>
      </c>
      <c r="BC80">
        <v>22.6</v>
      </c>
      <c r="BD80">
        <v>22.4</v>
      </c>
      <c r="BE80">
        <v>22.5</v>
      </c>
      <c r="BF80">
        <v>22.6</v>
      </c>
      <c r="BG80">
        <v>22.5</v>
      </c>
      <c r="BH80">
        <v>22.4</v>
      </c>
      <c r="BI80">
        <v>22.5</v>
      </c>
      <c r="BJ80">
        <v>22.4</v>
      </c>
      <c r="BK80">
        <v>22.4</v>
      </c>
      <c r="BL80">
        <v>22.3</v>
      </c>
      <c r="BM80">
        <v>22.3</v>
      </c>
      <c r="BN80">
        <v>22.3</v>
      </c>
      <c r="BO80">
        <v>22.4</v>
      </c>
      <c r="BP80">
        <v>22.5</v>
      </c>
    </row>
    <row r="81" spans="1:69" x14ac:dyDescent="0.35">
      <c r="A81" t="s">
        <v>149</v>
      </c>
      <c r="B81" t="s">
        <v>392</v>
      </c>
      <c r="C81" t="s">
        <v>749</v>
      </c>
      <c r="D81" t="s">
        <v>750</v>
      </c>
      <c r="AU81">
        <v>21.7</v>
      </c>
      <c r="BA81">
        <v>20.5</v>
      </c>
      <c r="BF81">
        <v>21.3</v>
      </c>
      <c r="BL81">
        <v>22.5</v>
      </c>
    </row>
    <row r="82" spans="1:69" x14ac:dyDescent="0.35">
      <c r="A82" t="s">
        <v>381</v>
      </c>
      <c r="B82" t="s">
        <v>626</v>
      </c>
      <c r="C82" t="s">
        <v>749</v>
      </c>
      <c r="D82" t="s">
        <v>750</v>
      </c>
      <c r="O82">
        <v>22.3</v>
      </c>
      <c r="T82">
        <v>22.3</v>
      </c>
      <c r="X82">
        <v>22.5</v>
      </c>
      <c r="AC82">
        <v>22.5</v>
      </c>
      <c r="AI82">
        <v>22.6</v>
      </c>
      <c r="AO82">
        <v>23</v>
      </c>
      <c r="AP82">
        <v>22.9</v>
      </c>
      <c r="AQ82">
        <v>22.8</v>
      </c>
      <c r="AR82">
        <v>22.6</v>
      </c>
      <c r="AS82">
        <v>22.6</v>
      </c>
      <c r="AT82">
        <v>22.5</v>
      </c>
      <c r="AU82">
        <v>22.6</v>
      </c>
      <c r="AV82">
        <v>22.3</v>
      </c>
      <c r="AW82">
        <v>22.4</v>
      </c>
      <c r="AX82">
        <v>22.5</v>
      </c>
      <c r="AY82">
        <v>22.7</v>
      </c>
      <c r="AZ82">
        <v>21.9</v>
      </c>
      <c r="BA82">
        <v>21.9</v>
      </c>
      <c r="BB82">
        <v>22.1</v>
      </c>
      <c r="BC82">
        <v>21.8</v>
      </c>
      <c r="BD82">
        <v>21.8</v>
      </c>
      <c r="BE82">
        <v>21.8</v>
      </c>
      <c r="BF82">
        <v>21.8</v>
      </c>
      <c r="BG82">
        <v>22</v>
      </c>
      <c r="BH82">
        <v>21.7</v>
      </c>
      <c r="BI82">
        <v>22</v>
      </c>
      <c r="BJ82">
        <v>21.9</v>
      </c>
      <c r="BK82">
        <v>21.6</v>
      </c>
      <c r="BL82">
        <v>22.4</v>
      </c>
      <c r="BM82">
        <v>22.4</v>
      </c>
      <c r="BN82">
        <v>22.5</v>
      </c>
      <c r="BO82">
        <v>22.6</v>
      </c>
      <c r="BP82">
        <v>22.5</v>
      </c>
    </row>
    <row r="83" spans="1:69" x14ac:dyDescent="0.35">
      <c r="A83" t="s">
        <v>345</v>
      </c>
      <c r="B83" t="s">
        <v>473</v>
      </c>
      <c r="C83" t="s">
        <v>749</v>
      </c>
      <c r="D83" t="s">
        <v>750</v>
      </c>
    </row>
    <row r="84" spans="1:69" x14ac:dyDescent="0.35">
      <c r="A84" t="s">
        <v>389</v>
      </c>
      <c r="B84" t="s">
        <v>286</v>
      </c>
      <c r="C84" t="s">
        <v>749</v>
      </c>
      <c r="D84" t="s">
        <v>750</v>
      </c>
      <c r="AX84">
        <v>21.3</v>
      </c>
      <c r="BF84">
        <v>22.5</v>
      </c>
    </row>
    <row r="85" spans="1:69" x14ac:dyDescent="0.35">
      <c r="A85" t="s">
        <v>501</v>
      </c>
      <c r="B85" t="s">
        <v>373</v>
      </c>
      <c r="C85" t="s">
        <v>749</v>
      </c>
      <c r="D85" t="s">
        <v>750</v>
      </c>
      <c r="AX85">
        <v>21.1</v>
      </c>
      <c r="BJ85">
        <v>23</v>
      </c>
    </row>
    <row r="86" spans="1:69" x14ac:dyDescent="0.35">
      <c r="A86" t="s">
        <v>669</v>
      </c>
      <c r="B86" t="s">
        <v>587</v>
      </c>
      <c r="C86" t="s">
        <v>749</v>
      </c>
      <c r="D86" t="s">
        <v>750</v>
      </c>
      <c r="M86">
        <v>22.5</v>
      </c>
      <c r="N86">
        <v>22.4</v>
      </c>
      <c r="O86">
        <v>22.4</v>
      </c>
      <c r="P86">
        <v>22.4</v>
      </c>
      <c r="Q86">
        <v>22.8</v>
      </c>
      <c r="R86">
        <v>22.5</v>
      </c>
      <c r="S86">
        <v>22.4</v>
      </c>
      <c r="T86">
        <v>22.6</v>
      </c>
      <c r="U86">
        <v>22.8</v>
      </c>
      <c r="V86">
        <v>22.7</v>
      </c>
      <c r="W86">
        <v>22.9</v>
      </c>
      <c r="X86">
        <v>22.8</v>
      </c>
      <c r="Y86">
        <v>22.6</v>
      </c>
      <c r="Z86">
        <v>22.6</v>
      </c>
      <c r="AA86">
        <v>22.6</v>
      </c>
      <c r="AB86">
        <v>22.6</v>
      </c>
      <c r="AC86">
        <v>22.7</v>
      </c>
      <c r="AD86">
        <v>22.8</v>
      </c>
      <c r="AE86">
        <v>22.5</v>
      </c>
      <c r="AF86">
        <v>22.2</v>
      </c>
      <c r="AG86">
        <v>22.2</v>
      </c>
      <c r="AH86">
        <v>22.8</v>
      </c>
      <c r="AI86">
        <v>22.7</v>
      </c>
      <c r="AJ86">
        <v>22.7</v>
      </c>
      <c r="AK86">
        <v>22.7</v>
      </c>
      <c r="AL86">
        <v>22.8</v>
      </c>
      <c r="AM86">
        <v>22.4</v>
      </c>
      <c r="AN86">
        <v>22.5</v>
      </c>
      <c r="AO86">
        <v>22.5</v>
      </c>
      <c r="AP86">
        <v>22.4</v>
      </c>
      <c r="AQ86">
        <v>22.2</v>
      </c>
      <c r="AR86">
        <v>22.2</v>
      </c>
      <c r="AS86">
        <v>21.3</v>
      </c>
      <c r="AT86">
        <v>21.8</v>
      </c>
      <c r="AU86">
        <v>22.1</v>
      </c>
      <c r="AV86">
        <v>22.3</v>
      </c>
      <c r="AW86">
        <v>22.3</v>
      </c>
      <c r="AX86">
        <v>22.2</v>
      </c>
      <c r="AY86">
        <v>22</v>
      </c>
      <c r="AZ86">
        <v>22.6</v>
      </c>
      <c r="BA86">
        <v>22.3</v>
      </c>
      <c r="BB86">
        <v>22.3</v>
      </c>
      <c r="BC86">
        <v>22.4</v>
      </c>
      <c r="BD86">
        <v>22.6</v>
      </c>
      <c r="BE86">
        <v>22.6</v>
      </c>
      <c r="BF86">
        <v>22.8</v>
      </c>
      <c r="BG86">
        <v>22.8</v>
      </c>
      <c r="BH86">
        <v>22.8</v>
      </c>
      <c r="BI86">
        <v>22.8</v>
      </c>
      <c r="BJ86">
        <v>23</v>
      </c>
      <c r="BK86">
        <v>22.8</v>
      </c>
      <c r="BL86">
        <v>23</v>
      </c>
      <c r="BM86">
        <v>23</v>
      </c>
      <c r="BN86">
        <v>23</v>
      </c>
    </row>
    <row r="87" spans="1:69" x14ac:dyDescent="0.35">
      <c r="A87" t="s">
        <v>620</v>
      </c>
      <c r="B87" t="s">
        <v>468</v>
      </c>
      <c r="C87" t="s">
        <v>749</v>
      </c>
      <c r="D87" t="s">
        <v>750</v>
      </c>
      <c r="AO87">
        <v>22.7</v>
      </c>
      <c r="AP87">
        <v>22.8</v>
      </c>
      <c r="AQ87">
        <v>22.2</v>
      </c>
      <c r="AR87">
        <v>22.5</v>
      </c>
      <c r="AS87">
        <v>22.4</v>
      </c>
      <c r="AT87">
        <v>22.1</v>
      </c>
      <c r="AU87">
        <v>22.4</v>
      </c>
      <c r="AV87">
        <v>23</v>
      </c>
      <c r="AW87">
        <v>23.1</v>
      </c>
      <c r="AX87">
        <v>22.8</v>
      </c>
      <c r="AY87">
        <v>22.8</v>
      </c>
      <c r="AZ87">
        <v>22.4</v>
      </c>
      <c r="BA87">
        <v>22.3</v>
      </c>
      <c r="BB87">
        <v>22.5</v>
      </c>
      <c r="BC87">
        <v>22.5</v>
      </c>
      <c r="BD87">
        <v>22.3</v>
      </c>
      <c r="BE87">
        <v>22.4</v>
      </c>
      <c r="BF87">
        <v>22.5</v>
      </c>
      <c r="BG87">
        <v>22.3</v>
      </c>
      <c r="BH87">
        <v>22.6</v>
      </c>
      <c r="BI87">
        <v>22.2</v>
      </c>
      <c r="BJ87">
        <v>22.4</v>
      </c>
      <c r="BK87">
        <v>22.6</v>
      </c>
      <c r="BL87">
        <v>22.4</v>
      </c>
      <c r="BM87">
        <v>22.9</v>
      </c>
      <c r="BN87">
        <v>22.5</v>
      </c>
      <c r="BO87">
        <v>23.2</v>
      </c>
      <c r="BP87">
        <v>22.4</v>
      </c>
      <c r="BQ87">
        <v>22.5</v>
      </c>
    </row>
    <row r="88" spans="1:69" x14ac:dyDescent="0.35">
      <c r="A88" t="s">
        <v>170</v>
      </c>
      <c r="B88" t="s">
        <v>551</v>
      </c>
      <c r="C88" t="s">
        <v>749</v>
      </c>
      <c r="D88" t="s">
        <v>750</v>
      </c>
      <c r="AF88">
        <v>22.3</v>
      </c>
      <c r="AG88">
        <v>22.1</v>
      </c>
      <c r="AJ88">
        <v>21.7</v>
      </c>
      <c r="AQ88">
        <v>22.7</v>
      </c>
      <c r="AX88">
        <v>21.6</v>
      </c>
      <c r="BE88">
        <v>21.9</v>
      </c>
      <c r="BI88">
        <v>22.3</v>
      </c>
    </row>
    <row r="89" spans="1:69" x14ac:dyDescent="0.35">
      <c r="A89" t="s">
        <v>132</v>
      </c>
      <c r="B89" t="s">
        <v>683</v>
      </c>
      <c r="C89" t="s">
        <v>749</v>
      </c>
      <c r="D89" t="s">
        <v>750</v>
      </c>
    </row>
    <row r="90" spans="1:69" x14ac:dyDescent="0.35">
      <c r="A90" t="s">
        <v>576</v>
      </c>
      <c r="B90" t="s">
        <v>571</v>
      </c>
      <c r="C90" t="s">
        <v>749</v>
      </c>
      <c r="D90" t="s">
        <v>750</v>
      </c>
      <c r="AJ90">
        <v>23.7</v>
      </c>
      <c r="AM90">
        <v>20.6</v>
      </c>
      <c r="AU90">
        <v>20.9</v>
      </c>
      <c r="AZ90">
        <v>22</v>
      </c>
      <c r="BE90">
        <v>22.4</v>
      </c>
      <c r="BK90">
        <v>22.9</v>
      </c>
    </row>
    <row r="91" spans="1:69" x14ac:dyDescent="0.35">
      <c r="A91" t="s">
        <v>26</v>
      </c>
      <c r="B91" t="s">
        <v>86</v>
      </c>
      <c r="C91" t="s">
        <v>749</v>
      </c>
      <c r="D91" t="s">
        <v>750</v>
      </c>
      <c r="AQ91">
        <v>20.3</v>
      </c>
      <c r="AV91">
        <v>20.7</v>
      </c>
      <c r="BC91">
        <v>20.5</v>
      </c>
      <c r="BH91">
        <v>21.8</v>
      </c>
      <c r="BM91">
        <v>21.8</v>
      </c>
    </row>
    <row r="92" spans="1:69" x14ac:dyDescent="0.35">
      <c r="A92" t="s">
        <v>581</v>
      </c>
      <c r="B92" t="s">
        <v>163</v>
      </c>
      <c r="C92" t="s">
        <v>749</v>
      </c>
      <c r="D92" t="s">
        <v>750</v>
      </c>
      <c r="AJ92">
        <v>20.399999999999999</v>
      </c>
      <c r="AL92">
        <v>21</v>
      </c>
      <c r="AU92">
        <v>22</v>
      </c>
      <c r="BC92">
        <v>18.3</v>
      </c>
      <c r="BK92">
        <v>21.8</v>
      </c>
      <c r="BN92">
        <v>22.4</v>
      </c>
    </row>
    <row r="93" spans="1:69" x14ac:dyDescent="0.35">
      <c r="A93" t="s">
        <v>645</v>
      </c>
      <c r="B93" t="s">
        <v>234</v>
      </c>
      <c r="C93" t="s">
        <v>749</v>
      </c>
      <c r="D93" t="s">
        <v>750</v>
      </c>
      <c r="BO93">
        <v>22.3</v>
      </c>
    </row>
    <row r="94" spans="1:69" x14ac:dyDescent="0.35">
      <c r="A94" t="s">
        <v>691</v>
      </c>
      <c r="B94" t="s">
        <v>545</v>
      </c>
      <c r="C94" t="s">
        <v>749</v>
      </c>
      <c r="D94" t="s">
        <v>750</v>
      </c>
      <c r="AN94">
        <v>23</v>
      </c>
      <c r="AS94">
        <v>23.1</v>
      </c>
      <c r="AU94">
        <v>22.6</v>
      </c>
      <c r="AV94">
        <v>23.3</v>
      </c>
      <c r="AW94">
        <v>23</v>
      </c>
      <c r="AX94">
        <v>22.7</v>
      </c>
      <c r="AY94">
        <v>22.6</v>
      </c>
      <c r="AZ94">
        <v>22.6</v>
      </c>
      <c r="BA94">
        <v>22.5</v>
      </c>
      <c r="BB94">
        <v>22.5</v>
      </c>
      <c r="BC94">
        <v>22.9</v>
      </c>
      <c r="BD94">
        <v>23.3</v>
      </c>
      <c r="BE94">
        <v>23.2</v>
      </c>
      <c r="BF94">
        <v>23.2</v>
      </c>
      <c r="BG94">
        <v>23.3</v>
      </c>
      <c r="BH94">
        <v>23.5</v>
      </c>
      <c r="BI94">
        <v>23.2</v>
      </c>
      <c r="BJ94">
        <v>23</v>
      </c>
      <c r="BK94">
        <v>23.1</v>
      </c>
      <c r="BL94">
        <v>23.1</v>
      </c>
      <c r="BM94">
        <v>23</v>
      </c>
      <c r="BN94">
        <v>23.1</v>
      </c>
      <c r="BO94">
        <v>22.7</v>
      </c>
      <c r="BP94">
        <v>22.5</v>
      </c>
    </row>
    <row r="95" spans="1:69" x14ac:dyDescent="0.35">
      <c r="A95" t="s">
        <v>76</v>
      </c>
      <c r="B95" t="s">
        <v>599</v>
      </c>
      <c r="C95" t="s">
        <v>749</v>
      </c>
      <c r="D95" t="s">
        <v>750</v>
      </c>
      <c r="BK95">
        <v>20.9</v>
      </c>
    </row>
    <row r="96" spans="1:69" x14ac:dyDescent="0.35">
      <c r="A96" t="s">
        <v>526</v>
      </c>
      <c r="B96" t="s">
        <v>663</v>
      </c>
      <c r="C96" t="s">
        <v>749</v>
      </c>
      <c r="D96" t="s">
        <v>750</v>
      </c>
    </row>
    <row r="97" spans="1:69" x14ac:dyDescent="0.35">
      <c r="A97" t="s">
        <v>268</v>
      </c>
      <c r="B97" t="s">
        <v>140</v>
      </c>
      <c r="C97" t="s">
        <v>749</v>
      </c>
      <c r="D97" t="s">
        <v>750</v>
      </c>
      <c r="AE97">
        <v>20.2</v>
      </c>
      <c r="AH97">
        <v>19.100000000000001</v>
      </c>
      <c r="AQ97">
        <v>21.3</v>
      </c>
      <c r="AS97">
        <v>18.5</v>
      </c>
      <c r="AY97">
        <v>19.2</v>
      </c>
      <c r="BG97">
        <v>20.100000000000001</v>
      </c>
      <c r="BP97">
        <v>21.4</v>
      </c>
    </row>
    <row r="98" spans="1:69" x14ac:dyDescent="0.35">
      <c r="A98" t="s">
        <v>735</v>
      </c>
      <c r="B98" t="s">
        <v>41</v>
      </c>
      <c r="C98" t="s">
        <v>749</v>
      </c>
      <c r="D98" t="s">
        <v>750</v>
      </c>
    </row>
    <row r="99" spans="1:69" x14ac:dyDescent="0.35">
      <c r="A99" t="s">
        <v>365</v>
      </c>
      <c r="B99" t="s">
        <v>533</v>
      </c>
      <c r="C99" t="s">
        <v>749</v>
      </c>
      <c r="D99" t="s">
        <v>750</v>
      </c>
      <c r="AK99">
        <v>23.2</v>
      </c>
      <c r="AQ99">
        <v>21.3</v>
      </c>
    </row>
    <row r="100" spans="1:69" x14ac:dyDescent="0.35">
      <c r="A100" t="s">
        <v>353</v>
      </c>
      <c r="B100" t="s">
        <v>534</v>
      </c>
      <c r="C100" t="s">
        <v>749</v>
      </c>
      <c r="D100" t="s">
        <v>750</v>
      </c>
    </row>
    <row r="101" spans="1:69" x14ac:dyDescent="0.35">
      <c r="A101" t="s">
        <v>274</v>
      </c>
      <c r="B101" t="s">
        <v>342</v>
      </c>
      <c r="C101" t="s">
        <v>749</v>
      </c>
      <c r="D101" t="s">
        <v>750</v>
      </c>
    </row>
    <row r="102" spans="1:69" x14ac:dyDescent="0.35">
      <c r="A102" t="s">
        <v>552</v>
      </c>
      <c r="B102" t="s">
        <v>65</v>
      </c>
      <c r="C102" t="s">
        <v>749</v>
      </c>
      <c r="D102" t="s">
        <v>750</v>
      </c>
      <c r="AH102">
        <v>19.600000000000001</v>
      </c>
      <c r="AI102">
        <v>19.399999999999999</v>
      </c>
      <c r="AJ102">
        <v>19.5</v>
      </c>
      <c r="AK102">
        <v>19.2</v>
      </c>
      <c r="AL102">
        <v>19.3</v>
      </c>
      <c r="AM102">
        <v>19.2</v>
      </c>
      <c r="AN102">
        <v>19</v>
      </c>
      <c r="AO102">
        <v>19.399999999999999</v>
      </c>
      <c r="AP102">
        <v>19.600000000000001</v>
      </c>
      <c r="AQ102">
        <v>19.3</v>
      </c>
      <c r="AR102">
        <v>20.100000000000001</v>
      </c>
      <c r="AT102">
        <v>20.5</v>
      </c>
      <c r="AU102">
        <v>20</v>
      </c>
      <c r="AV102">
        <v>19.3</v>
      </c>
      <c r="AW102">
        <v>19.3</v>
      </c>
      <c r="AX102">
        <v>19</v>
      </c>
      <c r="AY102">
        <v>19.8</v>
      </c>
      <c r="AZ102">
        <v>19.5</v>
      </c>
      <c r="BA102">
        <v>19.7</v>
      </c>
      <c r="BB102">
        <v>21</v>
      </c>
      <c r="BC102">
        <v>20.6</v>
      </c>
      <c r="BD102">
        <v>20.6</v>
      </c>
      <c r="BE102">
        <v>20.5</v>
      </c>
      <c r="BF102">
        <v>21.5</v>
      </c>
      <c r="BG102">
        <v>21</v>
      </c>
      <c r="BH102">
        <v>21.5</v>
      </c>
      <c r="BI102">
        <v>21.9</v>
      </c>
      <c r="BJ102">
        <v>21.5</v>
      </c>
      <c r="BK102">
        <v>22.1</v>
      </c>
      <c r="BL102">
        <v>22.5</v>
      </c>
      <c r="BP102">
        <v>23</v>
      </c>
      <c r="BQ102">
        <v>22.9</v>
      </c>
    </row>
    <row r="103" spans="1:69" x14ac:dyDescent="0.35">
      <c r="A103" t="s">
        <v>684</v>
      </c>
      <c r="B103" t="s">
        <v>160</v>
      </c>
      <c r="C103" t="s">
        <v>749</v>
      </c>
      <c r="D103" t="s">
        <v>750</v>
      </c>
    </row>
    <row r="104" spans="1:69" x14ac:dyDescent="0.35">
      <c r="A104" t="s">
        <v>521</v>
      </c>
      <c r="B104" t="s">
        <v>625</v>
      </c>
      <c r="C104" t="s">
        <v>749</v>
      </c>
      <c r="D104" t="s">
        <v>750</v>
      </c>
      <c r="AG104">
        <v>22.6</v>
      </c>
      <c r="AQ104">
        <v>23.1</v>
      </c>
      <c r="AR104">
        <v>22.2</v>
      </c>
      <c r="AS104">
        <v>22.3</v>
      </c>
      <c r="AT104">
        <v>22.5</v>
      </c>
      <c r="AW104">
        <v>22.6</v>
      </c>
      <c r="BA104">
        <v>21.3</v>
      </c>
      <c r="BB104">
        <v>23.3</v>
      </c>
      <c r="BC104">
        <v>23.5</v>
      </c>
      <c r="BD104">
        <v>23.6</v>
      </c>
      <c r="BE104">
        <v>23.7</v>
      </c>
      <c r="BF104">
        <v>23.6</v>
      </c>
      <c r="BG104">
        <v>23.5</v>
      </c>
      <c r="BH104">
        <v>23.4</v>
      </c>
      <c r="BI104">
        <v>23.4</v>
      </c>
      <c r="BJ104">
        <v>23.3</v>
      </c>
      <c r="BK104">
        <v>23.2</v>
      </c>
      <c r="BL104">
        <v>23.3</v>
      </c>
      <c r="BM104">
        <v>23.5</v>
      </c>
      <c r="BN104">
        <v>23.2</v>
      </c>
      <c r="BO104">
        <v>23.1</v>
      </c>
      <c r="BP104">
        <v>23.1</v>
      </c>
    </row>
    <row r="105" spans="1:69" x14ac:dyDescent="0.35">
      <c r="A105" t="s">
        <v>5</v>
      </c>
      <c r="B105" t="s">
        <v>93</v>
      </c>
      <c r="C105" t="s">
        <v>749</v>
      </c>
      <c r="D105" t="s">
        <v>750</v>
      </c>
      <c r="AT105">
        <v>17.600000000000001</v>
      </c>
      <c r="BE105">
        <v>22</v>
      </c>
    </row>
    <row r="106" spans="1:69" x14ac:dyDescent="0.35">
      <c r="A106" t="s">
        <v>53</v>
      </c>
      <c r="B106" t="s">
        <v>637</v>
      </c>
      <c r="C106" t="s">
        <v>749</v>
      </c>
      <c r="D106" t="s">
        <v>750</v>
      </c>
      <c r="AF106">
        <v>22.2</v>
      </c>
      <c r="AH106">
        <v>22.1</v>
      </c>
      <c r="AJ106">
        <v>22.2</v>
      </c>
      <c r="AL106">
        <v>21.4</v>
      </c>
      <c r="AM106">
        <v>22.1</v>
      </c>
      <c r="AQ106">
        <v>22.4</v>
      </c>
      <c r="AR106">
        <v>22.1</v>
      </c>
      <c r="AS106">
        <v>22.1</v>
      </c>
      <c r="AT106">
        <v>22.5</v>
      </c>
      <c r="AU106">
        <v>22.4</v>
      </c>
      <c r="AV106">
        <v>22.4</v>
      </c>
      <c r="AW106">
        <v>22.3</v>
      </c>
      <c r="AX106">
        <v>21.6</v>
      </c>
      <c r="AY106">
        <v>22.6</v>
      </c>
      <c r="AZ106">
        <v>22.8</v>
      </c>
      <c r="BA106">
        <v>22.8</v>
      </c>
      <c r="BB106">
        <v>23</v>
      </c>
      <c r="BC106">
        <v>22.9</v>
      </c>
      <c r="BD106">
        <v>22.7</v>
      </c>
      <c r="BE106">
        <v>22.8</v>
      </c>
      <c r="BF106">
        <v>22.7</v>
      </c>
      <c r="BG106">
        <v>22.9</v>
      </c>
      <c r="BH106">
        <v>22.9</v>
      </c>
      <c r="BI106">
        <v>22.8</v>
      </c>
      <c r="BJ106">
        <v>22.8</v>
      </c>
    </row>
    <row r="107" spans="1:69" x14ac:dyDescent="0.35">
      <c r="A107" t="s">
        <v>716</v>
      </c>
      <c r="B107" t="s">
        <v>145</v>
      </c>
      <c r="C107" t="s">
        <v>749</v>
      </c>
      <c r="D107" t="s">
        <v>750</v>
      </c>
    </row>
    <row r="108" spans="1:69" x14ac:dyDescent="0.35">
      <c r="A108" t="s">
        <v>80</v>
      </c>
      <c r="B108" t="s">
        <v>278</v>
      </c>
      <c r="C108" t="s">
        <v>749</v>
      </c>
      <c r="D108" t="s">
        <v>750</v>
      </c>
    </row>
    <row r="109" spans="1:69" x14ac:dyDescent="0.35">
      <c r="A109" t="s">
        <v>737</v>
      </c>
      <c r="B109" t="s">
        <v>549</v>
      </c>
      <c r="C109" t="s">
        <v>749</v>
      </c>
      <c r="D109" t="s">
        <v>750</v>
      </c>
    </row>
    <row r="110" spans="1:69" x14ac:dyDescent="0.35">
      <c r="A110" t="s">
        <v>503</v>
      </c>
      <c r="B110" t="s">
        <v>1</v>
      </c>
      <c r="C110" t="s">
        <v>749</v>
      </c>
      <c r="D110" t="s">
        <v>750</v>
      </c>
    </row>
    <row r="111" spans="1:69" x14ac:dyDescent="0.35">
      <c r="A111" t="s">
        <v>472</v>
      </c>
      <c r="B111" t="s">
        <v>479</v>
      </c>
      <c r="C111" t="s">
        <v>749</v>
      </c>
      <c r="D111" t="s">
        <v>750</v>
      </c>
      <c r="AC111">
        <v>21.9</v>
      </c>
      <c r="AF111">
        <v>21.6</v>
      </c>
      <c r="AI111">
        <v>21.4</v>
      </c>
      <c r="AL111">
        <v>21.2</v>
      </c>
      <c r="AO111">
        <v>20.9</v>
      </c>
      <c r="AQ111">
        <v>21.4</v>
      </c>
      <c r="AR111">
        <v>21.2</v>
      </c>
      <c r="AS111">
        <v>21.4</v>
      </c>
      <c r="AT111">
        <v>21.3</v>
      </c>
      <c r="AU111">
        <v>21.1</v>
      </c>
      <c r="AV111">
        <v>21.8</v>
      </c>
      <c r="AW111">
        <v>21.6</v>
      </c>
      <c r="AX111">
        <v>21.6</v>
      </c>
      <c r="AY111">
        <v>21.6</v>
      </c>
      <c r="AZ111">
        <v>21.4</v>
      </c>
      <c r="BA111">
        <v>21.5</v>
      </c>
      <c r="BB111">
        <v>21.2</v>
      </c>
      <c r="BC111">
        <v>21.7</v>
      </c>
      <c r="BD111">
        <v>20.9</v>
      </c>
      <c r="BE111">
        <v>20.9</v>
      </c>
      <c r="BF111">
        <v>20.7</v>
      </c>
      <c r="BG111">
        <v>20.8</v>
      </c>
      <c r="BH111">
        <v>20.5</v>
      </c>
      <c r="BI111">
        <v>21.7</v>
      </c>
      <c r="BJ111">
        <v>22</v>
      </c>
      <c r="BK111">
        <v>22</v>
      </c>
      <c r="BL111">
        <v>22.1</v>
      </c>
      <c r="BM111">
        <v>22</v>
      </c>
      <c r="BN111">
        <v>21.7</v>
      </c>
      <c r="BO111">
        <v>21.1</v>
      </c>
      <c r="BP111">
        <v>20.7</v>
      </c>
      <c r="BQ111">
        <v>21</v>
      </c>
    </row>
    <row r="112" spans="1:69" x14ac:dyDescent="0.35">
      <c r="A112" t="s">
        <v>731</v>
      </c>
      <c r="B112" t="s">
        <v>675</v>
      </c>
      <c r="C112" t="s">
        <v>749</v>
      </c>
      <c r="D112" t="s">
        <v>750</v>
      </c>
    </row>
    <row r="113" spans="1:68" x14ac:dyDescent="0.35">
      <c r="A113" t="s">
        <v>303</v>
      </c>
      <c r="B113" t="s">
        <v>117</v>
      </c>
      <c r="C113" t="s">
        <v>749</v>
      </c>
      <c r="D113" t="s">
        <v>750</v>
      </c>
    </row>
    <row r="114" spans="1:68" x14ac:dyDescent="0.35">
      <c r="A114" t="s">
        <v>208</v>
      </c>
      <c r="B114" t="s">
        <v>596</v>
      </c>
      <c r="C114" t="s">
        <v>749</v>
      </c>
      <c r="D114" t="s">
        <v>750</v>
      </c>
      <c r="V114">
        <v>21.6</v>
      </c>
      <c r="AB114">
        <v>22.2</v>
      </c>
      <c r="AF114">
        <v>21.8</v>
      </c>
      <c r="AL114">
        <v>21.8</v>
      </c>
      <c r="AW114">
        <v>21.4</v>
      </c>
      <c r="BB114">
        <v>21.4</v>
      </c>
      <c r="BD114">
        <v>21.4</v>
      </c>
      <c r="BO114">
        <v>21.9</v>
      </c>
    </row>
    <row r="115" spans="1:68" x14ac:dyDescent="0.35">
      <c r="A115" t="s">
        <v>520</v>
      </c>
      <c r="B115" t="s">
        <v>376</v>
      </c>
      <c r="C115" t="s">
        <v>749</v>
      </c>
      <c r="D115" t="s">
        <v>750</v>
      </c>
    </row>
    <row r="116" spans="1:68" x14ac:dyDescent="0.35">
      <c r="A116" t="s">
        <v>106</v>
      </c>
      <c r="B116" t="s">
        <v>58</v>
      </c>
      <c r="C116" t="s">
        <v>749</v>
      </c>
      <c r="D116" t="s">
        <v>750</v>
      </c>
      <c r="AF116">
        <v>22.4</v>
      </c>
      <c r="AM116">
        <v>21.8</v>
      </c>
      <c r="AN116">
        <v>22</v>
      </c>
      <c r="AO116">
        <v>22.1</v>
      </c>
      <c r="AS116">
        <v>22.2</v>
      </c>
      <c r="AU116">
        <v>22.7</v>
      </c>
      <c r="AV116">
        <v>22.3</v>
      </c>
      <c r="AW116">
        <v>22.3</v>
      </c>
      <c r="AX116">
        <v>21.9</v>
      </c>
      <c r="AY116">
        <v>22.5</v>
      </c>
      <c r="AZ116">
        <v>22.3</v>
      </c>
      <c r="BA116">
        <v>22.6</v>
      </c>
      <c r="BB116">
        <v>22.3</v>
      </c>
      <c r="BC116">
        <v>22.6</v>
      </c>
      <c r="BD116">
        <v>22.5</v>
      </c>
      <c r="BE116">
        <v>22.3</v>
      </c>
      <c r="BF116">
        <v>22.2</v>
      </c>
      <c r="BG116">
        <v>22.5</v>
      </c>
      <c r="BH116">
        <v>22.1</v>
      </c>
      <c r="BI116">
        <v>22</v>
      </c>
      <c r="BJ116">
        <v>22.1</v>
      </c>
      <c r="BK116">
        <v>21.9</v>
      </c>
      <c r="BL116">
        <v>22.1</v>
      </c>
      <c r="BM116">
        <v>22.3</v>
      </c>
      <c r="BN116">
        <v>22.1</v>
      </c>
      <c r="BO116">
        <v>22.2</v>
      </c>
      <c r="BP116">
        <v>22</v>
      </c>
    </row>
    <row r="117" spans="1:68" x14ac:dyDescent="0.35">
      <c r="A117" t="s">
        <v>420</v>
      </c>
      <c r="B117" t="s">
        <v>182</v>
      </c>
      <c r="C117" t="s">
        <v>749</v>
      </c>
      <c r="D117" t="s">
        <v>750</v>
      </c>
      <c r="AE117">
        <v>20.7</v>
      </c>
      <c r="AI117">
        <v>21.4</v>
      </c>
      <c r="AM117">
        <v>21.4</v>
      </c>
      <c r="AQ117">
        <v>21.5</v>
      </c>
      <c r="AX117">
        <v>21.3</v>
      </c>
      <c r="AY117">
        <v>21.4</v>
      </c>
      <c r="BB117">
        <v>22.3</v>
      </c>
      <c r="BD117">
        <v>22.5</v>
      </c>
      <c r="BE117">
        <v>22.2</v>
      </c>
      <c r="BF117">
        <v>22.2</v>
      </c>
      <c r="BG117">
        <v>22.2</v>
      </c>
      <c r="BH117">
        <v>22</v>
      </c>
      <c r="BI117">
        <v>21.9</v>
      </c>
      <c r="BJ117">
        <v>22.1</v>
      </c>
      <c r="BK117">
        <v>21.9</v>
      </c>
      <c r="BL117">
        <v>22.1</v>
      </c>
      <c r="BM117">
        <v>22.3</v>
      </c>
      <c r="BN117">
        <v>22.5</v>
      </c>
      <c r="BO117">
        <v>22.4</v>
      </c>
      <c r="BP117">
        <v>22</v>
      </c>
    </row>
    <row r="118" spans="1:68" x14ac:dyDescent="0.35">
      <c r="A118" t="s">
        <v>0</v>
      </c>
      <c r="B118" t="s">
        <v>539</v>
      </c>
      <c r="C118" t="s">
        <v>749</v>
      </c>
      <c r="D118" t="s">
        <v>750</v>
      </c>
      <c r="AY118">
        <v>22.1</v>
      </c>
      <c r="BE118">
        <v>22.5</v>
      </c>
      <c r="BP118">
        <v>22.3</v>
      </c>
    </row>
    <row r="119" spans="1:68" x14ac:dyDescent="0.35">
      <c r="A119" t="s">
        <v>29</v>
      </c>
      <c r="B119" t="s">
        <v>146</v>
      </c>
      <c r="C119" t="s">
        <v>749</v>
      </c>
      <c r="D119" t="s">
        <v>750</v>
      </c>
      <c r="AV119">
        <v>22</v>
      </c>
      <c r="AW119">
        <v>21.8</v>
      </c>
      <c r="AX119">
        <v>21.6</v>
      </c>
      <c r="AY119">
        <v>21.5</v>
      </c>
      <c r="AZ119">
        <v>21.6</v>
      </c>
      <c r="BA119">
        <v>21.2</v>
      </c>
      <c r="BB119">
        <v>21.8</v>
      </c>
      <c r="BC119">
        <v>22.1</v>
      </c>
      <c r="BD119">
        <v>22.4</v>
      </c>
      <c r="BE119">
        <v>22.3</v>
      </c>
      <c r="BF119">
        <v>22.5</v>
      </c>
      <c r="BG119">
        <v>21.9</v>
      </c>
      <c r="BH119">
        <v>22.2</v>
      </c>
      <c r="BI119">
        <v>22.3</v>
      </c>
      <c r="BJ119">
        <v>22.3</v>
      </c>
      <c r="BK119">
        <v>22.6</v>
      </c>
      <c r="BL119">
        <v>22.2</v>
      </c>
    </row>
    <row r="120" spans="1:68" x14ac:dyDescent="0.35">
      <c r="A120" t="s">
        <v>486</v>
      </c>
      <c r="B120" t="s">
        <v>671</v>
      </c>
      <c r="C120" t="s">
        <v>749</v>
      </c>
      <c r="D120" t="s">
        <v>750</v>
      </c>
      <c r="X120">
        <v>23.5</v>
      </c>
      <c r="AE120">
        <v>23.4</v>
      </c>
      <c r="AK120">
        <v>23</v>
      </c>
      <c r="AP120">
        <v>23</v>
      </c>
      <c r="AT120">
        <v>23.1</v>
      </c>
      <c r="AU120">
        <v>23.3</v>
      </c>
      <c r="AV120">
        <v>23.4</v>
      </c>
      <c r="AW120">
        <v>23.7</v>
      </c>
      <c r="AX120">
        <v>23.2</v>
      </c>
      <c r="AY120">
        <v>23.4</v>
      </c>
      <c r="AZ120">
        <v>23.5</v>
      </c>
      <c r="BA120">
        <v>23.4</v>
      </c>
      <c r="BB120">
        <v>23.6</v>
      </c>
      <c r="BC120">
        <v>23</v>
      </c>
      <c r="BD120">
        <v>23.7</v>
      </c>
      <c r="BE120">
        <v>23.6</v>
      </c>
      <c r="BF120">
        <v>23.6</v>
      </c>
      <c r="BG120">
        <v>23.6</v>
      </c>
      <c r="BH120">
        <v>23.5</v>
      </c>
      <c r="BI120">
        <v>23.7</v>
      </c>
      <c r="BJ120">
        <v>24.1</v>
      </c>
      <c r="BK120">
        <v>23.7</v>
      </c>
      <c r="BL120">
        <v>23.9</v>
      </c>
      <c r="BM120">
        <v>23.9</v>
      </c>
      <c r="BN120">
        <v>23.8</v>
      </c>
    </row>
    <row r="121" spans="1:68" x14ac:dyDescent="0.35">
      <c r="A121" t="s">
        <v>175</v>
      </c>
      <c r="B121" t="s">
        <v>565</v>
      </c>
      <c r="C121" t="s">
        <v>749</v>
      </c>
      <c r="D121" t="s">
        <v>750</v>
      </c>
      <c r="V121">
        <v>22.9</v>
      </c>
      <c r="W121">
        <v>23.1</v>
      </c>
      <c r="X121">
        <v>23.3</v>
      </c>
      <c r="Y121">
        <v>23</v>
      </c>
      <c r="Z121">
        <v>22.8</v>
      </c>
      <c r="AA121">
        <v>23.3</v>
      </c>
      <c r="AB121">
        <v>23.4</v>
      </c>
      <c r="AC121">
        <v>23.4</v>
      </c>
      <c r="AE121">
        <v>23.5</v>
      </c>
      <c r="AF121">
        <v>23.7</v>
      </c>
      <c r="AH121">
        <v>23.1</v>
      </c>
      <c r="AJ121">
        <v>23.2</v>
      </c>
      <c r="AL121">
        <v>23.5</v>
      </c>
      <c r="AN121">
        <v>23.5</v>
      </c>
      <c r="AQ121">
        <v>22.8</v>
      </c>
      <c r="AS121">
        <v>23.1</v>
      </c>
      <c r="AU121">
        <v>23.2</v>
      </c>
      <c r="AV121">
        <v>22.6</v>
      </c>
      <c r="AW121">
        <v>22.6</v>
      </c>
      <c r="AX121">
        <v>23</v>
      </c>
      <c r="AY121">
        <v>22.8</v>
      </c>
      <c r="AZ121">
        <v>23</v>
      </c>
      <c r="BA121">
        <v>22.8</v>
      </c>
      <c r="BB121">
        <v>23</v>
      </c>
      <c r="BC121">
        <v>22.8</v>
      </c>
      <c r="BD121">
        <v>22.8</v>
      </c>
      <c r="BE121">
        <v>22.8</v>
      </c>
      <c r="BF121">
        <v>23.1</v>
      </c>
      <c r="BG121">
        <v>23.3</v>
      </c>
      <c r="BH121">
        <v>23.4</v>
      </c>
      <c r="BI121">
        <v>23.2</v>
      </c>
      <c r="BJ121">
        <v>23</v>
      </c>
      <c r="BK121">
        <v>23.2</v>
      </c>
      <c r="BL121">
        <v>23.1</v>
      </c>
      <c r="BM121">
        <v>23.1</v>
      </c>
      <c r="BN121">
        <v>22.9</v>
      </c>
      <c r="BO121">
        <v>23.2</v>
      </c>
      <c r="BP121">
        <v>23.1</v>
      </c>
    </row>
    <row r="122" spans="1:68" x14ac:dyDescent="0.35">
      <c r="A122" t="s">
        <v>127</v>
      </c>
      <c r="B122" t="s">
        <v>702</v>
      </c>
      <c r="C122" t="s">
        <v>749</v>
      </c>
      <c r="D122" t="s">
        <v>750</v>
      </c>
      <c r="AG122">
        <v>21.2</v>
      </c>
      <c r="AI122">
        <v>21.3</v>
      </c>
      <c r="AL122">
        <v>22.4</v>
      </c>
      <c r="AO122">
        <v>20.6</v>
      </c>
      <c r="AR122">
        <v>20.2</v>
      </c>
      <c r="AU122">
        <v>20.100000000000001</v>
      </c>
      <c r="AW122">
        <v>20.7</v>
      </c>
      <c r="BK122">
        <v>22.1</v>
      </c>
      <c r="BN122">
        <v>22.8</v>
      </c>
    </row>
    <row r="123" spans="1:68" x14ac:dyDescent="0.35">
      <c r="A123" t="s">
        <v>575</v>
      </c>
      <c r="B123" t="s">
        <v>311</v>
      </c>
      <c r="C123" t="s">
        <v>749</v>
      </c>
      <c r="D123" t="s">
        <v>750</v>
      </c>
      <c r="AE123">
        <v>22.1</v>
      </c>
      <c r="AK123">
        <v>20.5</v>
      </c>
      <c r="AP123">
        <v>21.1</v>
      </c>
      <c r="AU123">
        <v>21.3</v>
      </c>
      <c r="AY123">
        <v>21.5</v>
      </c>
      <c r="BA123">
        <v>21.5</v>
      </c>
      <c r="BC123">
        <v>21.5</v>
      </c>
    </row>
    <row r="124" spans="1:68" x14ac:dyDescent="0.35">
      <c r="A124" t="s">
        <v>734</v>
      </c>
      <c r="B124" t="s">
        <v>566</v>
      </c>
      <c r="C124" t="s">
        <v>749</v>
      </c>
      <c r="D124" t="s">
        <v>750</v>
      </c>
      <c r="BA124">
        <v>23.1</v>
      </c>
      <c r="BB124">
        <v>23</v>
      </c>
      <c r="BC124">
        <v>23.3</v>
      </c>
      <c r="BD124">
        <v>23.2</v>
      </c>
      <c r="BE124">
        <v>23.2</v>
      </c>
      <c r="BF124">
        <v>23.4</v>
      </c>
      <c r="BG124">
        <v>23.2</v>
      </c>
      <c r="BH124">
        <v>23.2</v>
      </c>
      <c r="BI124">
        <v>23.4</v>
      </c>
      <c r="BJ124">
        <v>23.4</v>
      </c>
      <c r="BK124">
        <v>23.2</v>
      </c>
      <c r="BL124">
        <v>23.3</v>
      </c>
      <c r="BM124">
        <v>23.3</v>
      </c>
    </row>
    <row r="125" spans="1:68" x14ac:dyDescent="0.35">
      <c r="A125" t="s">
        <v>84</v>
      </c>
      <c r="B125" t="s">
        <v>292</v>
      </c>
      <c r="C125" t="s">
        <v>749</v>
      </c>
      <c r="D125" t="s">
        <v>750</v>
      </c>
      <c r="AL125">
        <v>22.9</v>
      </c>
      <c r="AO125">
        <v>23.2</v>
      </c>
      <c r="AT125">
        <v>22.8</v>
      </c>
      <c r="AU125">
        <v>22.5</v>
      </c>
      <c r="AV125">
        <v>22.8</v>
      </c>
      <c r="AW125">
        <v>22.5</v>
      </c>
      <c r="AX125">
        <v>22.5</v>
      </c>
      <c r="AY125">
        <v>21.9</v>
      </c>
      <c r="AZ125">
        <v>22</v>
      </c>
      <c r="BA125">
        <v>22.1</v>
      </c>
      <c r="BB125">
        <v>22.4</v>
      </c>
      <c r="BC125">
        <v>22.3</v>
      </c>
      <c r="BD125">
        <v>22.4</v>
      </c>
      <c r="BE125">
        <v>22.5</v>
      </c>
      <c r="BF125">
        <v>22.3</v>
      </c>
      <c r="BG125">
        <v>22.2</v>
      </c>
      <c r="BH125">
        <v>22.2</v>
      </c>
      <c r="BI125">
        <v>22.2</v>
      </c>
      <c r="BJ125">
        <v>22.1</v>
      </c>
      <c r="BK125">
        <v>21.9</v>
      </c>
      <c r="BL125">
        <v>21.8</v>
      </c>
      <c r="BM125">
        <v>21.7</v>
      </c>
      <c r="BN125">
        <v>21.5</v>
      </c>
    </row>
    <row r="126" spans="1:68" x14ac:dyDescent="0.35">
      <c r="A126" t="s">
        <v>739</v>
      </c>
      <c r="B126" t="s">
        <v>696</v>
      </c>
      <c r="C126" t="s">
        <v>749</v>
      </c>
      <c r="D126" t="s">
        <v>750</v>
      </c>
      <c r="AK126">
        <v>17.5</v>
      </c>
      <c r="AM126">
        <v>21.3</v>
      </c>
      <c r="AP126">
        <v>20.2</v>
      </c>
      <c r="AX126">
        <v>20.399999999999999</v>
      </c>
      <c r="BH126">
        <v>21.5</v>
      </c>
      <c r="BM126">
        <v>21.8</v>
      </c>
      <c r="BN126">
        <v>20.6</v>
      </c>
      <c r="BO126">
        <v>21.3</v>
      </c>
    </row>
    <row r="127" spans="1:68" x14ac:dyDescent="0.35">
      <c r="A127" t="s">
        <v>470</v>
      </c>
      <c r="B127" t="s">
        <v>423</v>
      </c>
      <c r="C127" t="s">
        <v>749</v>
      </c>
      <c r="D127" t="s">
        <v>750</v>
      </c>
      <c r="AQ127">
        <v>21.5</v>
      </c>
      <c r="AS127">
        <v>22.1</v>
      </c>
      <c r="AT127">
        <v>22.5</v>
      </c>
      <c r="AU127">
        <v>22.6</v>
      </c>
      <c r="AV127">
        <v>22.5</v>
      </c>
      <c r="AW127">
        <v>22.1</v>
      </c>
      <c r="AX127">
        <v>21.9</v>
      </c>
      <c r="AY127">
        <v>21.8</v>
      </c>
      <c r="AZ127">
        <v>22.4</v>
      </c>
      <c r="BA127">
        <v>22.3</v>
      </c>
      <c r="BB127">
        <v>21.9</v>
      </c>
      <c r="BC127">
        <v>22</v>
      </c>
      <c r="BD127">
        <v>22</v>
      </c>
      <c r="BE127">
        <v>21.9</v>
      </c>
      <c r="BF127">
        <v>22.1</v>
      </c>
      <c r="BG127">
        <v>22</v>
      </c>
      <c r="BH127">
        <v>21.5</v>
      </c>
      <c r="BI127">
        <v>21.8</v>
      </c>
      <c r="BJ127">
        <v>21.9</v>
      </c>
      <c r="BK127">
        <v>21.8</v>
      </c>
      <c r="BL127">
        <v>21.2</v>
      </c>
      <c r="BM127">
        <v>22.1</v>
      </c>
      <c r="BN127">
        <v>21.9</v>
      </c>
      <c r="BO127">
        <v>22.5</v>
      </c>
      <c r="BP127">
        <v>22</v>
      </c>
    </row>
    <row r="128" spans="1:68" x14ac:dyDescent="0.35">
      <c r="A128" t="s">
        <v>674</v>
      </c>
      <c r="B128" t="s">
        <v>709</v>
      </c>
      <c r="C128" t="s">
        <v>749</v>
      </c>
      <c r="D128" t="s">
        <v>750</v>
      </c>
    </row>
    <row r="129" spans="1:67" x14ac:dyDescent="0.35">
      <c r="A129" t="s">
        <v>635</v>
      </c>
      <c r="B129" t="s">
        <v>527</v>
      </c>
      <c r="C129" t="s">
        <v>749</v>
      </c>
      <c r="D129" t="s">
        <v>750</v>
      </c>
      <c r="AY129">
        <v>21.9</v>
      </c>
      <c r="BL129">
        <v>22.5</v>
      </c>
    </row>
    <row r="130" spans="1:67" x14ac:dyDescent="0.35">
      <c r="A130" t="s">
        <v>168</v>
      </c>
      <c r="B130" t="s">
        <v>393</v>
      </c>
      <c r="C130" t="s">
        <v>749</v>
      </c>
      <c r="D130" t="s">
        <v>750</v>
      </c>
    </row>
    <row r="131" spans="1:67" x14ac:dyDescent="0.35">
      <c r="A131" t="s">
        <v>197</v>
      </c>
      <c r="B131" t="s">
        <v>667</v>
      </c>
      <c r="C131" t="s">
        <v>749</v>
      </c>
      <c r="D131" t="s">
        <v>750</v>
      </c>
      <c r="AY131">
        <v>23.2</v>
      </c>
      <c r="BA131">
        <v>23.2</v>
      </c>
      <c r="BC131">
        <v>23.2</v>
      </c>
      <c r="BE131">
        <v>23.3</v>
      </c>
      <c r="BG131">
        <v>23.2</v>
      </c>
      <c r="BI131">
        <v>23.1</v>
      </c>
      <c r="BJ131">
        <v>23.1</v>
      </c>
      <c r="BK131">
        <v>23.4</v>
      </c>
      <c r="BL131">
        <v>23.1</v>
      </c>
      <c r="BM131">
        <v>23</v>
      </c>
      <c r="BN131">
        <v>23.2</v>
      </c>
    </row>
    <row r="132" spans="1:67" x14ac:dyDescent="0.35">
      <c r="A132" t="s">
        <v>724</v>
      </c>
      <c r="B132" t="s">
        <v>509</v>
      </c>
      <c r="C132" t="s">
        <v>749</v>
      </c>
      <c r="D132" t="s">
        <v>750</v>
      </c>
    </row>
    <row r="133" spans="1:67" x14ac:dyDescent="0.35">
      <c r="A133" t="s">
        <v>287</v>
      </c>
      <c r="B133" t="s">
        <v>522</v>
      </c>
      <c r="C133" t="s">
        <v>749</v>
      </c>
      <c r="D133" t="s">
        <v>750</v>
      </c>
    </row>
    <row r="134" spans="1:67" x14ac:dyDescent="0.35">
      <c r="A134" t="s">
        <v>574</v>
      </c>
      <c r="B134" t="s">
        <v>245</v>
      </c>
      <c r="C134" t="s">
        <v>749</v>
      </c>
      <c r="D134" t="s">
        <v>750</v>
      </c>
      <c r="AK134">
        <v>21.4</v>
      </c>
      <c r="AP134">
        <v>20.7</v>
      </c>
      <c r="AU134">
        <v>21.3</v>
      </c>
      <c r="AZ134">
        <v>20.9</v>
      </c>
      <c r="BE134">
        <v>21.3</v>
      </c>
      <c r="BK134">
        <v>21</v>
      </c>
    </row>
    <row r="135" spans="1:67" x14ac:dyDescent="0.35">
      <c r="A135" t="s">
        <v>446</v>
      </c>
      <c r="B135" t="s">
        <v>264</v>
      </c>
      <c r="C135" t="s">
        <v>749</v>
      </c>
      <c r="D135" t="s">
        <v>750</v>
      </c>
      <c r="BD135">
        <v>22.6</v>
      </c>
      <c r="BO135">
        <v>23.8</v>
      </c>
    </row>
    <row r="136" spans="1:67" x14ac:dyDescent="0.35">
      <c r="A136" t="s">
        <v>248</v>
      </c>
      <c r="B136" t="s">
        <v>662</v>
      </c>
      <c r="C136" t="s">
        <v>749</v>
      </c>
      <c r="D136" t="s">
        <v>750</v>
      </c>
      <c r="AZ136">
        <v>22</v>
      </c>
      <c r="BG136">
        <v>22.2</v>
      </c>
      <c r="BI136">
        <v>22.3</v>
      </c>
    </row>
    <row r="137" spans="1:67" x14ac:dyDescent="0.35">
      <c r="A137" t="s">
        <v>555</v>
      </c>
      <c r="B137" t="s">
        <v>666</v>
      </c>
      <c r="C137" t="s">
        <v>749</v>
      </c>
      <c r="D137" t="s">
        <v>750</v>
      </c>
    </row>
    <row r="138" spans="1:67" x14ac:dyDescent="0.35">
      <c r="A138" t="s">
        <v>515</v>
      </c>
      <c r="B138" t="s">
        <v>383</v>
      </c>
      <c r="C138" t="s">
        <v>749</v>
      </c>
      <c r="D138" t="s">
        <v>750</v>
      </c>
      <c r="AN138">
        <v>21.8</v>
      </c>
      <c r="BH138">
        <v>20.7</v>
      </c>
    </row>
    <row r="139" spans="1:67" x14ac:dyDescent="0.35">
      <c r="A139" t="s">
        <v>605</v>
      </c>
      <c r="B139" t="s">
        <v>178</v>
      </c>
      <c r="C139" t="s">
        <v>749</v>
      </c>
      <c r="D139" t="s">
        <v>750</v>
      </c>
    </row>
    <row r="140" spans="1:67" x14ac:dyDescent="0.35">
      <c r="A140" t="s">
        <v>284</v>
      </c>
      <c r="B140" t="s">
        <v>589</v>
      </c>
      <c r="C140" t="s">
        <v>749</v>
      </c>
      <c r="D140" t="s">
        <v>750</v>
      </c>
    </row>
    <row r="141" spans="1:67" x14ac:dyDescent="0.35">
      <c r="A141" t="s">
        <v>649</v>
      </c>
      <c r="B141" t="s">
        <v>70</v>
      </c>
      <c r="C141" t="s">
        <v>749</v>
      </c>
      <c r="D141" t="s">
        <v>750</v>
      </c>
    </row>
    <row r="142" spans="1:67" x14ac:dyDescent="0.35">
      <c r="A142" t="s">
        <v>615</v>
      </c>
      <c r="B142" t="s">
        <v>356</v>
      </c>
      <c r="C142" t="s">
        <v>749</v>
      </c>
      <c r="D142" t="s">
        <v>750</v>
      </c>
    </row>
    <row r="143" spans="1:67" x14ac:dyDescent="0.35">
      <c r="A143" t="s">
        <v>3</v>
      </c>
      <c r="B143" t="s">
        <v>687</v>
      </c>
      <c r="C143" t="s">
        <v>749</v>
      </c>
      <c r="D143" t="s">
        <v>750</v>
      </c>
      <c r="AD143">
        <v>21.8</v>
      </c>
      <c r="AI143">
        <v>21</v>
      </c>
      <c r="AN143">
        <v>21.1</v>
      </c>
      <c r="AU143">
        <v>20.399999999999999</v>
      </c>
      <c r="AY143">
        <v>20.5</v>
      </c>
      <c r="BB143">
        <v>21</v>
      </c>
      <c r="BE143">
        <v>20.5</v>
      </c>
      <c r="BI143">
        <v>20.3</v>
      </c>
      <c r="BL143">
        <v>20.8</v>
      </c>
    </row>
    <row r="144" spans="1:67" x14ac:dyDescent="0.35">
      <c r="A144" t="s">
        <v>374</v>
      </c>
      <c r="B144" t="s">
        <v>225</v>
      </c>
      <c r="C144" t="s">
        <v>749</v>
      </c>
      <c r="D144" t="s">
        <v>750</v>
      </c>
    </row>
    <row r="145" spans="1:68" x14ac:dyDescent="0.35">
      <c r="A145" t="s">
        <v>329</v>
      </c>
      <c r="B145" t="s">
        <v>306</v>
      </c>
      <c r="C145" t="s">
        <v>749</v>
      </c>
      <c r="D145" t="s">
        <v>750</v>
      </c>
    </row>
    <row r="146" spans="1:68" x14ac:dyDescent="0.35">
      <c r="A146" t="s">
        <v>502</v>
      </c>
      <c r="B146" t="s">
        <v>259</v>
      </c>
      <c r="C146" t="s">
        <v>749</v>
      </c>
      <c r="D146" t="s">
        <v>750</v>
      </c>
      <c r="AE146">
        <v>19.5</v>
      </c>
      <c r="AM146">
        <v>18.8</v>
      </c>
      <c r="AU146">
        <v>21.3</v>
      </c>
      <c r="BJ146">
        <v>22.6</v>
      </c>
    </row>
    <row r="147" spans="1:68" x14ac:dyDescent="0.35">
      <c r="A147" t="s">
        <v>416</v>
      </c>
      <c r="B147" t="s">
        <v>722</v>
      </c>
      <c r="C147" t="s">
        <v>749</v>
      </c>
      <c r="D147" t="s">
        <v>750</v>
      </c>
    </row>
    <row r="148" spans="1:68" x14ac:dyDescent="0.35">
      <c r="A148" t="s">
        <v>424</v>
      </c>
      <c r="B148" t="s">
        <v>114</v>
      </c>
      <c r="C148" t="s">
        <v>749</v>
      </c>
      <c r="D148" t="s">
        <v>750</v>
      </c>
      <c r="AL148">
        <v>21.4</v>
      </c>
      <c r="AO148">
        <v>22.3</v>
      </c>
      <c r="AQ148">
        <v>22.5</v>
      </c>
      <c r="AR148">
        <v>22.5</v>
      </c>
      <c r="AS148">
        <v>22.7</v>
      </c>
      <c r="AT148">
        <v>22.8</v>
      </c>
      <c r="AU148">
        <v>22.7</v>
      </c>
      <c r="AV148">
        <v>21.9</v>
      </c>
      <c r="AW148">
        <v>22.2</v>
      </c>
      <c r="AX148">
        <v>22</v>
      </c>
      <c r="AY148">
        <v>22.1</v>
      </c>
      <c r="AZ148">
        <v>22.4</v>
      </c>
      <c r="BA148">
        <v>22.1</v>
      </c>
      <c r="BB148">
        <v>22.7</v>
      </c>
      <c r="BC148">
        <v>23.2</v>
      </c>
      <c r="BD148">
        <v>23</v>
      </c>
      <c r="BE148">
        <v>22.6</v>
      </c>
      <c r="BF148">
        <v>22.4</v>
      </c>
      <c r="BG148">
        <v>22.3</v>
      </c>
      <c r="BH148">
        <v>22.1</v>
      </c>
      <c r="BI148">
        <v>21.8</v>
      </c>
      <c r="BJ148">
        <v>22.3</v>
      </c>
      <c r="BK148">
        <v>22.4</v>
      </c>
      <c r="BL148">
        <v>22.1</v>
      </c>
      <c r="BM148">
        <v>21.5</v>
      </c>
      <c r="BN148">
        <v>21.6</v>
      </c>
      <c r="BO148">
        <v>22</v>
      </c>
      <c r="BP148">
        <v>22.4</v>
      </c>
    </row>
    <row r="149" spans="1:68" x14ac:dyDescent="0.35">
      <c r="A149" t="s">
        <v>301</v>
      </c>
      <c r="B149" t="s">
        <v>546</v>
      </c>
      <c r="C149" t="s">
        <v>749</v>
      </c>
      <c r="D149" t="s">
        <v>750</v>
      </c>
      <c r="AD149">
        <v>22.7</v>
      </c>
      <c r="AE149">
        <v>22.5</v>
      </c>
      <c r="AF149">
        <v>22.2</v>
      </c>
      <c r="AG149">
        <v>22.3</v>
      </c>
      <c r="AH149">
        <v>21.5</v>
      </c>
      <c r="AI149">
        <v>22.4</v>
      </c>
      <c r="AJ149">
        <v>22.7</v>
      </c>
      <c r="AK149">
        <v>22.6</v>
      </c>
      <c r="AL149">
        <v>22.5</v>
      </c>
      <c r="AM149">
        <v>22.7</v>
      </c>
      <c r="AN149">
        <v>22.8</v>
      </c>
      <c r="AO149">
        <v>22.7</v>
      </c>
      <c r="AP149">
        <v>22.8</v>
      </c>
      <c r="AQ149">
        <v>22.7</v>
      </c>
      <c r="AR149">
        <v>22.8</v>
      </c>
      <c r="AS149">
        <v>22.7</v>
      </c>
      <c r="AT149">
        <v>22.4</v>
      </c>
      <c r="AU149">
        <v>22.3</v>
      </c>
      <c r="AV149">
        <v>22.8</v>
      </c>
      <c r="AW149">
        <v>22.6</v>
      </c>
      <c r="AX149">
        <v>22.3</v>
      </c>
      <c r="AY149">
        <v>22.4</v>
      </c>
      <c r="AZ149">
        <v>22.1</v>
      </c>
      <c r="BA149">
        <v>22.1</v>
      </c>
      <c r="BB149">
        <v>23</v>
      </c>
      <c r="BC149">
        <v>22.9</v>
      </c>
      <c r="BD149">
        <v>23</v>
      </c>
      <c r="BE149">
        <v>22.7</v>
      </c>
      <c r="BF149">
        <v>23.2</v>
      </c>
      <c r="BG149">
        <v>22.9</v>
      </c>
      <c r="BH149">
        <v>23</v>
      </c>
      <c r="BI149">
        <v>23.3</v>
      </c>
      <c r="BJ149">
        <v>23.2</v>
      </c>
      <c r="BK149">
        <v>22.8</v>
      </c>
      <c r="BL149">
        <v>23</v>
      </c>
      <c r="BM149">
        <v>23.3</v>
      </c>
      <c r="BN149">
        <v>23.1</v>
      </c>
      <c r="BO149">
        <v>23.1</v>
      </c>
      <c r="BP149">
        <v>23.2</v>
      </c>
    </row>
    <row r="150" spans="1:68" x14ac:dyDescent="0.35">
      <c r="A150" t="s">
        <v>277</v>
      </c>
      <c r="B150" t="s">
        <v>471</v>
      </c>
      <c r="C150" t="s">
        <v>749</v>
      </c>
      <c r="D150" t="s">
        <v>750</v>
      </c>
      <c r="AL150">
        <v>22.6</v>
      </c>
      <c r="AN150">
        <v>22.1</v>
      </c>
      <c r="AO150">
        <v>22</v>
      </c>
      <c r="AP150">
        <v>22.5</v>
      </c>
      <c r="AQ150">
        <v>22.2</v>
      </c>
      <c r="AU150">
        <v>22.2</v>
      </c>
      <c r="AV150">
        <v>21.9</v>
      </c>
      <c r="AW150">
        <v>21.9</v>
      </c>
      <c r="AX150">
        <v>22</v>
      </c>
      <c r="AY150">
        <v>22.8</v>
      </c>
      <c r="AZ150">
        <v>22.7</v>
      </c>
      <c r="BA150">
        <v>22.9</v>
      </c>
      <c r="BB150">
        <v>22.7</v>
      </c>
      <c r="BC150">
        <v>22.7</v>
      </c>
      <c r="BD150">
        <v>22.2</v>
      </c>
      <c r="BE150">
        <v>22.5</v>
      </c>
      <c r="BF150">
        <v>22.6</v>
      </c>
      <c r="BG150">
        <v>22.7</v>
      </c>
      <c r="BH150">
        <v>22.7</v>
      </c>
      <c r="BI150">
        <v>22.9</v>
      </c>
      <c r="BJ150">
        <v>22.8</v>
      </c>
      <c r="BK150">
        <v>22.6</v>
      </c>
      <c r="BL150">
        <v>22.3</v>
      </c>
      <c r="BM150">
        <v>22.3</v>
      </c>
      <c r="BN150">
        <v>22.7</v>
      </c>
      <c r="BO150">
        <v>22.7</v>
      </c>
      <c r="BP150">
        <v>22.4</v>
      </c>
    </row>
    <row r="151" spans="1:68" x14ac:dyDescent="0.35">
      <c r="A151" t="s">
        <v>578</v>
      </c>
      <c r="B151" t="s">
        <v>307</v>
      </c>
      <c r="C151" t="s">
        <v>749</v>
      </c>
      <c r="D151" t="s">
        <v>750</v>
      </c>
    </row>
    <row r="152" spans="1:68" x14ac:dyDescent="0.35">
      <c r="A152" t="s">
        <v>406</v>
      </c>
      <c r="B152" t="s">
        <v>475</v>
      </c>
      <c r="C152" t="s">
        <v>749</v>
      </c>
      <c r="D152" t="s">
        <v>750</v>
      </c>
    </row>
    <row r="153" spans="1:68" x14ac:dyDescent="0.35">
      <c r="A153" t="s">
        <v>37</v>
      </c>
      <c r="B153" t="s">
        <v>205</v>
      </c>
      <c r="C153" t="s">
        <v>749</v>
      </c>
      <c r="D153" t="s">
        <v>750</v>
      </c>
      <c r="AC153">
        <v>21.8</v>
      </c>
      <c r="AI153">
        <v>21.8</v>
      </c>
      <c r="AQ153">
        <v>21.5</v>
      </c>
      <c r="AS153">
        <v>21</v>
      </c>
      <c r="AY153">
        <v>20.5</v>
      </c>
      <c r="BF153">
        <v>20.9</v>
      </c>
    </row>
    <row r="154" spans="1:68" x14ac:dyDescent="0.35">
      <c r="A154" t="s">
        <v>414</v>
      </c>
      <c r="B154" t="s">
        <v>6</v>
      </c>
      <c r="C154" t="s">
        <v>749</v>
      </c>
      <c r="D154" t="s">
        <v>750</v>
      </c>
    </row>
    <row r="155" spans="1:68" x14ac:dyDescent="0.35">
      <c r="A155" t="s">
        <v>484</v>
      </c>
      <c r="B155" t="s">
        <v>88</v>
      </c>
      <c r="C155" t="s">
        <v>749</v>
      </c>
      <c r="D155" t="s">
        <v>750</v>
      </c>
      <c r="AP155">
        <v>22.5</v>
      </c>
      <c r="AQ155">
        <v>22</v>
      </c>
      <c r="AR155">
        <v>20.3</v>
      </c>
      <c r="AS155">
        <v>22</v>
      </c>
      <c r="AT155">
        <v>21.7</v>
      </c>
      <c r="AU155">
        <v>22.5</v>
      </c>
      <c r="AV155">
        <v>21.8</v>
      </c>
      <c r="AW155">
        <v>21.8</v>
      </c>
      <c r="AX155">
        <v>21.9</v>
      </c>
      <c r="AY155">
        <v>22.5</v>
      </c>
      <c r="AZ155">
        <v>22.4</v>
      </c>
      <c r="BA155">
        <v>22.2</v>
      </c>
      <c r="BB155">
        <v>23</v>
      </c>
      <c r="BC155">
        <v>22.4</v>
      </c>
      <c r="BD155">
        <v>22.4</v>
      </c>
      <c r="BE155">
        <v>22.3</v>
      </c>
      <c r="BF155">
        <v>22.5</v>
      </c>
      <c r="BG155">
        <v>22.5</v>
      </c>
      <c r="BH155">
        <v>22.3</v>
      </c>
      <c r="BI155">
        <v>21.9</v>
      </c>
      <c r="BJ155">
        <v>22.3</v>
      </c>
      <c r="BK155">
        <v>22.1</v>
      </c>
      <c r="BL155">
        <v>22.3</v>
      </c>
      <c r="BM155">
        <v>22.2</v>
      </c>
      <c r="BN155">
        <v>22.1</v>
      </c>
      <c r="BO155">
        <v>21.9</v>
      </c>
      <c r="BP155">
        <v>21.9</v>
      </c>
    </row>
    <row r="156" spans="1:68" x14ac:dyDescent="0.35">
      <c r="A156" t="s">
        <v>427</v>
      </c>
      <c r="B156" t="s">
        <v>17</v>
      </c>
      <c r="C156" t="s">
        <v>749</v>
      </c>
      <c r="D156" t="s">
        <v>750</v>
      </c>
      <c r="Y156">
        <v>20.399999999999999</v>
      </c>
      <c r="AL156">
        <v>19.600000000000001</v>
      </c>
      <c r="AP156">
        <v>21.9</v>
      </c>
      <c r="AR156">
        <v>22.6</v>
      </c>
      <c r="AT156">
        <v>20.399999999999999</v>
      </c>
      <c r="AX156">
        <v>20.5</v>
      </c>
      <c r="BC156">
        <v>20.100000000000001</v>
      </c>
      <c r="BE156">
        <v>20.7</v>
      </c>
      <c r="BN156">
        <v>21.2</v>
      </c>
    </row>
    <row r="157" spans="1:68" x14ac:dyDescent="0.35">
      <c r="A157" t="s">
        <v>228</v>
      </c>
      <c r="B157" t="s">
        <v>97</v>
      </c>
      <c r="C157" t="s">
        <v>749</v>
      </c>
      <c r="D157" t="s">
        <v>750</v>
      </c>
      <c r="AU157">
        <v>19.399999999999999</v>
      </c>
      <c r="BB157">
        <v>21.9</v>
      </c>
      <c r="BI157">
        <v>22.2</v>
      </c>
      <c r="BL157">
        <v>22.4</v>
      </c>
    </row>
    <row r="158" spans="1:68" x14ac:dyDescent="0.35">
      <c r="A158" t="s">
        <v>583</v>
      </c>
      <c r="B158" t="s">
        <v>164</v>
      </c>
      <c r="C158" t="s">
        <v>749</v>
      </c>
      <c r="D158" t="s">
        <v>750</v>
      </c>
    </row>
    <row r="159" spans="1:68" x14ac:dyDescent="0.35">
      <c r="A159" t="s">
        <v>246</v>
      </c>
      <c r="B159" t="s">
        <v>310</v>
      </c>
      <c r="C159" t="s">
        <v>749</v>
      </c>
      <c r="D159" t="s">
        <v>750</v>
      </c>
      <c r="AC159">
        <v>20.5</v>
      </c>
      <c r="AH159">
        <v>19.399999999999999</v>
      </c>
      <c r="AK159">
        <v>19</v>
      </c>
      <c r="AM159">
        <v>18.899999999999999</v>
      </c>
      <c r="AO159">
        <v>19.5</v>
      </c>
      <c r="AQ159">
        <v>19.600000000000001</v>
      </c>
      <c r="AS159">
        <v>19.100000000000001</v>
      </c>
      <c r="AU159">
        <v>19.600000000000001</v>
      </c>
      <c r="AW159">
        <v>19.600000000000001</v>
      </c>
      <c r="AX159">
        <v>19.7</v>
      </c>
      <c r="AY159">
        <v>19.5</v>
      </c>
      <c r="BA159">
        <v>19.899999999999999</v>
      </c>
      <c r="BC159">
        <v>20.399999999999999</v>
      </c>
      <c r="BE159">
        <v>19.5</v>
      </c>
      <c r="BG159">
        <v>19.3</v>
      </c>
      <c r="BI159">
        <v>19.899999999999999</v>
      </c>
      <c r="BK159">
        <v>20</v>
      </c>
      <c r="BM159">
        <v>20.6</v>
      </c>
      <c r="BO159">
        <v>20.7</v>
      </c>
    </row>
    <row r="160" spans="1:68" x14ac:dyDescent="0.35">
      <c r="A160" t="s">
        <v>707</v>
      </c>
      <c r="B160" t="s">
        <v>641</v>
      </c>
      <c r="C160" t="s">
        <v>749</v>
      </c>
      <c r="D160" t="s">
        <v>750</v>
      </c>
      <c r="BL160">
        <v>22.1</v>
      </c>
    </row>
    <row r="161" spans="1:67" x14ac:dyDescent="0.35">
      <c r="A161" t="s">
        <v>458</v>
      </c>
      <c r="B161" t="s">
        <v>600</v>
      </c>
      <c r="C161" t="s">
        <v>749</v>
      </c>
      <c r="D161" t="s">
        <v>750</v>
      </c>
    </row>
    <row r="162" spans="1:67" x14ac:dyDescent="0.35">
      <c r="A162" t="s">
        <v>123</v>
      </c>
      <c r="B162" t="s">
        <v>654</v>
      </c>
      <c r="C162" t="s">
        <v>749</v>
      </c>
      <c r="D162" t="s">
        <v>750</v>
      </c>
      <c r="AQ162">
        <v>22.9</v>
      </c>
      <c r="AS162">
        <v>23.2</v>
      </c>
      <c r="AU162">
        <v>22.4</v>
      </c>
      <c r="AV162">
        <v>22.2</v>
      </c>
      <c r="AW162">
        <v>22.5</v>
      </c>
      <c r="AX162">
        <v>22.9</v>
      </c>
      <c r="AY162">
        <v>21.6</v>
      </c>
      <c r="BA162">
        <v>20.7</v>
      </c>
      <c r="BB162">
        <v>23</v>
      </c>
      <c r="BC162">
        <v>24.4</v>
      </c>
      <c r="BD162">
        <v>24.4</v>
      </c>
      <c r="BE162">
        <v>24.1</v>
      </c>
      <c r="BF162">
        <v>24.2</v>
      </c>
      <c r="BG162">
        <v>24.2</v>
      </c>
      <c r="BH162">
        <v>24.2</v>
      </c>
      <c r="BI162">
        <v>24.3</v>
      </c>
      <c r="BJ162">
        <v>24.4</v>
      </c>
      <c r="BK162">
        <v>24.6</v>
      </c>
      <c r="BL162">
        <v>24.8</v>
      </c>
    </row>
    <row r="163" spans="1:67" x14ac:dyDescent="0.35">
      <c r="A163" t="s">
        <v>357</v>
      </c>
      <c r="B163" t="s">
        <v>612</v>
      </c>
      <c r="C163" t="s">
        <v>749</v>
      </c>
      <c r="D163" t="s">
        <v>750</v>
      </c>
      <c r="AM163">
        <v>19.3</v>
      </c>
      <c r="AT163">
        <v>22.2</v>
      </c>
      <c r="AY163">
        <v>21.6</v>
      </c>
      <c r="BB163">
        <v>22.5</v>
      </c>
      <c r="BK163">
        <v>22.1</v>
      </c>
      <c r="BN163">
        <v>21.6</v>
      </c>
    </row>
    <row r="164" spans="1:67" x14ac:dyDescent="0.35">
      <c r="A164" t="s">
        <v>407</v>
      </c>
      <c r="B164" t="s">
        <v>119</v>
      </c>
      <c r="C164" t="s">
        <v>749</v>
      </c>
      <c r="D164" t="s">
        <v>750</v>
      </c>
      <c r="AY164">
        <v>23</v>
      </c>
      <c r="AZ164">
        <v>23.1</v>
      </c>
      <c r="BA164">
        <v>23.1</v>
      </c>
      <c r="BB164">
        <v>22.7</v>
      </c>
      <c r="BC164">
        <v>23</v>
      </c>
      <c r="BD164">
        <v>22.6</v>
      </c>
      <c r="BE164">
        <v>22.5</v>
      </c>
      <c r="BF164">
        <v>22.5</v>
      </c>
      <c r="BG164">
        <v>22.5</v>
      </c>
      <c r="BH164">
        <v>22.5</v>
      </c>
      <c r="BI164">
        <v>22.6</v>
      </c>
      <c r="BJ164">
        <v>22.5</v>
      </c>
      <c r="BK164">
        <v>22.6</v>
      </c>
      <c r="BL164">
        <v>22.5</v>
      </c>
      <c r="BM164">
        <v>22.3</v>
      </c>
      <c r="BN164">
        <v>21.8</v>
      </c>
      <c r="BO164">
        <v>21.9</v>
      </c>
    </row>
    <row r="165" spans="1:67" x14ac:dyDescent="0.35">
      <c r="A165" t="s">
        <v>433</v>
      </c>
      <c r="B165" t="s">
        <v>69</v>
      </c>
      <c r="C165" t="s">
        <v>749</v>
      </c>
      <c r="D165" t="s">
        <v>750</v>
      </c>
      <c r="BH165">
        <v>20.6</v>
      </c>
      <c r="BJ165">
        <v>21.6</v>
      </c>
    </row>
    <row r="166" spans="1:67" x14ac:dyDescent="0.35">
      <c r="A166" t="s">
        <v>660</v>
      </c>
      <c r="B166" t="s">
        <v>553</v>
      </c>
      <c r="C166" t="s">
        <v>749</v>
      </c>
      <c r="D166" t="s">
        <v>750</v>
      </c>
    </row>
    <row r="167" spans="1:67" x14ac:dyDescent="0.35">
      <c r="A167" t="s">
        <v>412</v>
      </c>
      <c r="B167" t="s">
        <v>201</v>
      </c>
      <c r="C167" t="s">
        <v>749</v>
      </c>
      <c r="D167" t="s">
        <v>750</v>
      </c>
      <c r="AX167">
        <v>22.4</v>
      </c>
      <c r="AY167">
        <v>22.9</v>
      </c>
      <c r="AZ167">
        <v>23.1</v>
      </c>
      <c r="BA167">
        <v>22.3</v>
      </c>
      <c r="BB167">
        <v>22.1</v>
      </c>
      <c r="BC167">
        <v>23.3</v>
      </c>
      <c r="BD167">
        <v>22.3</v>
      </c>
      <c r="BE167">
        <v>24.4</v>
      </c>
      <c r="BF167">
        <v>24.2</v>
      </c>
      <c r="BG167">
        <v>24.1</v>
      </c>
      <c r="BH167">
        <v>23.5</v>
      </c>
      <c r="BI167">
        <v>23.3</v>
      </c>
      <c r="BJ167">
        <v>23.8</v>
      </c>
      <c r="BK167">
        <v>23.8</v>
      </c>
      <c r="BL167">
        <v>23.8</v>
      </c>
      <c r="BM167">
        <v>23.8</v>
      </c>
      <c r="BN167">
        <v>24</v>
      </c>
    </row>
    <row r="168" spans="1:67" x14ac:dyDescent="0.35">
      <c r="A168" t="s">
        <v>405</v>
      </c>
      <c r="B168" t="s">
        <v>481</v>
      </c>
      <c r="C168" t="s">
        <v>749</v>
      </c>
      <c r="D168" t="s">
        <v>750</v>
      </c>
      <c r="AN168">
        <v>23.1</v>
      </c>
      <c r="AQ168">
        <v>23.3</v>
      </c>
      <c r="AU168">
        <v>23.1</v>
      </c>
      <c r="AZ168">
        <v>22.2</v>
      </c>
      <c r="BC168">
        <v>22.5</v>
      </c>
      <c r="BD168">
        <v>22.2</v>
      </c>
      <c r="BE168">
        <v>22.4</v>
      </c>
      <c r="BG168">
        <v>22.3</v>
      </c>
      <c r="BI168">
        <v>22.3</v>
      </c>
      <c r="BK168">
        <v>22.5</v>
      </c>
      <c r="BO168">
        <v>22.6</v>
      </c>
    </row>
    <row r="169" spans="1:67" x14ac:dyDescent="0.35">
      <c r="A169" t="s">
        <v>184</v>
      </c>
      <c r="B169" t="s">
        <v>613</v>
      </c>
      <c r="C169" t="s">
        <v>749</v>
      </c>
      <c r="D169" t="s">
        <v>750</v>
      </c>
    </row>
    <row r="170" spans="1:67" x14ac:dyDescent="0.35">
      <c r="A170" t="s">
        <v>606</v>
      </c>
      <c r="B170" t="s">
        <v>141</v>
      </c>
      <c r="C170" t="s">
        <v>749</v>
      </c>
      <c r="D170" t="s">
        <v>750</v>
      </c>
      <c r="AO170">
        <v>18.2</v>
      </c>
      <c r="AU170">
        <v>18.7</v>
      </c>
      <c r="BA170">
        <v>20.100000000000001</v>
      </c>
      <c r="BG170">
        <v>17.399999999999999</v>
      </c>
      <c r="BL170">
        <v>18.5</v>
      </c>
      <c r="BO170">
        <v>18.8</v>
      </c>
    </row>
    <row r="171" spans="1:67" x14ac:dyDescent="0.35">
      <c r="A171" t="s">
        <v>59</v>
      </c>
      <c r="B171" t="s">
        <v>419</v>
      </c>
      <c r="C171" t="s">
        <v>749</v>
      </c>
      <c r="D171" t="s">
        <v>750</v>
      </c>
      <c r="AF171">
        <v>22.6</v>
      </c>
      <c r="AL171">
        <v>18.2</v>
      </c>
      <c r="AN171">
        <v>22.4</v>
      </c>
      <c r="AS171">
        <v>22.3</v>
      </c>
      <c r="AW171">
        <v>20.6</v>
      </c>
      <c r="BA171">
        <v>23.3</v>
      </c>
      <c r="BG171">
        <v>23</v>
      </c>
      <c r="BL171">
        <v>22.9</v>
      </c>
    </row>
    <row r="172" spans="1:67" x14ac:dyDescent="0.35">
      <c r="A172" t="s">
        <v>52</v>
      </c>
      <c r="B172" t="s">
        <v>429</v>
      </c>
      <c r="C172" t="s">
        <v>749</v>
      </c>
      <c r="D172" t="s">
        <v>750</v>
      </c>
      <c r="AY172">
        <v>21.4</v>
      </c>
      <c r="BE172">
        <v>20.6</v>
      </c>
      <c r="BJ172">
        <v>21.1</v>
      </c>
    </row>
    <row r="173" spans="1:67" x14ac:dyDescent="0.35">
      <c r="A173" t="s">
        <v>543</v>
      </c>
      <c r="B173" t="s">
        <v>247</v>
      </c>
      <c r="C173" t="s">
        <v>749</v>
      </c>
      <c r="D173" t="s">
        <v>750</v>
      </c>
      <c r="AP173">
        <v>11.7</v>
      </c>
      <c r="AW173">
        <v>20.3</v>
      </c>
      <c r="BC173">
        <v>20</v>
      </c>
      <c r="BI173">
        <v>18.8</v>
      </c>
      <c r="BL173">
        <v>21</v>
      </c>
    </row>
    <row r="174" spans="1:67" x14ac:dyDescent="0.35">
      <c r="A174" t="s">
        <v>452</v>
      </c>
      <c r="B174" t="s">
        <v>588</v>
      </c>
      <c r="C174" t="s">
        <v>749</v>
      </c>
      <c r="D174" t="s">
        <v>750</v>
      </c>
      <c r="AC174">
        <v>20.2</v>
      </c>
      <c r="AF174">
        <v>20.5</v>
      </c>
      <c r="AH174">
        <v>20.5</v>
      </c>
      <c r="AK174">
        <v>20.6</v>
      </c>
      <c r="AN174">
        <v>20.399999999999999</v>
      </c>
      <c r="AP174">
        <v>20.3</v>
      </c>
      <c r="AV174">
        <v>21.4</v>
      </c>
      <c r="AY174">
        <v>21.6</v>
      </c>
      <c r="BA174">
        <v>21.8</v>
      </c>
      <c r="BD174">
        <v>21.8</v>
      </c>
      <c r="BF174">
        <v>21.7</v>
      </c>
      <c r="BH174">
        <v>22</v>
      </c>
      <c r="BK174">
        <v>22.1</v>
      </c>
      <c r="BN174">
        <v>22.1</v>
      </c>
    </row>
    <row r="175" spans="1:67" x14ac:dyDescent="0.35">
      <c r="A175" t="s">
        <v>227</v>
      </c>
      <c r="B175" t="s">
        <v>664</v>
      </c>
      <c r="C175" t="s">
        <v>749</v>
      </c>
      <c r="D175" t="s">
        <v>750</v>
      </c>
    </row>
    <row r="176" spans="1:67" x14ac:dyDescent="0.35">
      <c r="A176" t="s">
        <v>157</v>
      </c>
      <c r="B176" t="s">
        <v>270</v>
      </c>
      <c r="C176" t="s">
        <v>749</v>
      </c>
      <c r="D176" t="s">
        <v>750</v>
      </c>
      <c r="AL176">
        <v>13.5</v>
      </c>
      <c r="AV176">
        <v>14.5</v>
      </c>
      <c r="BB176">
        <v>15.7</v>
      </c>
      <c r="BH176">
        <v>17.899999999999999</v>
      </c>
    </row>
    <row r="177" spans="1:69" x14ac:dyDescent="0.35">
      <c r="A177" t="s">
        <v>723</v>
      </c>
      <c r="B177" t="s">
        <v>198</v>
      </c>
      <c r="C177" t="s">
        <v>749</v>
      </c>
      <c r="D177" t="s">
        <v>750</v>
      </c>
    </row>
    <row r="178" spans="1:69" x14ac:dyDescent="0.35">
      <c r="A178" t="s">
        <v>181</v>
      </c>
      <c r="B178" t="s">
        <v>142</v>
      </c>
      <c r="C178" t="s">
        <v>749</v>
      </c>
      <c r="D178" t="s">
        <v>750</v>
      </c>
      <c r="AK178">
        <v>21.2</v>
      </c>
      <c r="AM178">
        <v>20.9</v>
      </c>
      <c r="AX178">
        <v>19.8</v>
      </c>
      <c r="AZ178">
        <v>20.399999999999999</v>
      </c>
      <c r="BD178">
        <v>21.4</v>
      </c>
      <c r="BG178">
        <v>22</v>
      </c>
      <c r="BK178">
        <v>20.399999999999999</v>
      </c>
      <c r="BN178">
        <v>20.8</v>
      </c>
    </row>
    <row r="179" spans="1:69" x14ac:dyDescent="0.35">
      <c r="A179" t="s">
        <v>304</v>
      </c>
      <c r="B179" t="s">
        <v>685</v>
      </c>
      <c r="C179" t="s">
        <v>749</v>
      </c>
      <c r="D179" t="s">
        <v>750</v>
      </c>
      <c r="AD179">
        <v>23</v>
      </c>
      <c r="AK179">
        <v>23.4</v>
      </c>
      <c r="AO179">
        <v>19.8</v>
      </c>
      <c r="AV179">
        <v>22.5</v>
      </c>
      <c r="BC179">
        <v>22.8</v>
      </c>
      <c r="BE179">
        <v>22.8</v>
      </c>
      <c r="BH179">
        <v>22.8</v>
      </c>
      <c r="BK179">
        <v>22.7</v>
      </c>
      <c r="BO179">
        <v>22.6</v>
      </c>
    </row>
    <row r="180" spans="1:69" x14ac:dyDescent="0.35">
      <c r="A180" t="s">
        <v>604</v>
      </c>
      <c r="B180" t="s">
        <v>220</v>
      </c>
      <c r="C180" t="s">
        <v>749</v>
      </c>
      <c r="D180" t="s">
        <v>750</v>
      </c>
      <c r="AL180">
        <v>19.7</v>
      </c>
      <c r="AQ180">
        <v>19</v>
      </c>
      <c r="AT180">
        <v>18.7</v>
      </c>
      <c r="AX180">
        <v>19.3</v>
      </c>
      <c r="BB180">
        <v>21</v>
      </c>
      <c r="BG180">
        <v>19.899999999999999</v>
      </c>
    </row>
    <row r="181" spans="1:69" x14ac:dyDescent="0.35">
      <c r="A181" t="s">
        <v>14</v>
      </c>
      <c r="B181" t="s">
        <v>517</v>
      </c>
      <c r="C181" t="s">
        <v>749</v>
      </c>
      <c r="D181" t="s">
        <v>750</v>
      </c>
      <c r="AB181">
        <v>22.7</v>
      </c>
      <c r="AF181">
        <v>22.5</v>
      </c>
      <c r="AI181">
        <v>22.5</v>
      </c>
      <c r="AL181">
        <v>23.2</v>
      </c>
      <c r="AR181">
        <v>23.2</v>
      </c>
      <c r="AW181">
        <v>22.6</v>
      </c>
      <c r="AX181">
        <v>22.5</v>
      </c>
      <c r="AY181">
        <v>22</v>
      </c>
      <c r="AZ181">
        <v>22.1</v>
      </c>
      <c r="BA181">
        <v>22.4</v>
      </c>
      <c r="BB181">
        <v>22.7</v>
      </c>
      <c r="BC181">
        <v>22.6</v>
      </c>
      <c r="BD181">
        <v>22.5</v>
      </c>
      <c r="BE181">
        <v>22.5</v>
      </c>
      <c r="BF181">
        <v>22.5</v>
      </c>
      <c r="BG181">
        <v>22.4</v>
      </c>
      <c r="BH181">
        <v>22.4</v>
      </c>
      <c r="BI181">
        <v>22.4</v>
      </c>
      <c r="BJ181">
        <v>22.3</v>
      </c>
      <c r="BK181">
        <v>22.4</v>
      </c>
      <c r="BL181">
        <v>22.3</v>
      </c>
      <c r="BM181">
        <v>22.5</v>
      </c>
      <c r="BN181">
        <v>22.5</v>
      </c>
    </row>
    <row r="182" spans="1:69" x14ac:dyDescent="0.35">
      <c r="A182" t="s">
        <v>680</v>
      </c>
      <c r="B182" t="s">
        <v>597</v>
      </c>
      <c r="C182" t="s">
        <v>749</v>
      </c>
      <c r="D182" t="s">
        <v>750</v>
      </c>
      <c r="X182">
        <v>22.5</v>
      </c>
      <c r="AE182">
        <v>22.8</v>
      </c>
      <c r="AJ182">
        <v>22.5</v>
      </c>
      <c r="AN182">
        <v>22.4</v>
      </c>
      <c r="AS182">
        <v>22.1</v>
      </c>
      <c r="AV182">
        <v>22</v>
      </c>
      <c r="AW182">
        <v>21</v>
      </c>
      <c r="AX182">
        <v>21.2</v>
      </c>
      <c r="AY182">
        <v>23</v>
      </c>
      <c r="AZ182">
        <v>22.6</v>
      </c>
      <c r="BA182">
        <v>22.8</v>
      </c>
      <c r="BB182">
        <v>22.8</v>
      </c>
      <c r="BC182">
        <v>22.8</v>
      </c>
      <c r="BD182">
        <v>23</v>
      </c>
      <c r="BE182">
        <v>22.9</v>
      </c>
      <c r="BF182">
        <v>22.9</v>
      </c>
      <c r="BG182">
        <v>22.8</v>
      </c>
      <c r="BH182">
        <v>22.7</v>
      </c>
      <c r="BI182">
        <v>22.6</v>
      </c>
      <c r="BJ182">
        <v>22.8</v>
      </c>
      <c r="BK182">
        <v>22.7</v>
      </c>
      <c r="BL182">
        <v>22.6</v>
      </c>
      <c r="BM182">
        <v>22.5</v>
      </c>
      <c r="BN182">
        <v>21.9</v>
      </c>
      <c r="BO182">
        <v>22.6</v>
      </c>
      <c r="BP182">
        <v>22.7</v>
      </c>
    </row>
    <row r="183" spans="1:69" x14ac:dyDescent="0.35">
      <c r="A183" t="s">
        <v>216</v>
      </c>
      <c r="B183" t="s">
        <v>721</v>
      </c>
      <c r="C183" t="s">
        <v>749</v>
      </c>
      <c r="D183" t="s">
        <v>750</v>
      </c>
      <c r="AC183">
        <v>21.8</v>
      </c>
      <c r="AN183">
        <v>21</v>
      </c>
      <c r="AV183">
        <v>19.2</v>
      </c>
      <c r="BC183">
        <v>21.8</v>
      </c>
      <c r="BO183">
        <v>22.2</v>
      </c>
    </row>
    <row r="184" spans="1:69" x14ac:dyDescent="0.35">
      <c r="A184" t="s">
        <v>105</v>
      </c>
      <c r="B184" t="s">
        <v>272</v>
      </c>
      <c r="C184" t="s">
        <v>749</v>
      </c>
      <c r="D184" t="s">
        <v>750</v>
      </c>
      <c r="BE184">
        <v>22.4</v>
      </c>
    </row>
    <row r="185" spans="1:69" x14ac:dyDescent="0.35">
      <c r="A185" t="s">
        <v>561</v>
      </c>
      <c r="B185" t="s">
        <v>295</v>
      </c>
      <c r="C185" t="s">
        <v>749</v>
      </c>
      <c r="D185" t="s">
        <v>750</v>
      </c>
    </row>
    <row r="186" spans="1:69" x14ac:dyDescent="0.35">
      <c r="A186" t="s">
        <v>344</v>
      </c>
      <c r="B186" t="s">
        <v>653</v>
      </c>
      <c r="C186" t="s">
        <v>749</v>
      </c>
      <c r="D186" t="s">
        <v>750</v>
      </c>
    </row>
    <row r="187" spans="1:69" x14ac:dyDescent="0.35">
      <c r="A187" t="s">
        <v>697</v>
      </c>
      <c r="B187" t="s">
        <v>567</v>
      </c>
      <c r="C187" t="s">
        <v>749</v>
      </c>
      <c r="D187" t="s">
        <v>750</v>
      </c>
    </row>
    <row r="188" spans="1:69" x14ac:dyDescent="0.35">
      <c r="A188" t="s">
        <v>695</v>
      </c>
      <c r="B188" t="s">
        <v>421</v>
      </c>
      <c r="C188" t="s">
        <v>749</v>
      </c>
      <c r="D188" t="s">
        <v>750</v>
      </c>
    </row>
    <row r="189" spans="1:69" x14ac:dyDescent="0.35">
      <c r="A189" t="s">
        <v>740</v>
      </c>
      <c r="B189" t="s">
        <v>135</v>
      </c>
      <c r="C189" t="s">
        <v>749</v>
      </c>
      <c r="D189" t="s">
        <v>750</v>
      </c>
      <c r="AF189">
        <v>21.2</v>
      </c>
      <c r="AI189">
        <v>21.6</v>
      </c>
      <c r="AO189">
        <v>21.1</v>
      </c>
      <c r="AQ189">
        <v>20.6</v>
      </c>
      <c r="AT189">
        <v>21.3</v>
      </c>
      <c r="AW189">
        <v>21.1</v>
      </c>
      <c r="AX189">
        <v>20.8</v>
      </c>
      <c r="AZ189">
        <v>21.1</v>
      </c>
      <c r="BC189">
        <v>21.3</v>
      </c>
      <c r="BD189">
        <v>21.1</v>
      </c>
      <c r="BF189">
        <v>21.3</v>
      </c>
      <c r="BH189">
        <v>21</v>
      </c>
      <c r="BK189">
        <v>21.2</v>
      </c>
    </row>
    <row r="190" spans="1:69" x14ac:dyDescent="0.35">
      <c r="A190" t="s">
        <v>541</v>
      </c>
      <c r="B190" t="s">
        <v>465</v>
      </c>
      <c r="C190" t="s">
        <v>749</v>
      </c>
      <c r="D190" t="s">
        <v>750</v>
      </c>
      <c r="X190">
        <v>21.7</v>
      </c>
      <c r="AH190">
        <v>20.9</v>
      </c>
      <c r="AJ190">
        <v>20.8</v>
      </c>
      <c r="AN190">
        <v>20.3</v>
      </c>
      <c r="AP190">
        <v>19.7</v>
      </c>
      <c r="AQ190">
        <v>19.8</v>
      </c>
      <c r="AR190">
        <v>20.100000000000001</v>
      </c>
      <c r="AS190">
        <v>19.8</v>
      </c>
      <c r="AT190">
        <v>20.3</v>
      </c>
      <c r="AU190">
        <v>19.899999999999999</v>
      </c>
      <c r="AV190">
        <v>20</v>
      </c>
      <c r="AW190">
        <v>20.3</v>
      </c>
      <c r="AX190">
        <v>20.7</v>
      </c>
      <c r="AY190">
        <v>20.399999999999999</v>
      </c>
      <c r="AZ190">
        <v>20.7</v>
      </c>
      <c r="BA190">
        <v>20</v>
      </c>
      <c r="BB190">
        <v>20.100000000000001</v>
      </c>
      <c r="BC190">
        <v>20.2</v>
      </c>
      <c r="BD190">
        <v>20.3</v>
      </c>
      <c r="BE190">
        <v>20.3</v>
      </c>
      <c r="BF190">
        <v>20.3</v>
      </c>
      <c r="BG190">
        <v>20.7</v>
      </c>
      <c r="BH190">
        <v>20.5</v>
      </c>
      <c r="BI190">
        <v>21</v>
      </c>
      <c r="BJ190">
        <v>20.9</v>
      </c>
      <c r="BK190">
        <v>21.2</v>
      </c>
      <c r="BL190">
        <v>20.7</v>
      </c>
      <c r="BN190">
        <v>20.2</v>
      </c>
      <c r="BP190">
        <v>21.2</v>
      </c>
      <c r="BQ190">
        <v>21.1</v>
      </c>
    </row>
    <row r="191" spans="1:69" x14ac:dyDescent="0.35">
      <c r="A191" t="s">
        <v>495</v>
      </c>
      <c r="B191" t="s">
        <v>296</v>
      </c>
      <c r="C191" t="s">
        <v>749</v>
      </c>
      <c r="D191" t="s">
        <v>750</v>
      </c>
      <c r="AD191">
        <v>21</v>
      </c>
      <c r="AM191">
        <v>21.9</v>
      </c>
      <c r="AP191">
        <v>20.399999999999999</v>
      </c>
      <c r="AQ191">
        <v>19.100000000000001</v>
      </c>
      <c r="AR191">
        <v>19.3</v>
      </c>
      <c r="AS191">
        <v>21.5</v>
      </c>
      <c r="AT191">
        <v>20.7</v>
      </c>
      <c r="AU191">
        <v>19.600000000000001</v>
      </c>
      <c r="AV191">
        <v>19.3</v>
      </c>
      <c r="AW191">
        <v>20.8</v>
      </c>
      <c r="AX191">
        <v>20.8</v>
      </c>
      <c r="AY191">
        <v>21.1</v>
      </c>
      <c r="AZ191">
        <v>21.1</v>
      </c>
      <c r="BA191">
        <v>21.8</v>
      </c>
      <c r="BB191">
        <v>21.7</v>
      </c>
      <c r="BC191">
        <v>21.8</v>
      </c>
      <c r="BD191">
        <v>22</v>
      </c>
      <c r="BE191">
        <v>22</v>
      </c>
      <c r="BF191">
        <v>22.1</v>
      </c>
      <c r="BG191">
        <v>22.2</v>
      </c>
      <c r="BH191">
        <v>21.8</v>
      </c>
      <c r="BI191">
        <v>22.1</v>
      </c>
      <c r="BJ191">
        <v>22.2</v>
      </c>
      <c r="BK191">
        <v>22.2</v>
      </c>
      <c r="BL191">
        <v>22.3</v>
      </c>
      <c r="BM191">
        <v>21.9</v>
      </c>
      <c r="BN191">
        <v>22.1</v>
      </c>
      <c r="BO191">
        <v>22</v>
      </c>
      <c r="BP191">
        <v>22.2</v>
      </c>
      <c r="BQ191">
        <v>22.1</v>
      </c>
    </row>
    <row r="192" spans="1:69" x14ac:dyDescent="0.35">
      <c r="A192" t="s">
        <v>285</v>
      </c>
      <c r="B192" t="s">
        <v>580</v>
      </c>
      <c r="C192" t="s">
        <v>749</v>
      </c>
      <c r="D192" t="s">
        <v>750</v>
      </c>
      <c r="AD192">
        <v>20.9</v>
      </c>
      <c r="AG192">
        <v>21.3</v>
      </c>
      <c r="AJ192">
        <v>20.7</v>
      </c>
      <c r="AM192">
        <v>21</v>
      </c>
      <c r="AP192">
        <v>20.399999999999999</v>
      </c>
      <c r="AS192">
        <v>20</v>
      </c>
      <c r="AV192">
        <v>20.399999999999999</v>
      </c>
      <c r="AY192">
        <v>20.6</v>
      </c>
      <c r="BB192">
        <v>20.399999999999999</v>
      </c>
      <c r="BE192">
        <v>20.5</v>
      </c>
      <c r="BH192">
        <v>20.7</v>
      </c>
      <c r="BK192">
        <v>20.7</v>
      </c>
      <c r="BN192">
        <v>20.8</v>
      </c>
      <c r="BP192">
        <v>20.9</v>
      </c>
    </row>
    <row r="193" spans="1:69" x14ac:dyDescent="0.35">
      <c r="A193" t="s">
        <v>679</v>
      </c>
      <c r="B193" t="s">
        <v>384</v>
      </c>
      <c r="C193" t="s">
        <v>749</v>
      </c>
      <c r="D193" t="s">
        <v>750</v>
      </c>
    </row>
    <row r="194" spans="1:69" x14ac:dyDescent="0.35">
      <c r="A194" t="s">
        <v>454</v>
      </c>
      <c r="B194" t="s">
        <v>262</v>
      </c>
      <c r="C194" t="s">
        <v>749</v>
      </c>
      <c r="D194" t="s">
        <v>750</v>
      </c>
      <c r="AO194">
        <v>21.4</v>
      </c>
      <c r="BB194">
        <v>22.4</v>
      </c>
    </row>
    <row r="195" spans="1:69" x14ac:dyDescent="0.35">
      <c r="A195" t="s">
        <v>75</v>
      </c>
      <c r="B195" t="s">
        <v>43</v>
      </c>
      <c r="C195" t="s">
        <v>749</v>
      </c>
      <c r="D195" t="s">
        <v>750</v>
      </c>
      <c r="AD195">
        <v>22.6</v>
      </c>
      <c r="AE195">
        <v>23.2</v>
      </c>
      <c r="AF195">
        <v>22.6</v>
      </c>
      <c r="AH195">
        <v>22.7</v>
      </c>
      <c r="AK195">
        <v>22.8</v>
      </c>
      <c r="AL195">
        <v>23.2</v>
      </c>
      <c r="AN195">
        <v>22.7</v>
      </c>
      <c r="AO195">
        <v>21.8</v>
      </c>
      <c r="AQ195">
        <v>22.2</v>
      </c>
      <c r="AR195">
        <v>22.8</v>
      </c>
      <c r="AS195">
        <v>22.3</v>
      </c>
      <c r="AT195">
        <v>22.5</v>
      </c>
      <c r="AU195">
        <v>22.3</v>
      </c>
      <c r="AV195">
        <v>22.4</v>
      </c>
      <c r="AW195">
        <v>22.9</v>
      </c>
      <c r="AX195">
        <v>23</v>
      </c>
      <c r="AY195">
        <v>22.7</v>
      </c>
      <c r="AZ195">
        <v>22.5</v>
      </c>
      <c r="BA195">
        <v>22.6</v>
      </c>
      <c r="BB195">
        <v>22.6</v>
      </c>
      <c r="BC195">
        <v>22.6</v>
      </c>
      <c r="BD195">
        <v>22.7</v>
      </c>
      <c r="BE195">
        <v>22.9</v>
      </c>
      <c r="BF195">
        <v>22.9</v>
      </c>
      <c r="BG195">
        <v>22.7</v>
      </c>
      <c r="BH195">
        <v>23</v>
      </c>
      <c r="BI195">
        <v>22.5</v>
      </c>
      <c r="BJ195">
        <v>22.6</v>
      </c>
      <c r="BK195">
        <v>22.5</v>
      </c>
      <c r="BL195">
        <v>22.5</v>
      </c>
      <c r="BM195">
        <v>22.6</v>
      </c>
      <c r="BN195">
        <v>22.6</v>
      </c>
      <c r="BO195">
        <v>22.5</v>
      </c>
      <c r="BP195">
        <v>22.5</v>
      </c>
    </row>
    <row r="196" spans="1:69" x14ac:dyDescent="0.35">
      <c r="A196" t="s">
        <v>237</v>
      </c>
      <c r="B196" t="s">
        <v>294</v>
      </c>
      <c r="C196" t="s">
        <v>749</v>
      </c>
      <c r="D196" t="s">
        <v>750</v>
      </c>
    </row>
    <row r="197" spans="1:69" x14ac:dyDescent="0.35">
      <c r="A197" t="s">
        <v>269</v>
      </c>
      <c r="B197" t="s">
        <v>686</v>
      </c>
      <c r="C197" t="s">
        <v>749</v>
      </c>
      <c r="D197" t="s">
        <v>750</v>
      </c>
    </row>
    <row r="198" spans="1:69" x14ac:dyDescent="0.35">
      <c r="A198" t="s">
        <v>525</v>
      </c>
      <c r="B198" t="s">
        <v>60</v>
      </c>
      <c r="C198" t="s">
        <v>749</v>
      </c>
      <c r="D198" t="s">
        <v>750</v>
      </c>
    </row>
    <row r="199" spans="1:69" x14ac:dyDescent="0.35">
      <c r="A199" t="s">
        <v>434</v>
      </c>
      <c r="B199" t="s">
        <v>192</v>
      </c>
      <c r="C199" t="s">
        <v>749</v>
      </c>
      <c r="D199" t="s">
        <v>750</v>
      </c>
      <c r="AV199">
        <v>21.4</v>
      </c>
      <c r="AW199">
        <v>21</v>
      </c>
      <c r="AX199">
        <v>21</v>
      </c>
      <c r="AY199">
        <v>21.7</v>
      </c>
      <c r="AZ199">
        <v>21.7</v>
      </c>
      <c r="BA199">
        <v>21.6</v>
      </c>
      <c r="BB199">
        <v>22</v>
      </c>
      <c r="BC199">
        <v>21.9</v>
      </c>
      <c r="BD199">
        <v>21.6</v>
      </c>
      <c r="BE199">
        <v>22.1</v>
      </c>
      <c r="BF199">
        <v>22.3</v>
      </c>
      <c r="BG199">
        <v>22.3</v>
      </c>
      <c r="BH199">
        <v>22.3</v>
      </c>
      <c r="BI199">
        <v>22</v>
      </c>
      <c r="BJ199">
        <v>22.1</v>
      </c>
      <c r="BK199">
        <v>22</v>
      </c>
      <c r="BL199">
        <v>22</v>
      </c>
      <c r="BM199">
        <v>22.2</v>
      </c>
      <c r="BN199">
        <v>21.7</v>
      </c>
      <c r="BO199">
        <v>21.4</v>
      </c>
      <c r="BP199">
        <v>21.7</v>
      </c>
    </row>
    <row r="200" spans="1:69" x14ac:dyDescent="0.35">
      <c r="A200" t="s">
        <v>494</v>
      </c>
      <c r="B200" t="s">
        <v>72</v>
      </c>
      <c r="C200" t="s">
        <v>749</v>
      </c>
      <c r="D200" t="s">
        <v>750</v>
      </c>
      <c r="AI200">
        <v>22.3</v>
      </c>
      <c r="AN200">
        <v>18.8</v>
      </c>
      <c r="AP200">
        <v>20.399999999999999</v>
      </c>
      <c r="AR200">
        <v>19.7</v>
      </c>
      <c r="AT200">
        <v>19.100000000000001</v>
      </c>
      <c r="AU200">
        <v>18.3</v>
      </c>
      <c r="AV200">
        <v>18.7</v>
      </c>
      <c r="AW200">
        <v>19</v>
      </c>
      <c r="AX200">
        <v>19.600000000000001</v>
      </c>
      <c r="AY200">
        <v>19.2</v>
      </c>
      <c r="AZ200">
        <v>18.899999999999999</v>
      </c>
      <c r="BA200">
        <v>19.8</v>
      </c>
      <c r="BB200">
        <v>20.5</v>
      </c>
      <c r="BC200">
        <v>19.7</v>
      </c>
      <c r="BD200">
        <v>19.600000000000001</v>
      </c>
      <c r="BE200">
        <v>20.7</v>
      </c>
      <c r="BF200">
        <v>20.8</v>
      </c>
      <c r="BG200">
        <v>19.5</v>
      </c>
      <c r="BH200">
        <v>20.9</v>
      </c>
      <c r="BI200">
        <v>20.6</v>
      </c>
      <c r="BJ200">
        <v>19.8</v>
      </c>
      <c r="BK200">
        <v>20.8</v>
      </c>
      <c r="BL200">
        <v>21.1</v>
      </c>
      <c r="BM200">
        <v>21.5</v>
      </c>
      <c r="BN200">
        <v>21.5</v>
      </c>
      <c r="BO200">
        <v>21.4</v>
      </c>
      <c r="BP200">
        <v>21.2</v>
      </c>
      <c r="BQ200">
        <v>20.7</v>
      </c>
    </row>
    <row r="201" spans="1:69" x14ac:dyDescent="0.35">
      <c r="A201" t="s">
        <v>87</v>
      </c>
      <c r="B201" t="s">
        <v>199</v>
      </c>
      <c r="C201" t="s">
        <v>749</v>
      </c>
      <c r="D201" t="s">
        <v>750</v>
      </c>
      <c r="AW201">
        <v>22.4</v>
      </c>
      <c r="AX201">
        <v>22.5</v>
      </c>
      <c r="AY201">
        <v>21.8</v>
      </c>
      <c r="AZ201">
        <v>22.3</v>
      </c>
      <c r="BB201">
        <v>21.9</v>
      </c>
      <c r="BC201">
        <v>21.9</v>
      </c>
      <c r="BD201">
        <v>22</v>
      </c>
      <c r="BI201">
        <v>23.2</v>
      </c>
      <c r="BP201">
        <v>23</v>
      </c>
    </row>
    <row r="202" spans="1:69" x14ac:dyDescent="0.35">
      <c r="A202" t="s">
        <v>131</v>
      </c>
      <c r="B202" t="s">
        <v>210</v>
      </c>
      <c r="C202" t="s">
        <v>749</v>
      </c>
      <c r="D202" t="s">
        <v>750</v>
      </c>
    </row>
    <row r="203" spans="1:69" x14ac:dyDescent="0.35">
      <c r="A203" t="s">
        <v>592</v>
      </c>
      <c r="B203" t="s">
        <v>280</v>
      </c>
      <c r="C203" t="s">
        <v>749</v>
      </c>
      <c r="D203" t="s">
        <v>750</v>
      </c>
    </row>
    <row r="204" spans="1:69" x14ac:dyDescent="0.35">
      <c r="A204" t="s">
        <v>364</v>
      </c>
      <c r="B204" t="s">
        <v>577</v>
      </c>
      <c r="C204" t="s">
        <v>749</v>
      </c>
      <c r="D204" t="s">
        <v>750</v>
      </c>
    </row>
    <row r="205" spans="1:69" x14ac:dyDescent="0.35">
      <c r="A205" t="s">
        <v>614</v>
      </c>
      <c r="B205" t="s">
        <v>25</v>
      </c>
      <c r="C205" t="s">
        <v>749</v>
      </c>
      <c r="D205" t="s">
        <v>750</v>
      </c>
      <c r="BJ205">
        <v>23.3</v>
      </c>
    </row>
    <row r="206" spans="1:69" x14ac:dyDescent="0.35">
      <c r="A206" t="s">
        <v>554</v>
      </c>
      <c r="B206" t="s">
        <v>333</v>
      </c>
      <c r="C206" t="s">
        <v>749</v>
      </c>
      <c r="D206" t="s">
        <v>750</v>
      </c>
      <c r="AH206">
        <v>23</v>
      </c>
      <c r="AK206">
        <v>23.2</v>
      </c>
      <c r="AM206">
        <v>22.6</v>
      </c>
      <c r="AN206">
        <v>22.6</v>
      </c>
      <c r="AP206">
        <v>22.5</v>
      </c>
      <c r="AQ206">
        <v>22.9</v>
      </c>
      <c r="AR206">
        <v>22.7</v>
      </c>
      <c r="AS206">
        <v>22.7</v>
      </c>
      <c r="AT206">
        <v>22.8</v>
      </c>
      <c r="AU206">
        <v>22.8</v>
      </c>
      <c r="AV206">
        <v>22.7</v>
      </c>
      <c r="AW206">
        <v>22.9</v>
      </c>
      <c r="AX206">
        <v>22.7</v>
      </c>
      <c r="AY206">
        <v>22.8</v>
      </c>
      <c r="AZ206">
        <v>23.2</v>
      </c>
      <c r="BA206">
        <v>23.5</v>
      </c>
      <c r="BB206">
        <v>23.8</v>
      </c>
      <c r="BC206">
        <v>24.2</v>
      </c>
      <c r="BD206">
        <v>24.6</v>
      </c>
      <c r="BE206">
        <v>24.2</v>
      </c>
      <c r="BF206">
        <v>24.6</v>
      </c>
      <c r="BG206">
        <v>24.7</v>
      </c>
      <c r="BH206">
        <v>24.7</v>
      </c>
      <c r="BI206">
        <v>24.8</v>
      </c>
      <c r="BJ206">
        <v>24.7</v>
      </c>
      <c r="BK206">
        <v>24.2</v>
      </c>
      <c r="BL206">
        <v>24.2</v>
      </c>
      <c r="BM206">
        <v>24.3</v>
      </c>
      <c r="BN206">
        <v>24</v>
      </c>
      <c r="BO206">
        <v>24.3</v>
      </c>
      <c r="BP206">
        <v>23.9</v>
      </c>
    </row>
    <row r="207" spans="1:69" x14ac:dyDescent="0.35">
      <c r="A207" t="s">
        <v>2</v>
      </c>
      <c r="B207" t="s">
        <v>355</v>
      </c>
      <c r="C207" t="s">
        <v>749</v>
      </c>
      <c r="D207" t="s">
        <v>750</v>
      </c>
      <c r="AL207">
        <v>21.4</v>
      </c>
      <c r="AO207">
        <v>21.1</v>
      </c>
      <c r="AP207">
        <v>22.2</v>
      </c>
      <c r="AQ207">
        <v>22.6</v>
      </c>
      <c r="AR207">
        <v>23</v>
      </c>
      <c r="AS207">
        <v>22.9</v>
      </c>
      <c r="AT207">
        <v>22.6</v>
      </c>
      <c r="AU207">
        <v>22.5</v>
      </c>
      <c r="AV207">
        <v>21.9</v>
      </c>
      <c r="AW207">
        <v>22.1</v>
      </c>
      <c r="AX207">
        <v>21.8</v>
      </c>
      <c r="AY207">
        <v>21.7</v>
      </c>
      <c r="AZ207">
        <v>21.2</v>
      </c>
      <c r="BA207">
        <v>21</v>
      </c>
      <c r="BB207">
        <v>21.2</v>
      </c>
      <c r="BC207">
        <v>21.6</v>
      </c>
      <c r="BD207">
        <v>21.3</v>
      </c>
      <c r="BE207">
        <v>21</v>
      </c>
      <c r="BF207">
        <v>21</v>
      </c>
      <c r="BG207">
        <v>22.7</v>
      </c>
      <c r="BH207">
        <v>23.2</v>
      </c>
      <c r="BI207">
        <v>23.1</v>
      </c>
      <c r="BJ207">
        <v>23</v>
      </c>
      <c r="BK207">
        <v>22.9</v>
      </c>
      <c r="BL207">
        <v>22.7</v>
      </c>
      <c r="BM207">
        <v>22.7</v>
      </c>
      <c r="BN207">
        <v>22.7</v>
      </c>
      <c r="BO207">
        <v>22.6</v>
      </c>
      <c r="BP207">
        <v>22.7</v>
      </c>
    </row>
    <row r="208" spans="1:69" x14ac:dyDescent="0.35">
      <c r="A208" t="s">
        <v>273</v>
      </c>
      <c r="B208" t="s">
        <v>94</v>
      </c>
      <c r="C208" t="s">
        <v>749</v>
      </c>
      <c r="D208" t="s">
        <v>750</v>
      </c>
      <c r="AS208">
        <v>18.5</v>
      </c>
      <c r="AX208">
        <v>17.600000000000001</v>
      </c>
      <c r="BC208">
        <v>18.5</v>
      </c>
      <c r="BF208">
        <v>19</v>
      </c>
      <c r="BI208">
        <v>19.8</v>
      </c>
      <c r="BP208">
        <v>19.8</v>
      </c>
    </row>
    <row r="209" spans="1:68" x14ac:dyDescent="0.35">
      <c r="A209" t="s">
        <v>90</v>
      </c>
      <c r="B209" t="s">
        <v>126</v>
      </c>
      <c r="C209" t="s">
        <v>749</v>
      </c>
      <c r="D209" t="s">
        <v>750</v>
      </c>
    </row>
    <row r="210" spans="1:68" x14ac:dyDescent="0.35">
      <c r="A210" t="s">
        <v>480</v>
      </c>
      <c r="B210" t="s">
        <v>249</v>
      </c>
      <c r="C210" t="s">
        <v>749</v>
      </c>
      <c r="D210" t="s">
        <v>750</v>
      </c>
    </row>
    <row r="211" spans="1:68" x14ac:dyDescent="0.35">
      <c r="A211" t="s">
        <v>232</v>
      </c>
      <c r="B211" t="s">
        <v>466</v>
      </c>
      <c r="C211" t="s">
        <v>749</v>
      </c>
      <c r="D211" t="s">
        <v>750</v>
      </c>
      <c r="BB211">
        <v>22.9</v>
      </c>
      <c r="BG211">
        <v>21.7</v>
      </c>
    </row>
    <row r="212" spans="1:68" x14ac:dyDescent="0.35">
      <c r="A212" t="s">
        <v>35</v>
      </c>
      <c r="B212" t="s">
        <v>560</v>
      </c>
      <c r="C212" t="s">
        <v>749</v>
      </c>
      <c r="D212" t="s">
        <v>750</v>
      </c>
      <c r="AJ212">
        <v>19.3</v>
      </c>
      <c r="AM212">
        <v>21.1</v>
      </c>
      <c r="AT212">
        <v>20.6</v>
      </c>
      <c r="AX212">
        <v>22.2</v>
      </c>
      <c r="BD212">
        <v>21.7</v>
      </c>
      <c r="BK212">
        <v>21.2</v>
      </c>
      <c r="BN212">
        <v>21.6</v>
      </c>
    </row>
    <row r="213" spans="1:68" x14ac:dyDescent="0.35">
      <c r="A213" t="s">
        <v>508</v>
      </c>
      <c r="B213" t="s">
        <v>83</v>
      </c>
      <c r="C213" t="s">
        <v>749</v>
      </c>
      <c r="D213" t="s">
        <v>750</v>
      </c>
    </row>
    <row r="214" spans="1:68" x14ac:dyDescent="0.35">
      <c r="A214" t="s">
        <v>101</v>
      </c>
      <c r="B214" t="s">
        <v>316</v>
      </c>
      <c r="C214" t="s">
        <v>749</v>
      </c>
      <c r="D214" t="s">
        <v>750</v>
      </c>
      <c r="AX214">
        <v>20.6</v>
      </c>
      <c r="BE214">
        <v>21.5</v>
      </c>
    </row>
    <row r="215" spans="1:68" x14ac:dyDescent="0.35">
      <c r="A215" t="s">
        <v>703</v>
      </c>
      <c r="B215" t="s">
        <v>644</v>
      </c>
      <c r="C215" t="s">
        <v>749</v>
      </c>
      <c r="D215" t="s">
        <v>750</v>
      </c>
      <c r="AV215">
        <v>20.8</v>
      </c>
      <c r="BD215">
        <v>21.9</v>
      </c>
      <c r="BK215">
        <v>21</v>
      </c>
    </row>
    <row r="216" spans="1:68" x14ac:dyDescent="0.35">
      <c r="A216" t="s">
        <v>573</v>
      </c>
      <c r="B216" t="s">
        <v>95</v>
      </c>
      <c r="C216" t="s">
        <v>749</v>
      </c>
      <c r="D216" t="s">
        <v>750</v>
      </c>
      <c r="AH216">
        <v>22.6</v>
      </c>
      <c r="AJ216">
        <v>20.100000000000001</v>
      </c>
      <c r="AN216">
        <v>20.2</v>
      </c>
      <c r="AO216">
        <v>20.2</v>
      </c>
      <c r="AQ216">
        <v>20.8</v>
      </c>
      <c r="AR216">
        <v>21.2</v>
      </c>
      <c r="AS216">
        <v>20.5</v>
      </c>
      <c r="AT216">
        <v>20.9</v>
      </c>
      <c r="AU216">
        <v>20.9</v>
      </c>
      <c r="AV216">
        <v>21.5</v>
      </c>
      <c r="AW216">
        <v>21.6</v>
      </c>
      <c r="AX216">
        <v>21</v>
      </c>
      <c r="AY216">
        <v>20.8</v>
      </c>
      <c r="AZ216">
        <v>20.5</v>
      </c>
      <c r="BA216">
        <v>20.8</v>
      </c>
      <c r="BB216">
        <v>20.5</v>
      </c>
      <c r="BC216">
        <v>21.5</v>
      </c>
      <c r="BD216">
        <v>21.3</v>
      </c>
      <c r="BE216">
        <v>21.3</v>
      </c>
      <c r="BF216">
        <v>20.7</v>
      </c>
      <c r="BG216">
        <v>21.4</v>
      </c>
      <c r="BH216">
        <v>21.4</v>
      </c>
      <c r="BI216">
        <v>21.9</v>
      </c>
      <c r="BJ216">
        <v>22.2</v>
      </c>
      <c r="BK216">
        <v>22.1</v>
      </c>
      <c r="BL216">
        <v>21.9</v>
      </c>
      <c r="BN216">
        <v>22.7</v>
      </c>
      <c r="BO216">
        <v>22.7</v>
      </c>
      <c r="BP216">
        <v>22.4</v>
      </c>
    </row>
    <row r="217" spans="1:68" x14ac:dyDescent="0.35">
      <c r="A217" t="s">
        <v>457</v>
      </c>
      <c r="B217" t="s">
        <v>519</v>
      </c>
      <c r="C217" t="s">
        <v>749</v>
      </c>
      <c r="D217" t="s">
        <v>750</v>
      </c>
    </row>
    <row r="218" spans="1:68" x14ac:dyDescent="0.35">
      <c r="A218" t="s">
        <v>352</v>
      </c>
      <c r="B218" t="s">
        <v>32</v>
      </c>
      <c r="C218" t="s">
        <v>749</v>
      </c>
      <c r="D218" t="s">
        <v>750</v>
      </c>
    </row>
    <row r="219" spans="1:68" x14ac:dyDescent="0.35">
      <c r="A219" t="s">
        <v>321</v>
      </c>
      <c r="B219" t="s">
        <v>445</v>
      </c>
      <c r="C219" t="s">
        <v>749</v>
      </c>
      <c r="D219" t="s">
        <v>750</v>
      </c>
      <c r="AU219">
        <v>22</v>
      </c>
      <c r="AV219">
        <v>22.3</v>
      </c>
      <c r="AW219">
        <v>22.1</v>
      </c>
      <c r="AX219">
        <v>21.9</v>
      </c>
      <c r="AY219">
        <v>22.4</v>
      </c>
      <c r="AZ219">
        <v>22.5</v>
      </c>
      <c r="BA219">
        <v>22.5</v>
      </c>
      <c r="BB219">
        <v>22.7</v>
      </c>
      <c r="BC219">
        <v>22.7</v>
      </c>
      <c r="BE219">
        <v>23.2</v>
      </c>
      <c r="BF219">
        <v>23.5</v>
      </c>
      <c r="BG219">
        <v>23.6</v>
      </c>
      <c r="BH219">
        <v>23.3</v>
      </c>
      <c r="BI219">
        <v>23.7</v>
      </c>
      <c r="BJ219">
        <v>23.8</v>
      </c>
      <c r="BK219">
        <v>23.6</v>
      </c>
      <c r="BL219">
        <v>22.9</v>
      </c>
      <c r="BM219">
        <v>22.5</v>
      </c>
      <c r="BN219">
        <v>22.6</v>
      </c>
      <c r="BO219">
        <v>23</v>
      </c>
    </row>
    <row r="220" spans="1:68" x14ac:dyDescent="0.35">
      <c r="A220" t="s">
        <v>61</v>
      </c>
      <c r="B220" t="s">
        <v>460</v>
      </c>
      <c r="C220" t="s">
        <v>749</v>
      </c>
      <c r="D220" t="s">
        <v>750</v>
      </c>
    </row>
    <row r="221" spans="1:68" x14ac:dyDescent="0.35">
      <c r="A221" t="s">
        <v>288</v>
      </c>
      <c r="B221" t="s">
        <v>64</v>
      </c>
      <c r="C221" t="s">
        <v>749</v>
      </c>
      <c r="D221" t="s">
        <v>750</v>
      </c>
      <c r="BB221">
        <v>22.8</v>
      </c>
      <c r="BI221">
        <v>21.9</v>
      </c>
    </row>
    <row r="222" spans="1:68" x14ac:dyDescent="0.35">
      <c r="A222" t="s">
        <v>313</v>
      </c>
      <c r="B222" t="s">
        <v>187</v>
      </c>
      <c r="C222" t="s">
        <v>749</v>
      </c>
      <c r="D222" t="s">
        <v>750</v>
      </c>
    </row>
    <row r="223" spans="1:68" x14ac:dyDescent="0.35">
      <c r="A223" t="s">
        <v>44</v>
      </c>
      <c r="B223" t="s">
        <v>196</v>
      </c>
      <c r="C223" t="s">
        <v>749</v>
      </c>
      <c r="D223" t="s">
        <v>750</v>
      </c>
    </row>
    <row r="224" spans="1:68" x14ac:dyDescent="0.35">
      <c r="A224" t="s">
        <v>255</v>
      </c>
      <c r="B224" t="s">
        <v>449</v>
      </c>
      <c r="C224" t="s">
        <v>749</v>
      </c>
      <c r="D224" t="s">
        <v>750</v>
      </c>
      <c r="AS224">
        <v>22.9</v>
      </c>
      <c r="BC224">
        <v>22.6</v>
      </c>
      <c r="BJ224">
        <v>20.7</v>
      </c>
    </row>
    <row r="225" spans="1:69" x14ac:dyDescent="0.35">
      <c r="A225" t="s">
        <v>512</v>
      </c>
      <c r="B225" t="s">
        <v>68</v>
      </c>
      <c r="C225" t="s">
        <v>749</v>
      </c>
      <c r="D225" t="s">
        <v>750</v>
      </c>
      <c r="AR225">
        <v>20</v>
      </c>
      <c r="BO225">
        <v>22</v>
      </c>
    </row>
    <row r="226" spans="1:69" x14ac:dyDescent="0.35">
      <c r="A226" t="s">
        <v>387</v>
      </c>
      <c r="B226" t="s">
        <v>151</v>
      </c>
      <c r="C226" t="s">
        <v>749</v>
      </c>
      <c r="D226" t="s">
        <v>750</v>
      </c>
      <c r="AK226">
        <v>22.3</v>
      </c>
      <c r="AO226">
        <v>22.7</v>
      </c>
      <c r="AW226">
        <v>22.6</v>
      </c>
      <c r="AX226">
        <v>21.5</v>
      </c>
      <c r="AY226">
        <v>22.1</v>
      </c>
      <c r="AZ226">
        <v>22.3</v>
      </c>
      <c r="BA226">
        <v>22.4</v>
      </c>
      <c r="BB226">
        <v>22.7</v>
      </c>
      <c r="BC226">
        <v>22.7</v>
      </c>
      <c r="BD226">
        <v>23</v>
      </c>
      <c r="BE226">
        <v>23.2</v>
      </c>
      <c r="BF226">
        <v>22.9</v>
      </c>
      <c r="BG226">
        <v>23.5</v>
      </c>
      <c r="BH226">
        <v>23.2</v>
      </c>
      <c r="BI226">
        <v>23.2</v>
      </c>
      <c r="BJ226">
        <v>23.5</v>
      </c>
      <c r="BK226">
        <v>23.5</v>
      </c>
      <c r="BL226">
        <v>23.2</v>
      </c>
      <c r="BM226">
        <v>23.6</v>
      </c>
      <c r="BN226">
        <v>23.4</v>
      </c>
      <c r="BO226">
        <v>24.1</v>
      </c>
      <c r="BP226">
        <v>23.6</v>
      </c>
    </row>
    <row r="227" spans="1:69" x14ac:dyDescent="0.35">
      <c r="A227" t="s">
        <v>378</v>
      </c>
      <c r="B227" t="s">
        <v>335</v>
      </c>
      <c r="C227" t="s">
        <v>749</v>
      </c>
      <c r="D227" t="s">
        <v>750</v>
      </c>
      <c r="AF227">
        <v>22.3</v>
      </c>
      <c r="AL227">
        <v>21.6</v>
      </c>
      <c r="AP227">
        <v>22.7</v>
      </c>
      <c r="AQ227">
        <v>22.5</v>
      </c>
      <c r="AR227">
        <v>22.7</v>
      </c>
      <c r="AU227">
        <v>22.9</v>
      </c>
      <c r="AV227">
        <v>22.9</v>
      </c>
      <c r="AW227">
        <v>22.7</v>
      </c>
      <c r="AX227">
        <v>22.7</v>
      </c>
      <c r="AY227">
        <v>22.7</v>
      </c>
      <c r="AZ227">
        <v>22.6</v>
      </c>
      <c r="BA227">
        <v>22.6</v>
      </c>
      <c r="BB227">
        <v>22.7</v>
      </c>
      <c r="BC227">
        <v>22.7</v>
      </c>
      <c r="BD227">
        <v>22.6</v>
      </c>
      <c r="BE227">
        <v>22.6</v>
      </c>
      <c r="BF227">
        <v>22.7</v>
      </c>
      <c r="BG227">
        <v>22.5</v>
      </c>
      <c r="BH227">
        <v>22.6</v>
      </c>
      <c r="BI227">
        <v>22.6</v>
      </c>
      <c r="BJ227">
        <v>22.5</v>
      </c>
      <c r="BK227">
        <v>22.3</v>
      </c>
      <c r="BL227">
        <v>22.4</v>
      </c>
      <c r="BM227">
        <v>22.4</v>
      </c>
      <c r="BN227">
        <v>22.4</v>
      </c>
      <c r="BO227">
        <v>22.4</v>
      </c>
      <c r="BP227">
        <v>22.6</v>
      </c>
    </row>
    <row r="228" spans="1:69" x14ac:dyDescent="0.35">
      <c r="A228" t="s">
        <v>73</v>
      </c>
      <c r="B228" t="s">
        <v>291</v>
      </c>
      <c r="C228" t="s">
        <v>749</v>
      </c>
      <c r="D228" t="s">
        <v>750</v>
      </c>
      <c r="T228">
        <v>23.3</v>
      </c>
      <c r="Z228">
        <v>23.6</v>
      </c>
      <c r="AF228">
        <v>23.3</v>
      </c>
      <c r="AK228">
        <v>23.3</v>
      </c>
      <c r="AN228">
        <v>23.4</v>
      </c>
      <c r="AS228">
        <v>22.6</v>
      </c>
      <c r="AT228">
        <v>22.6</v>
      </c>
      <c r="AU228">
        <v>22.9</v>
      </c>
      <c r="AV228">
        <v>23.1</v>
      </c>
      <c r="AW228">
        <v>22.9</v>
      </c>
      <c r="AX228">
        <v>23.1</v>
      </c>
      <c r="AY228">
        <v>22.9</v>
      </c>
      <c r="AZ228">
        <v>22.8</v>
      </c>
      <c r="BA228">
        <v>22.8</v>
      </c>
      <c r="BB228">
        <v>23</v>
      </c>
      <c r="BC228">
        <v>22.8</v>
      </c>
      <c r="BD228">
        <v>23</v>
      </c>
      <c r="BE228">
        <v>23</v>
      </c>
      <c r="BF228">
        <v>23.2</v>
      </c>
      <c r="BG228">
        <v>22.9</v>
      </c>
      <c r="BH228">
        <v>22.8</v>
      </c>
      <c r="BI228">
        <v>22.8</v>
      </c>
      <c r="BJ228">
        <v>23.1</v>
      </c>
      <c r="BK228">
        <v>23.2</v>
      </c>
      <c r="BL228">
        <v>23</v>
      </c>
      <c r="BM228">
        <v>23.1</v>
      </c>
      <c r="BN228">
        <v>23.2</v>
      </c>
      <c r="BO228">
        <v>22.7</v>
      </c>
      <c r="BP228">
        <v>23.3</v>
      </c>
    </row>
    <row r="229" spans="1:69" x14ac:dyDescent="0.35">
      <c r="A229" t="s">
        <v>656</v>
      </c>
      <c r="B229" t="s">
        <v>139</v>
      </c>
      <c r="C229" t="s">
        <v>749</v>
      </c>
      <c r="D229" t="s">
        <v>750</v>
      </c>
      <c r="AM229">
        <v>17.399999999999999</v>
      </c>
      <c r="AS229">
        <v>17.5</v>
      </c>
      <c r="BB229">
        <v>19.899999999999999</v>
      </c>
      <c r="BI229">
        <v>18.600000000000001</v>
      </c>
    </row>
    <row r="230" spans="1:69" x14ac:dyDescent="0.35">
      <c r="A230" t="s">
        <v>368</v>
      </c>
      <c r="B230" t="s">
        <v>418</v>
      </c>
      <c r="C230" t="s">
        <v>749</v>
      </c>
      <c r="D230" t="s">
        <v>750</v>
      </c>
    </row>
    <row r="231" spans="1:69" x14ac:dyDescent="0.35">
      <c r="A231" t="s">
        <v>504</v>
      </c>
      <c r="B231" t="s">
        <v>155</v>
      </c>
      <c r="C231" t="s">
        <v>749</v>
      </c>
      <c r="D231" t="s">
        <v>750</v>
      </c>
      <c r="AR231">
        <v>20.9</v>
      </c>
      <c r="AY231">
        <v>21.1</v>
      </c>
      <c r="BF231">
        <v>18.399999999999999</v>
      </c>
      <c r="BK231">
        <v>23.5</v>
      </c>
    </row>
    <row r="232" spans="1:69" x14ac:dyDescent="0.35">
      <c r="A232" t="s">
        <v>179</v>
      </c>
      <c r="B232" t="s">
        <v>224</v>
      </c>
      <c r="C232" t="s">
        <v>749</v>
      </c>
      <c r="D232" t="s">
        <v>750</v>
      </c>
      <c r="AO232">
        <v>21.4</v>
      </c>
      <c r="AV232">
        <v>21.3</v>
      </c>
      <c r="AY232">
        <v>21.8</v>
      </c>
      <c r="BB232">
        <v>21.4</v>
      </c>
      <c r="BO232">
        <v>23.1</v>
      </c>
    </row>
    <row r="233" spans="1:69" x14ac:dyDescent="0.35">
      <c r="A233" t="s">
        <v>124</v>
      </c>
      <c r="B233" t="s">
        <v>233</v>
      </c>
      <c r="C233" t="s">
        <v>749</v>
      </c>
      <c r="D233" t="s">
        <v>750</v>
      </c>
    </row>
    <row r="234" spans="1:69" x14ac:dyDescent="0.35">
      <c r="A234" t="s">
        <v>609</v>
      </c>
      <c r="B234" t="s">
        <v>582</v>
      </c>
      <c r="C234" t="s">
        <v>749</v>
      </c>
      <c r="D234" t="s">
        <v>750</v>
      </c>
      <c r="AV234">
        <v>21.9</v>
      </c>
      <c r="BD234">
        <v>21.8</v>
      </c>
      <c r="BK234">
        <v>21.4</v>
      </c>
      <c r="BO234">
        <v>21.4</v>
      </c>
    </row>
    <row r="235" spans="1:69" x14ac:dyDescent="0.35">
      <c r="A235" t="s">
        <v>713</v>
      </c>
      <c r="B235" t="s">
        <v>379</v>
      </c>
      <c r="C235" t="s">
        <v>749</v>
      </c>
      <c r="D235" t="s">
        <v>750</v>
      </c>
    </row>
    <row r="236" spans="1:69" x14ac:dyDescent="0.35">
      <c r="A236" t="s">
        <v>489</v>
      </c>
      <c r="B236" t="s">
        <v>513</v>
      </c>
      <c r="C236" t="s">
        <v>749</v>
      </c>
      <c r="D236" t="s">
        <v>750</v>
      </c>
    </row>
    <row r="237" spans="1:69" x14ac:dyDescent="0.35">
      <c r="A237" t="s">
        <v>260</v>
      </c>
      <c r="B237" t="s">
        <v>388</v>
      </c>
      <c r="C237" t="s">
        <v>749</v>
      </c>
      <c r="D237" t="s">
        <v>750</v>
      </c>
      <c r="AY237">
        <v>21.2</v>
      </c>
      <c r="BD237">
        <v>21.4</v>
      </c>
      <c r="BH237">
        <v>22.4</v>
      </c>
      <c r="BK237">
        <v>21.1</v>
      </c>
      <c r="BN237">
        <v>21.6</v>
      </c>
    </row>
    <row r="238" spans="1:69" x14ac:dyDescent="0.35">
      <c r="A238" t="s">
        <v>557</v>
      </c>
      <c r="B238" t="s">
        <v>450</v>
      </c>
      <c r="C238" t="s">
        <v>749</v>
      </c>
      <c r="D238" t="s">
        <v>750</v>
      </c>
      <c r="Z238">
        <v>20.7</v>
      </c>
      <c r="AG238">
        <v>20.3</v>
      </c>
      <c r="AI238">
        <v>19.8</v>
      </c>
      <c r="AK238">
        <v>19.5</v>
      </c>
      <c r="AM238">
        <v>20.399999999999999</v>
      </c>
      <c r="AO238">
        <v>20.5</v>
      </c>
      <c r="AQ238">
        <v>21.3</v>
      </c>
      <c r="AR238">
        <v>20.6</v>
      </c>
      <c r="AS238">
        <v>20.9</v>
      </c>
      <c r="AU238">
        <v>20.9</v>
      </c>
      <c r="AW238">
        <v>20.9</v>
      </c>
      <c r="AY238">
        <v>21.4</v>
      </c>
      <c r="AZ238">
        <v>21.7</v>
      </c>
      <c r="BA238">
        <v>21.7</v>
      </c>
      <c r="BB238">
        <v>21.8</v>
      </c>
      <c r="BC238">
        <v>21.7</v>
      </c>
      <c r="BD238">
        <v>21.4</v>
      </c>
      <c r="BE238">
        <v>21.8</v>
      </c>
      <c r="BF238">
        <v>22.1</v>
      </c>
      <c r="BG238">
        <v>22.1</v>
      </c>
      <c r="BH238">
        <v>21.9</v>
      </c>
      <c r="BI238">
        <v>21.9</v>
      </c>
      <c r="BJ238">
        <v>22.1</v>
      </c>
      <c r="BK238">
        <v>22.2</v>
      </c>
      <c r="BL238">
        <v>22.3</v>
      </c>
      <c r="BM238">
        <v>22.4</v>
      </c>
      <c r="BN238">
        <v>22.5</v>
      </c>
      <c r="BO238">
        <v>22.5</v>
      </c>
      <c r="BP238">
        <v>22.6</v>
      </c>
    </row>
    <row r="239" spans="1:69" x14ac:dyDescent="0.35">
      <c r="A239" t="s">
        <v>47</v>
      </c>
      <c r="B239" t="s">
        <v>49</v>
      </c>
      <c r="C239" t="s">
        <v>749</v>
      </c>
      <c r="D239" t="s">
        <v>750</v>
      </c>
      <c r="AR239">
        <v>22.7</v>
      </c>
      <c r="AV239">
        <v>22.4</v>
      </c>
      <c r="AW239">
        <v>21.9</v>
      </c>
      <c r="AZ239">
        <v>22.7</v>
      </c>
      <c r="BB239">
        <v>22.6</v>
      </c>
      <c r="BH239">
        <v>22.4</v>
      </c>
      <c r="BN239">
        <v>23.1</v>
      </c>
      <c r="BO239">
        <v>21.4</v>
      </c>
      <c r="BP239">
        <v>21.8</v>
      </c>
      <c r="BQ239">
        <v>22.3</v>
      </c>
    </row>
    <row r="240" spans="1:69" x14ac:dyDescent="0.35">
      <c r="A240" t="s">
        <v>524</v>
      </c>
      <c r="B240" t="s">
        <v>267</v>
      </c>
      <c r="C240" t="s">
        <v>749</v>
      </c>
      <c r="D240" t="s">
        <v>750</v>
      </c>
      <c r="AQ240">
        <v>21.7</v>
      </c>
    </row>
    <row r="241" spans="1:69" x14ac:dyDescent="0.35">
      <c r="A241" t="s">
        <v>147</v>
      </c>
      <c r="B241" t="s">
        <v>611</v>
      </c>
      <c r="C241" t="s">
        <v>749</v>
      </c>
      <c r="D241" t="s">
        <v>750</v>
      </c>
    </row>
    <row r="242" spans="1:69" x14ac:dyDescent="0.35">
      <c r="A242" t="s">
        <v>673</v>
      </c>
      <c r="B242" t="s">
        <v>289</v>
      </c>
      <c r="C242" t="s">
        <v>749</v>
      </c>
      <c r="D242" t="s">
        <v>750</v>
      </c>
      <c r="AT242">
        <v>22.1</v>
      </c>
      <c r="AZ242">
        <v>22.3</v>
      </c>
      <c r="BG242">
        <v>21.8</v>
      </c>
    </row>
    <row r="243" spans="1:69" x14ac:dyDescent="0.35">
      <c r="A243" t="s">
        <v>718</v>
      </c>
      <c r="B243" t="s">
        <v>469</v>
      </c>
      <c r="C243" t="s">
        <v>749</v>
      </c>
      <c r="D243" t="s">
        <v>750</v>
      </c>
    </row>
    <row r="244" spans="1:69" x14ac:dyDescent="0.35">
      <c r="A244" t="s">
        <v>646</v>
      </c>
      <c r="B244" t="s">
        <v>624</v>
      </c>
      <c r="C244" t="s">
        <v>749</v>
      </c>
      <c r="D244" t="s">
        <v>750</v>
      </c>
      <c r="AS244">
        <v>22.6</v>
      </c>
      <c r="BB244">
        <v>22.2</v>
      </c>
      <c r="BH244">
        <v>21.7</v>
      </c>
      <c r="BN244">
        <v>22.7</v>
      </c>
    </row>
    <row r="245" spans="1:69" x14ac:dyDescent="0.35">
      <c r="A245" t="s">
        <v>8</v>
      </c>
      <c r="B245" t="s">
        <v>91</v>
      </c>
      <c r="C245" t="s">
        <v>749</v>
      </c>
      <c r="D245" t="s">
        <v>750</v>
      </c>
    </row>
    <row r="246" spans="1:69" x14ac:dyDescent="0.35">
      <c r="A246" t="s">
        <v>240</v>
      </c>
      <c r="B246" t="s">
        <v>505</v>
      </c>
      <c r="C246" t="s">
        <v>749</v>
      </c>
      <c r="D246" t="s">
        <v>750</v>
      </c>
    </row>
    <row r="247" spans="1:69" x14ac:dyDescent="0.35">
      <c r="A247" t="s">
        <v>665</v>
      </c>
      <c r="B247" t="s">
        <v>176</v>
      </c>
      <c r="C247" t="s">
        <v>749</v>
      </c>
      <c r="D247" t="s">
        <v>750</v>
      </c>
      <c r="AG247">
        <v>22.6</v>
      </c>
      <c r="AK247">
        <v>22.5</v>
      </c>
    </row>
    <row r="248" spans="1:69" x14ac:dyDescent="0.35">
      <c r="A248" t="s">
        <v>214</v>
      </c>
      <c r="B248" t="s">
        <v>21</v>
      </c>
      <c r="C248" t="s">
        <v>749</v>
      </c>
      <c r="D248" t="s">
        <v>750</v>
      </c>
      <c r="AD248">
        <v>21</v>
      </c>
      <c r="AI248">
        <v>22</v>
      </c>
      <c r="AN248">
        <v>21.8</v>
      </c>
      <c r="AS248">
        <v>21.6</v>
      </c>
      <c r="AX248">
        <v>22.1</v>
      </c>
      <c r="BC248">
        <v>22.1</v>
      </c>
      <c r="BH248">
        <v>22.5</v>
      </c>
      <c r="BN248">
        <v>21.9</v>
      </c>
    </row>
    <row r="249" spans="1:69" x14ac:dyDescent="0.35">
      <c r="A249" t="s">
        <v>121</v>
      </c>
      <c r="B249" t="s">
        <v>432</v>
      </c>
      <c r="C249" t="s">
        <v>749</v>
      </c>
      <c r="D249" t="s">
        <v>750</v>
      </c>
      <c r="AF249">
        <v>21.2</v>
      </c>
      <c r="AM249">
        <v>21.6</v>
      </c>
      <c r="AU249">
        <v>21.6</v>
      </c>
      <c r="AV249">
        <v>21.6</v>
      </c>
      <c r="AW249">
        <v>22.4</v>
      </c>
      <c r="AX249">
        <v>21.7</v>
      </c>
      <c r="AY249">
        <v>22.5</v>
      </c>
      <c r="AZ249">
        <v>22.7</v>
      </c>
      <c r="BA249">
        <v>22.4</v>
      </c>
      <c r="BB249">
        <v>22.3</v>
      </c>
      <c r="BC249">
        <v>22.3</v>
      </c>
      <c r="BD249">
        <v>21.9</v>
      </c>
      <c r="BE249">
        <v>22</v>
      </c>
      <c r="BF249">
        <v>21.9</v>
      </c>
      <c r="BG249">
        <v>21.6</v>
      </c>
      <c r="BH249">
        <v>21.1</v>
      </c>
      <c r="BI249">
        <v>21.6</v>
      </c>
      <c r="BJ249">
        <v>21.1</v>
      </c>
      <c r="BK249">
        <v>21.6</v>
      </c>
      <c r="BL249">
        <v>21.3</v>
      </c>
      <c r="BM249">
        <v>21.6</v>
      </c>
      <c r="BN249">
        <v>21</v>
      </c>
      <c r="BO249">
        <v>20.7</v>
      </c>
    </row>
    <row r="250" spans="1:69" x14ac:dyDescent="0.35">
      <c r="A250" t="s">
        <v>443</v>
      </c>
      <c r="B250" t="s">
        <v>98</v>
      </c>
      <c r="C250" t="s">
        <v>749</v>
      </c>
      <c r="D250" t="s">
        <v>750</v>
      </c>
      <c r="BC250">
        <v>21.3</v>
      </c>
    </row>
    <row r="251" spans="1:69" x14ac:dyDescent="0.35">
      <c r="A251" t="s">
        <v>569</v>
      </c>
      <c r="B251" t="s">
        <v>467</v>
      </c>
      <c r="C251" t="s">
        <v>749</v>
      </c>
      <c r="D251" t="s">
        <v>750</v>
      </c>
      <c r="AJ251">
        <v>22.1</v>
      </c>
      <c r="AS251">
        <v>21.9</v>
      </c>
      <c r="AZ251">
        <v>21.1</v>
      </c>
      <c r="BD251">
        <v>20.7</v>
      </c>
      <c r="BK251">
        <v>20.399999999999999</v>
      </c>
    </row>
    <row r="252" spans="1:69" x14ac:dyDescent="0.35">
      <c r="A252" t="s">
        <v>694</v>
      </c>
      <c r="B252" t="s">
        <v>161</v>
      </c>
      <c r="C252" t="s">
        <v>749</v>
      </c>
      <c r="D252" t="s">
        <v>750</v>
      </c>
      <c r="AH252">
        <v>21.6</v>
      </c>
      <c r="AK252">
        <v>20.6</v>
      </c>
      <c r="AO252">
        <v>21.1</v>
      </c>
      <c r="AR252">
        <v>20.3</v>
      </c>
      <c r="AU252">
        <v>19.2</v>
      </c>
      <c r="AX252">
        <v>20.399999999999999</v>
      </c>
      <c r="BB252">
        <v>19.5</v>
      </c>
      <c r="BE252">
        <v>20.6</v>
      </c>
      <c r="BI252">
        <v>20.399999999999999</v>
      </c>
      <c r="BL252">
        <v>20.3</v>
      </c>
    </row>
    <row r="253" spans="1:69" x14ac:dyDescent="0.35">
      <c r="A253" t="s">
        <v>441</v>
      </c>
      <c r="B253" t="s">
        <v>510</v>
      </c>
      <c r="C253" t="s">
        <v>749</v>
      </c>
      <c r="D253" t="s">
        <v>750</v>
      </c>
      <c r="AK253">
        <v>23.2</v>
      </c>
      <c r="AL253">
        <v>22.7</v>
      </c>
      <c r="AN253">
        <v>21.8</v>
      </c>
      <c r="AO253">
        <v>22.1</v>
      </c>
      <c r="AR253">
        <v>22.6</v>
      </c>
      <c r="AU253">
        <v>22.6</v>
      </c>
      <c r="AV253">
        <v>22.3</v>
      </c>
      <c r="AW253">
        <v>22.7</v>
      </c>
      <c r="AX253">
        <v>22.6</v>
      </c>
      <c r="AY253">
        <v>22.3</v>
      </c>
      <c r="AZ253">
        <v>22.5</v>
      </c>
      <c r="BA253">
        <v>22.5</v>
      </c>
      <c r="BB253">
        <v>22.5</v>
      </c>
      <c r="BC253">
        <v>22.4</v>
      </c>
      <c r="BD253">
        <v>22.5</v>
      </c>
      <c r="BE253">
        <v>22.6</v>
      </c>
      <c r="BF253">
        <v>22.2</v>
      </c>
      <c r="BG253">
        <v>22.4</v>
      </c>
      <c r="BH253">
        <v>22.3</v>
      </c>
      <c r="BI253">
        <v>22.5</v>
      </c>
      <c r="BJ253">
        <v>22.4</v>
      </c>
      <c r="BK253">
        <v>22.2</v>
      </c>
      <c r="BL253">
        <v>22.2</v>
      </c>
      <c r="BM253">
        <v>22.1</v>
      </c>
    </row>
    <row r="254" spans="1:69" x14ac:dyDescent="0.35">
      <c r="A254" t="s">
        <v>166</v>
      </c>
      <c r="B254" t="s">
        <v>594</v>
      </c>
      <c r="C254" t="s">
        <v>749</v>
      </c>
      <c r="D254" t="s">
        <v>750</v>
      </c>
    </row>
    <row r="255" spans="1:69" x14ac:dyDescent="0.35">
      <c r="A255" t="s">
        <v>532</v>
      </c>
      <c r="B255" t="s">
        <v>730</v>
      </c>
      <c r="C255" t="s">
        <v>749</v>
      </c>
      <c r="D255" t="s">
        <v>750</v>
      </c>
      <c r="Z255">
        <v>21.6</v>
      </c>
      <c r="AH255">
        <v>21.8</v>
      </c>
      <c r="AK255">
        <v>22</v>
      </c>
      <c r="AN255">
        <v>22.3</v>
      </c>
      <c r="AO255">
        <v>22.3</v>
      </c>
      <c r="AP255">
        <v>22.1</v>
      </c>
      <c r="AQ255">
        <v>22.1</v>
      </c>
      <c r="AS255">
        <v>21.9</v>
      </c>
      <c r="AT255">
        <v>21.8</v>
      </c>
      <c r="AU255">
        <v>21.7</v>
      </c>
      <c r="AV255">
        <v>21.4</v>
      </c>
      <c r="AW255">
        <v>21.5</v>
      </c>
      <c r="AX255">
        <v>21.7</v>
      </c>
      <c r="AY255">
        <v>21.2</v>
      </c>
      <c r="AZ255">
        <v>21.1</v>
      </c>
      <c r="BA255">
        <v>21.4</v>
      </c>
      <c r="BB255">
        <v>21.5</v>
      </c>
      <c r="BC255">
        <v>21.6</v>
      </c>
      <c r="BD255">
        <v>22.1</v>
      </c>
      <c r="BE255">
        <v>22.8</v>
      </c>
      <c r="BF255">
        <v>22.4</v>
      </c>
      <c r="BG255">
        <v>22.5</v>
      </c>
      <c r="BH255">
        <v>22.6</v>
      </c>
      <c r="BI255">
        <v>22.5</v>
      </c>
      <c r="BJ255">
        <v>22.4</v>
      </c>
      <c r="BK255">
        <v>22.5</v>
      </c>
      <c r="BL255">
        <v>22.5</v>
      </c>
      <c r="BM255">
        <v>22.5</v>
      </c>
      <c r="BN255">
        <v>22.2</v>
      </c>
      <c r="BO255">
        <v>22.1</v>
      </c>
      <c r="BP255">
        <v>22.1</v>
      </c>
      <c r="BQ255">
        <v>22.4</v>
      </c>
    </row>
    <row r="256" spans="1:69" x14ac:dyDescent="0.35">
      <c r="A256" t="s">
        <v>408</v>
      </c>
      <c r="B256" t="s">
        <v>617</v>
      </c>
      <c r="C256" t="s">
        <v>749</v>
      </c>
      <c r="D256" t="s">
        <v>750</v>
      </c>
      <c r="H256">
        <v>23.2</v>
      </c>
      <c r="I256">
        <v>23</v>
      </c>
      <c r="J256">
        <v>23.2</v>
      </c>
      <c r="K256">
        <v>23.3</v>
      </c>
      <c r="L256">
        <v>23.3</v>
      </c>
      <c r="M256">
        <v>23.3</v>
      </c>
      <c r="N256">
        <v>23.3</v>
      </c>
      <c r="O256">
        <v>23.3</v>
      </c>
      <c r="P256">
        <v>23.2</v>
      </c>
      <c r="Q256">
        <v>23.4</v>
      </c>
      <c r="R256">
        <v>23.4</v>
      </c>
      <c r="S256">
        <v>23.5</v>
      </c>
      <c r="T256">
        <v>23.5</v>
      </c>
      <c r="U256">
        <v>23.5</v>
      </c>
      <c r="V256">
        <v>23.4</v>
      </c>
      <c r="W256">
        <v>23.6</v>
      </c>
      <c r="X256">
        <v>23.5</v>
      </c>
      <c r="Y256">
        <v>23.6</v>
      </c>
      <c r="Z256">
        <v>23.6</v>
      </c>
      <c r="AA256">
        <v>23.7</v>
      </c>
      <c r="AB256">
        <v>23.8</v>
      </c>
      <c r="AC256">
        <v>23.7</v>
      </c>
      <c r="AD256">
        <v>23.6</v>
      </c>
      <c r="AE256">
        <v>23.7</v>
      </c>
      <c r="AF256">
        <v>23.8</v>
      </c>
      <c r="AG256">
        <v>23.6</v>
      </c>
      <c r="AH256">
        <v>23.3</v>
      </c>
      <c r="AI256">
        <v>23.4</v>
      </c>
      <c r="AJ256">
        <v>23.4</v>
      </c>
      <c r="AK256">
        <v>23.4</v>
      </c>
      <c r="AL256">
        <v>22.9</v>
      </c>
      <c r="AM256">
        <v>22.7</v>
      </c>
      <c r="AN256">
        <v>22.7</v>
      </c>
      <c r="AO256">
        <v>22.6</v>
      </c>
      <c r="AP256">
        <v>22.5</v>
      </c>
      <c r="AQ256">
        <v>22.6</v>
      </c>
      <c r="AR256">
        <v>22.6</v>
      </c>
      <c r="AS256">
        <v>22.4</v>
      </c>
      <c r="AT256">
        <v>22.3</v>
      </c>
      <c r="AU256">
        <v>22.6</v>
      </c>
      <c r="AV256">
        <v>22.7</v>
      </c>
      <c r="AW256">
        <v>22.6</v>
      </c>
      <c r="AX256">
        <v>22.4</v>
      </c>
      <c r="AY256">
        <v>22.3</v>
      </c>
      <c r="AZ256">
        <v>22.6</v>
      </c>
      <c r="BA256">
        <v>22.7</v>
      </c>
      <c r="BB256">
        <v>22.5</v>
      </c>
      <c r="BC256">
        <v>23</v>
      </c>
      <c r="BD256">
        <v>22.8</v>
      </c>
      <c r="BE256">
        <v>22.8</v>
      </c>
      <c r="BF256">
        <v>22.8</v>
      </c>
      <c r="BG256">
        <v>22.5</v>
      </c>
      <c r="BH256">
        <v>22.6</v>
      </c>
      <c r="BI256">
        <v>22.7</v>
      </c>
      <c r="BJ256">
        <v>22.8</v>
      </c>
      <c r="BK256">
        <v>22.6</v>
      </c>
      <c r="BL256">
        <v>22.6</v>
      </c>
      <c r="BM256">
        <v>22.7</v>
      </c>
      <c r="BN256">
        <v>22.2</v>
      </c>
      <c r="BO256">
        <v>22.6</v>
      </c>
      <c r="BP256">
        <v>22.7</v>
      </c>
    </row>
    <row r="257" spans="1:69" x14ac:dyDescent="0.35">
      <c r="A257" t="s">
        <v>315</v>
      </c>
      <c r="B257" t="s">
        <v>158</v>
      </c>
      <c r="C257" t="s">
        <v>749</v>
      </c>
      <c r="D257" t="s">
        <v>750</v>
      </c>
      <c r="AQ257">
        <v>22.4</v>
      </c>
      <c r="AS257">
        <v>21.7</v>
      </c>
      <c r="AU257">
        <v>21.1</v>
      </c>
      <c r="AV257">
        <v>21.4</v>
      </c>
      <c r="BN257">
        <v>23.1</v>
      </c>
      <c r="BO257">
        <v>23.3</v>
      </c>
      <c r="BP257">
        <v>23.2</v>
      </c>
      <c r="BQ257">
        <v>23.1</v>
      </c>
    </row>
    <row r="258" spans="1:69" x14ac:dyDescent="0.35">
      <c r="A258" t="s">
        <v>55</v>
      </c>
      <c r="B258" t="s">
        <v>104</v>
      </c>
      <c r="C258" t="s">
        <v>749</v>
      </c>
      <c r="D258" t="s">
        <v>750</v>
      </c>
    </row>
    <row r="259" spans="1:69" x14ac:dyDescent="0.35">
      <c r="A259" t="s">
        <v>81</v>
      </c>
      <c r="B259" t="s">
        <v>324</v>
      </c>
      <c r="C259" t="s">
        <v>749</v>
      </c>
      <c r="D259" t="s">
        <v>750</v>
      </c>
      <c r="Z259">
        <v>19.399999999999999</v>
      </c>
      <c r="AF259">
        <v>20.2</v>
      </c>
      <c r="AH259">
        <v>22.2</v>
      </c>
      <c r="AK259">
        <v>22</v>
      </c>
      <c r="AN259">
        <v>21.4</v>
      </c>
      <c r="AQ259">
        <v>21.5</v>
      </c>
      <c r="AR259">
        <v>21.3</v>
      </c>
      <c r="AT259">
        <v>21.5</v>
      </c>
      <c r="AU259">
        <v>21.5</v>
      </c>
      <c r="AV259">
        <v>22</v>
      </c>
      <c r="AW259">
        <v>22</v>
      </c>
      <c r="AX259">
        <v>21.7</v>
      </c>
      <c r="AY259">
        <v>22.1</v>
      </c>
    </row>
    <row r="260" spans="1:69" x14ac:dyDescent="0.35">
      <c r="A260" t="s">
        <v>332</v>
      </c>
      <c r="B260" t="s">
        <v>595</v>
      </c>
      <c r="C260" t="s">
        <v>749</v>
      </c>
      <c r="D260" t="s">
        <v>750</v>
      </c>
    </row>
    <row r="261" spans="1:69" x14ac:dyDescent="0.35">
      <c r="A261" t="s">
        <v>436</v>
      </c>
      <c r="B261" t="s">
        <v>138</v>
      </c>
      <c r="C261" t="s">
        <v>749</v>
      </c>
      <c r="D261" t="s">
        <v>750</v>
      </c>
    </row>
    <row r="262" spans="1:69" x14ac:dyDescent="0.35">
      <c r="A262" t="s">
        <v>399</v>
      </c>
      <c r="B262" t="s">
        <v>636</v>
      </c>
      <c r="C262" t="s">
        <v>749</v>
      </c>
      <c r="D262" t="s">
        <v>750</v>
      </c>
      <c r="AK262">
        <v>21.3</v>
      </c>
      <c r="AP262">
        <v>21</v>
      </c>
      <c r="AU262">
        <v>21.1</v>
      </c>
      <c r="AW262">
        <v>21.8</v>
      </c>
      <c r="AY262">
        <v>22.3</v>
      </c>
      <c r="BA262">
        <v>21.8</v>
      </c>
      <c r="BC262">
        <v>21.4</v>
      </c>
      <c r="BE262">
        <v>22.2</v>
      </c>
      <c r="BG262">
        <v>22.4</v>
      </c>
      <c r="BI262">
        <v>22.4</v>
      </c>
      <c r="BK262">
        <v>22.3</v>
      </c>
      <c r="BM262">
        <v>22.1</v>
      </c>
      <c r="BO262">
        <v>22</v>
      </c>
    </row>
    <row r="263" spans="1:69" x14ac:dyDescent="0.35">
      <c r="A263" t="s">
        <v>633</v>
      </c>
      <c r="B263" t="s">
        <v>125</v>
      </c>
      <c r="C263" t="s">
        <v>749</v>
      </c>
      <c r="D263" t="s">
        <v>750</v>
      </c>
      <c r="BC263">
        <v>21.9</v>
      </c>
      <c r="BL263">
        <v>23</v>
      </c>
    </row>
    <row r="264" spans="1:69" x14ac:dyDescent="0.35">
      <c r="A264" t="s">
        <v>591</v>
      </c>
      <c r="B264" t="s">
        <v>717</v>
      </c>
      <c r="C264" t="s">
        <v>749</v>
      </c>
      <c r="D264" t="s">
        <v>750</v>
      </c>
    </row>
    <row r="265" spans="1:69" x14ac:dyDescent="0.35">
      <c r="A265" t="s">
        <v>185</v>
      </c>
      <c r="B265" t="s">
        <v>491</v>
      </c>
      <c r="C265" t="s">
        <v>749</v>
      </c>
      <c r="D265" t="s">
        <v>750</v>
      </c>
      <c r="AU265">
        <v>20.8</v>
      </c>
      <c r="BA265">
        <v>20.3</v>
      </c>
      <c r="BF265">
        <v>20.8</v>
      </c>
    </row>
    <row r="266" spans="1:69" x14ac:dyDescent="0.35">
      <c r="A266" t="s">
        <v>442</v>
      </c>
      <c r="B266" t="s">
        <v>218</v>
      </c>
      <c r="C266" t="s">
        <v>749</v>
      </c>
      <c r="D266" t="s">
        <v>750</v>
      </c>
      <c r="AV266">
        <v>22.7</v>
      </c>
      <c r="AX266">
        <v>22.7</v>
      </c>
      <c r="AY266">
        <v>22.5</v>
      </c>
      <c r="BB266">
        <v>22.3</v>
      </c>
      <c r="BC266">
        <v>22.4</v>
      </c>
      <c r="BD266">
        <v>22.8</v>
      </c>
      <c r="BE266">
        <v>22.4</v>
      </c>
      <c r="BF266">
        <v>22.3</v>
      </c>
      <c r="BG266">
        <v>22.7</v>
      </c>
      <c r="BH266">
        <v>22.7</v>
      </c>
      <c r="BI266">
        <v>22.7</v>
      </c>
      <c r="BJ266">
        <v>23.6</v>
      </c>
      <c r="BK266">
        <v>23.9</v>
      </c>
      <c r="BL266">
        <v>23.4</v>
      </c>
      <c r="BM266">
        <v>18.8</v>
      </c>
      <c r="BN266">
        <v>24.5</v>
      </c>
      <c r="BO266">
        <v>25.2</v>
      </c>
    </row>
    <row r="267" spans="1:69" x14ac:dyDescent="0.35">
      <c r="A267" t="s">
        <v>700</v>
      </c>
      <c r="B267" t="s">
        <v>16</v>
      </c>
      <c r="C267" t="s">
        <v>749</v>
      </c>
      <c r="D267" t="s">
        <v>750</v>
      </c>
      <c r="AQ267">
        <v>22.5</v>
      </c>
      <c r="AX267">
        <v>21.1</v>
      </c>
      <c r="BG267">
        <v>21.2</v>
      </c>
    </row>
    <row r="268" spans="1:69" x14ac:dyDescent="0.35">
      <c r="A268" t="s">
        <v>493</v>
      </c>
      <c r="B268" t="s">
        <v>397</v>
      </c>
      <c r="C268" t="s">
        <v>749</v>
      </c>
      <c r="D268" t="s">
        <v>750</v>
      </c>
      <c r="AL268">
        <v>18.2</v>
      </c>
      <c r="AS268">
        <v>18.8</v>
      </c>
      <c r="AX268">
        <v>14.2</v>
      </c>
      <c r="BA268">
        <v>15.8</v>
      </c>
      <c r="BC268">
        <v>15.9</v>
      </c>
      <c r="BG268">
        <v>16.5</v>
      </c>
    </row>
    <row r="269" spans="1:69" x14ac:dyDescent="0.35">
      <c r="A269" t="s">
        <v>9</v>
      </c>
      <c r="B269" t="s">
        <v>437</v>
      </c>
      <c r="C269" t="s">
        <v>749</v>
      </c>
      <c r="D269" t="s">
        <v>750</v>
      </c>
      <c r="AJ269">
        <v>21.9</v>
      </c>
      <c r="AL269">
        <v>21</v>
      </c>
      <c r="AO269">
        <v>20.7</v>
      </c>
      <c r="AQ269">
        <v>20.5</v>
      </c>
      <c r="AU269">
        <v>20.6</v>
      </c>
      <c r="AW269">
        <v>19.399999999999999</v>
      </c>
      <c r="AY269">
        <v>19.100000000000001</v>
      </c>
      <c r="BC269">
        <v>19.399999999999999</v>
      </c>
      <c r="BH269">
        <v>19.399999999999999</v>
      </c>
      <c r="BO269">
        <v>20.5</v>
      </c>
    </row>
    <row r="270" spans="1:69" x14ac:dyDescent="0.35">
      <c r="A270" t="s">
        <v>741</v>
      </c>
      <c r="B270" t="s">
        <v>350</v>
      </c>
      <c r="C270" t="s">
        <v>749</v>
      </c>
      <c r="D270" t="s">
        <v>750</v>
      </c>
      <c r="BD270">
        <v>21</v>
      </c>
      <c r="BJ270">
        <v>20.6</v>
      </c>
      <c r="BL270">
        <v>19.2</v>
      </c>
    </row>
  </sheetData>
  <pageMargins left="0.7" right="0.7" top="0.75" bottom="0.75" header="0.3" footer="0.3"/>
  <headerFooter alignWithMargins="0">
    <oddFooter>&amp;L_x000D_&amp;1#&amp;"Aptos"&amp;10&amp;K000000 LUT Group Confidential - Other information (3Y)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1B505-1EBE-4122-BB92-12720EAE99F0}">
  <dimension ref="A1:BQ270"/>
  <sheetViews>
    <sheetView workbookViewId="0"/>
  </sheetViews>
  <sheetFormatPr defaultRowHeight="14.5" x14ac:dyDescent="0.35"/>
  <cols>
    <col min="1" max="1" width="60.1796875" bestFit="1" customWidth="1"/>
    <col min="2" max="2" width="25.6328125" bestFit="1" customWidth="1"/>
    <col min="3" max="3" width="28.36328125" bestFit="1" customWidth="1"/>
    <col min="4" max="4" width="13.1796875" bestFit="1" customWidth="1"/>
    <col min="5" max="69" width="5" bestFit="1" customWidth="1"/>
  </cols>
  <sheetData>
    <row r="1" spans="1:69" x14ac:dyDescent="0.35">
      <c r="A1" t="s">
        <v>642</v>
      </c>
      <c r="B1" t="s">
        <v>413</v>
      </c>
    </row>
    <row r="2" spans="1:69" x14ac:dyDescent="0.35">
      <c r="A2" t="s">
        <v>66</v>
      </c>
      <c r="B2" s="2">
        <v>46007</v>
      </c>
    </row>
    <row r="4" spans="1:69" x14ac:dyDescent="0.35">
      <c r="A4" t="s">
        <v>720</v>
      </c>
      <c r="B4" t="s">
        <v>487</v>
      </c>
      <c r="C4" t="s">
        <v>231</v>
      </c>
      <c r="D4" t="s">
        <v>728</v>
      </c>
      <c r="E4" t="s">
        <v>658</v>
      </c>
      <c r="F4" t="s">
        <v>136</v>
      </c>
      <c r="G4" t="s">
        <v>193</v>
      </c>
      <c r="H4" t="s">
        <v>261</v>
      </c>
      <c r="I4" t="s">
        <v>323</v>
      </c>
      <c r="J4" t="s">
        <v>548</v>
      </c>
      <c r="K4" t="s">
        <v>602</v>
      </c>
      <c r="L4" t="s">
        <v>661</v>
      </c>
      <c r="M4" t="s">
        <v>712</v>
      </c>
      <c r="N4" t="s">
        <v>195</v>
      </c>
      <c r="O4" t="s">
        <v>727</v>
      </c>
      <c r="P4" t="s">
        <v>38</v>
      </c>
      <c r="Q4" t="s">
        <v>281</v>
      </c>
      <c r="R4" t="s">
        <v>337</v>
      </c>
      <c r="S4" t="s">
        <v>391</v>
      </c>
      <c r="T4" t="s">
        <v>447</v>
      </c>
      <c r="U4" t="s">
        <v>678</v>
      </c>
      <c r="V4" t="s">
        <v>733</v>
      </c>
      <c r="W4" t="s">
        <v>45</v>
      </c>
      <c r="X4" t="s">
        <v>116</v>
      </c>
      <c r="Y4" t="s">
        <v>62</v>
      </c>
      <c r="Z4" t="s">
        <v>133</v>
      </c>
      <c r="AA4" t="s">
        <v>186</v>
      </c>
      <c r="AB4" t="s">
        <v>403</v>
      </c>
      <c r="AC4" t="s">
        <v>464</v>
      </c>
      <c r="AD4" t="s">
        <v>544</v>
      </c>
      <c r="AE4" t="s">
        <v>598</v>
      </c>
      <c r="AF4" t="s">
        <v>67</v>
      </c>
      <c r="AG4" t="s">
        <v>137</v>
      </c>
      <c r="AH4" t="s">
        <v>194</v>
      </c>
      <c r="AI4" t="s">
        <v>148</v>
      </c>
      <c r="AJ4" t="s">
        <v>204</v>
      </c>
      <c r="AK4" t="s">
        <v>275</v>
      </c>
      <c r="AL4" t="s">
        <v>334</v>
      </c>
      <c r="AM4" t="s">
        <v>558</v>
      </c>
      <c r="AN4" t="s">
        <v>610</v>
      </c>
      <c r="AO4" t="s">
        <v>676</v>
      </c>
      <c r="AP4" t="s">
        <v>729</v>
      </c>
      <c r="AQ4" t="s">
        <v>211</v>
      </c>
      <c r="AR4" t="s">
        <v>282</v>
      </c>
      <c r="AS4" t="s">
        <v>579</v>
      </c>
      <c r="AT4" t="s">
        <v>631</v>
      </c>
      <c r="AU4" t="s">
        <v>107</v>
      </c>
      <c r="AV4" t="s">
        <v>173</v>
      </c>
      <c r="AW4" t="s">
        <v>236</v>
      </c>
      <c r="AX4" t="s">
        <v>308</v>
      </c>
      <c r="AY4" t="s">
        <v>523</v>
      </c>
      <c r="AZ4" t="s">
        <v>584</v>
      </c>
      <c r="BA4" t="s">
        <v>638</v>
      </c>
      <c r="BB4" t="s">
        <v>110</v>
      </c>
      <c r="BC4" t="s">
        <v>647</v>
      </c>
      <c r="BD4" t="s">
        <v>701</v>
      </c>
      <c r="BE4" t="s">
        <v>19</v>
      </c>
      <c r="BF4" t="s">
        <v>252</v>
      </c>
      <c r="BG4" t="s">
        <v>319</v>
      </c>
      <c r="BH4" t="s">
        <v>371</v>
      </c>
      <c r="BI4" t="s">
        <v>428</v>
      </c>
      <c r="BJ4" t="s">
        <v>652</v>
      </c>
      <c r="BK4" t="s">
        <v>705</v>
      </c>
      <c r="BL4" t="s">
        <v>23</v>
      </c>
      <c r="BM4" t="s">
        <v>719</v>
      </c>
      <c r="BN4" t="s">
        <v>34</v>
      </c>
      <c r="BO4" t="s">
        <v>103</v>
      </c>
      <c r="BP4" t="s">
        <v>171</v>
      </c>
      <c r="BQ4" t="s">
        <v>385</v>
      </c>
    </row>
    <row r="5" spans="1:69" x14ac:dyDescent="0.35">
      <c r="A5" t="s">
        <v>529</v>
      </c>
      <c r="B5" t="s">
        <v>12</v>
      </c>
      <c r="C5" t="s">
        <v>751</v>
      </c>
      <c r="D5" t="s">
        <v>752</v>
      </c>
    </row>
    <row r="6" spans="1:69" x14ac:dyDescent="0.35">
      <c r="A6" t="s">
        <v>542</v>
      </c>
      <c r="B6" t="s">
        <v>511</v>
      </c>
      <c r="C6" t="s">
        <v>751</v>
      </c>
      <c r="D6" t="s">
        <v>752</v>
      </c>
    </row>
    <row r="7" spans="1:69" x14ac:dyDescent="0.35">
      <c r="A7" t="s">
        <v>336</v>
      </c>
      <c r="B7" t="s">
        <v>628</v>
      </c>
      <c r="C7" t="s">
        <v>751</v>
      </c>
      <c r="D7" t="s">
        <v>752</v>
      </c>
    </row>
    <row r="8" spans="1:69" x14ac:dyDescent="0.35">
      <c r="A8" t="s">
        <v>706</v>
      </c>
      <c r="B8" t="s">
        <v>177</v>
      </c>
      <c r="C8" t="s">
        <v>751</v>
      </c>
      <c r="D8" t="s">
        <v>752</v>
      </c>
    </row>
    <row r="9" spans="1:69" x14ac:dyDescent="0.35">
      <c r="A9" t="s">
        <v>326</v>
      </c>
      <c r="B9" t="s">
        <v>18</v>
      </c>
      <c r="C9" t="s">
        <v>751</v>
      </c>
      <c r="D9" t="s">
        <v>752</v>
      </c>
      <c r="AS9">
        <v>56.1</v>
      </c>
      <c r="BA9">
        <v>48.5</v>
      </c>
      <c r="BK9">
        <v>55.6</v>
      </c>
    </row>
    <row r="10" spans="1:69" x14ac:dyDescent="0.35">
      <c r="A10" t="s">
        <v>207</v>
      </c>
      <c r="B10" t="s">
        <v>462</v>
      </c>
      <c r="C10" t="s">
        <v>751</v>
      </c>
      <c r="D10" t="s">
        <v>752</v>
      </c>
      <c r="AO10">
        <v>36</v>
      </c>
      <c r="AU10">
        <v>40.299999999999997</v>
      </c>
      <c r="AX10">
        <v>39.200000000000003</v>
      </c>
      <c r="BA10">
        <v>39</v>
      </c>
      <c r="BE10">
        <v>37.799999999999997</v>
      </c>
      <c r="BG10">
        <v>41.7</v>
      </c>
      <c r="BH10">
        <v>40.6</v>
      </c>
      <c r="BI10">
        <v>41.2</v>
      </c>
      <c r="BJ10">
        <v>40.700000000000003</v>
      </c>
      <c r="BK10">
        <v>38.200000000000003</v>
      </c>
      <c r="BL10">
        <v>38.799999999999997</v>
      </c>
      <c r="BM10">
        <v>38</v>
      </c>
    </row>
    <row r="11" spans="1:69" x14ac:dyDescent="0.35">
      <c r="A11" t="s">
        <v>351</v>
      </c>
      <c r="B11" t="s">
        <v>738</v>
      </c>
      <c r="C11" t="s">
        <v>751</v>
      </c>
      <c r="D11" t="s">
        <v>752</v>
      </c>
    </row>
    <row r="12" spans="1:69" x14ac:dyDescent="0.35">
      <c r="A12" t="s">
        <v>115</v>
      </c>
      <c r="B12" t="s">
        <v>618</v>
      </c>
      <c r="C12" t="s">
        <v>751</v>
      </c>
      <c r="D12" t="s">
        <v>752</v>
      </c>
    </row>
    <row r="13" spans="1:69" x14ac:dyDescent="0.35">
      <c r="A13" t="s">
        <v>46</v>
      </c>
      <c r="B13" t="s">
        <v>217</v>
      </c>
      <c r="C13" t="s">
        <v>751</v>
      </c>
      <c r="D13" t="s">
        <v>752</v>
      </c>
      <c r="BF13">
        <v>38.200000000000003</v>
      </c>
      <c r="BK13">
        <v>34.799999999999997</v>
      </c>
    </row>
    <row r="14" spans="1:69" x14ac:dyDescent="0.35">
      <c r="A14" t="s">
        <v>318</v>
      </c>
      <c r="B14" t="s">
        <v>500</v>
      </c>
      <c r="C14" t="s">
        <v>751</v>
      </c>
      <c r="D14" t="s">
        <v>752</v>
      </c>
      <c r="Y14">
        <v>46.6</v>
      </c>
      <c r="AE14">
        <v>48.5</v>
      </c>
      <c r="AF14">
        <v>50.6</v>
      </c>
      <c r="AJ14">
        <v>52.5</v>
      </c>
      <c r="AK14">
        <v>50.8</v>
      </c>
      <c r="AL14">
        <v>49.9</v>
      </c>
      <c r="AM14">
        <v>50.9</v>
      </c>
      <c r="AN14">
        <v>53.8</v>
      </c>
      <c r="AO14">
        <v>54</v>
      </c>
      <c r="AP14">
        <v>53.6</v>
      </c>
      <c r="AQ14">
        <v>55.1</v>
      </c>
      <c r="AR14">
        <v>54.1</v>
      </c>
      <c r="AS14">
        <v>55.1</v>
      </c>
      <c r="AT14">
        <v>57</v>
      </c>
      <c r="AU14">
        <v>57.8</v>
      </c>
      <c r="AV14">
        <v>55</v>
      </c>
      <c r="AW14">
        <v>52.6</v>
      </c>
      <c r="AX14">
        <v>52.1</v>
      </c>
      <c r="AY14">
        <v>50.7</v>
      </c>
      <c r="AZ14">
        <v>50.7</v>
      </c>
      <c r="BA14">
        <v>49.5</v>
      </c>
      <c r="BB14">
        <v>48.4</v>
      </c>
      <c r="BC14">
        <v>48.6</v>
      </c>
      <c r="BD14">
        <v>47.9</v>
      </c>
      <c r="BE14">
        <v>46.6</v>
      </c>
      <c r="BF14">
        <v>46.2</v>
      </c>
      <c r="BG14">
        <v>47</v>
      </c>
      <c r="BI14">
        <v>47.5</v>
      </c>
      <c r="BJ14">
        <v>46.7</v>
      </c>
      <c r="BK14">
        <v>46.9</v>
      </c>
      <c r="BL14">
        <v>48.3</v>
      </c>
      <c r="BM14">
        <v>47.7</v>
      </c>
      <c r="BN14">
        <v>47.8</v>
      </c>
      <c r="BO14">
        <v>46.6</v>
      </c>
      <c r="BP14">
        <v>47.8</v>
      </c>
      <c r="BQ14">
        <v>47.9</v>
      </c>
    </row>
    <row r="15" spans="1:69" x14ac:dyDescent="0.35">
      <c r="A15" t="s">
        <v>89</v>
      </c>
      <c r="B15" t="s">
        <v>293</v>
      </c>
      <c r="C15" t="s">
        <v>751</v>
      </c>
      <c r="D15" t="s">
        <v>752</v>
      </c>
      <c r="AO15">
        <v>50.6</v>
      </c>
      <c r="AR15">
        <v>44.2</v>
      </c>
      <c r="AT15">
        <v>43.9</v>
      </c>
      <c r="AU15">
        <v>43.5</v>
      </c>
      <c r="AV15">
        <v>42.2</v>
      </c>
      <c r="AW15">
        <v>45.8</v>
      </c>
      <c r="AX15">
        <v>44.7</v>
      </c>
      <c r="AY15">
        <v>38.799999999999997</v>
      </c>
      <c r="AZ15">
        <v>40</v>
      </c>
      <c r="BA15">
        <v>38.4</v>
      </c>
      <c r="BB15">
        <v>37.5</v>
      </c>
      <c r="BC15">
        <v>39.4</v>
      </c>
      <c r="BD15">
        <v>38.6</v>
      </c>
      <c r="BE15">
        <v>38.700000000000003</v>
      </c>
      <c r="BF15">
        <v>39.4</v>
      </c>
      <c r="BG15">
        <v>40.1</v>
      </c>
      <c r="BH15">
        <v>40.700000000000003</v>
      </c>
      <c r="BI15">
        <v>40.200000000000003</v>
      </c>
      <c r="BJ15">
        <v>42.4</v>
      </c>
      <c r="BK15">
        <v>43</v>
      </c>
      <c r="BL15">
        <v>39.200000000000003</v>
      </c>
      <c r="BM15">
        <v>35.5</v>
      </c>
      <c r="BN15">
        <v>37.700000000000003</v>
      </c>
      <c r="BO15">
        <v>37.299999999999997</v>
      </c>
      <c r="BP15">
        <v>36.9</v>
      </c>
    </row>
    <row r="16" spans="1:69" x14ac:dyDescent="0.35">
      <c r="A16" t="s">
        <v>112</v>
      </c>
      <c r="B16" t="s">
        <v>360</v>
      </c>
      <c r="C16" t="s">
        <v>751</v>
      </c>
      <c r="D16" t="s">
        <v>752</v>
      </c>
    </row>
    <row r="17" spans="1:68" x14ac:dyDescent="0.35">
      <c r="A17" t="s">
        <v>417</v>
      </c>
      <c r="B17" t="s">
        <v>499</v>
      </c>
      <c r="C17" t="s">
        <v>751</v>
      </c>
      <c r="D17" t="s">
        <v>752</v>
      </c>
    </row>
    <row r="18" spans="1:68" x14ac:dyDescent="0.35">
      <c r="A18" t="s">
        <v>439</v>
      </c>
      <c r="B18" t="s">
        <v>309</v>
      </c>
      <c r="C18" t="s">
        <v>751</v>
      </c>
      <c r="D18" t="s">
        <v>752</v>
      </c>
      <c r="Z18">
        <v>38.799999999999997</v>
      </c>
      <c r="AD18">
        <v>40.200000000000003</v>
      </c>
      <c r="AH18">
        <v>40.200000000000003</v>
      </c>
      <c r="AN18">
        <v>40</v>
      </c>
      <c r="AT18">
        <v>40.6</v>
      </c>
      <c r="AV18">
        <v>40.6</v>
      </c>
      <c r="AW18">
        <v>40.6</v>
      </c>
      <c r="BA18">
        <v>42.7</v>
      </c>
      <c r="BC18">
        <v>42</v>
      </c>
      <c r="BG18">
        <v>41.9</v>
      </c>
      <c r="BI18">
        <v>40.799999999999997</v>
      </c>
      <c r="BK18">
        <v>41.5</v>
      </c>
      <c r="BM18">
        <v>41</v>
      </c>
    </row>
    <row r="19" spans="1:68" x14ac:dyDescent="0.35">
      <c r="A19" t="s">
        <v>63</v>
      </c>
      <c r="B19" t="s">
        <v>361</v>
      </c>
      <c r="C19" t="s">
        <v>751</v>
      </c>
      <c r="D19" t="s">
        <v>752</v>
      </c>
      <c r="AM19">
        <v>38.700000000000003</v>
      </c>
      <c r="AN19">
        <v>37.9</v>
      </c>
      <c r="AO19">
        <v>37.700000000000003</v>
      </c>
      <c r="AP19">
        <v>37.299999999999997</v>
      </c>
      <c r="AQ19">
        <v>39.4</v>
      </c>
      <c r="AR19">
        <v>38</v>
      </c>
      <c r="AS19">
        <v>37.4</v>
      </c>
      <c r="AV19">
        <v>38</v>
      </c>
      <c r="AW19">
        <v>38.5</v>
      </c>
      <c r="AX19">
        <v>37.5</v>
      </c>
      <c r="AY19">
        <v>38.299999999999997</v>
      </c>
      <c r="AZ19">
        <v>38.700000000000003</v>
      </c>
      <c r="BA19">
        <v>38.6</v>
      </c>
      <c r="BB19">
        <v>39.299999999999997</v>
      </c>
      <c r="BC19">
        <v>38.4</v>
      </c>
      <c r="BD19">
        <v>38.700000000000003</v>
      </c>
      <c r="BE19">
        <v>38.4</v>
      </c>
      <c r="BF19">
        <v>38.9</v>
      </c>
      <c r="BG19">
        <v>38.700000000000003</v>
      </c>
      <c r="BH19">
        <v>38.4</v>
      </c>
      <c r="BI19">
        <v>38.6</v>
      </c>
      <c r="BJ19">
        <v>37.799999999999997</v>
      </c>
      <c r="BK19">
        <v>38.700000000000003</v>
      </c>
      <c r="BL19">
        <v>38.200000000000003</v>
      </c>
      <c r="BM19">
        <v>37.799999999999997</v>
      </c>
      <c r="BN19">
        <v>38.4</v>
      </c>
      <c r="BO19">
        <v>38.9</v>
      </c>
      <c r="BP19">
        <v>39</v>
      </c>
    </row>
    <row r="20" spans="1:68" x14ac:dyDescent="0.35">
      <c r="A20" t="s">
        <v>537</v>
      </c>
      <c r="B20" t="s">
        <v>528</v>
      </c>
      <c r="C20" t="s">
        <v>751</v>
      </c>
      <c r="D20" t="s">
        <v>752</v>
      </c>
      <c r="AN20">
        <v>42</v>
      </c>
      <c r="AT20">
        <v>44.5</v>
      </c>
      <c r="AU20">
        <v>36.700000000000003</v>
      </c>
      <c r="AV20">
        <v>37.4</v>
      </c>
      <c r="AW20">
        <v>37.799999999999997</v>
      </c>
      <c r="AX20">
        <v>37.799999999999997</v>
      </c>
    </row>
    <row r="21" spans="1:68" x14ac:dyDescent="0.35">
      <c r="A21" t="s">
        <v>477</v>
      </c>
      <c r="B21" t="s">
        <v>550</v>
      </c>
      <c r="C21" t="s">
        <v>751</v>
      </c>
      <c r="D21" t="s">
        <v>752</v>
      </c>
      <c r="AK21">
        <v>41.6</v>
      </c>
      <c r="AQ21">
        <v>47.8</v>
      </c>
      <c r="AY21">
        <v>42.9</v>
      </c>
      <c r="BF21">
        <v>46.3</v>
      </c>
      <c r="BM21">
        <v>45</v>
      </c>
    </row>
    <row r="22" spans="1:68" x14ac:dyDescent="0.35">
      <c r="A22" t="s">
        <v>643</v>
      </c>
      <c r="B22" t="s">
        <v>48</v>
      </c>
      <c r="C22" t="s">
        <v>751</v>
      </c>
      <c r="D22" t="s">
        <v>752</v>
      </c>
      <c r="AD22">
        <v>34.6</v>
      </c>
      <c r="AG22">
        <v>35</v>
      </c>
      <c r="AK22">
        <v>34.200000000000003</v>
      </c>
      <c r="AN22">
        <v>37</v>
      </c>
      <c r="AP22">
        <v>35.799999999999997</v>
      </c>
      <c r="AS22">
        <v>41.4</v>
      </c>
      <c r="AV22">
        <v>37</v>
      </c>
      <c r="AW22">
        <v>39.200000000000003</v>
      </c>
      <c r="AX22">
        <v>38.200000000000003</v>
      </c>
      <c r="AY22">
        <v>36.9</v>
      </c>
      <c r="AZ22">
        <v>38</v>
      </c>
      <c r="BA22">
        <v>37.200000000000003</v>
      </c>
      <c r="BB22">
        <v>37.200000000000003</v>
      </c>
      <c r="BC22">
        <v>37.200000000000003</v>
      </c>
      <c r="BD22">
        <v>36.799999999999997</v>
      </c>
      <c r="BE22">
        <v>36.4</v>
      </c>
      <c r="BF22">
        <v>36.4</v>
      </c>
      <c r="BG22">
        <v>36.9</v>
      </c>
      <c r="BH22">
        <v>36.5</v>
      </c>
      <c r="BI22">
        <v>36.4</v>
      </c>
      <c r="BJ22">
        <v>36.299999999999997</v>
      </c>
      <c r="BK22">
        <v>36.4</v>
      </c>
      <c r="BL22">
        <v>36.5</v>
      </c>
      <c r="BM22">
        <v>35.5</v>
      </c>
      <c r="BN22">
        <v>36</v>
      </c>
      <c r="BO22">
        <v>36.1</v>
      </c>
      <c r="BP22">
        <v>36.299999999999997</v>
      </c>
    </row>
    <row r="23" spans="1:68" x14ac:dyDescent="0.35">
      <c r="A23" t="s">
        <v>629</v>
      </c>
      <c r="B23" t="s">
        <v>343</v>
      </c>
      <c r="C23" t="s">
        <v>751</v>
      </c>
      <c r="D23" t="s">
        <v>752</v>
      </c>
      <c r="AV23">
        <v>46.2</v>
      </c>
      <c r="BD23">
        <v>50.7</v>
      </c>
      <c r="BH23">
        <v>52.1</v>
      </c>
      <c r="BK23">
        <v>45.5</v>
      </c>
      <c r="BN23">
        <v>42.3</v>
      </c>
    </row>
    <row r="24" spans="1:68" x14ac:dyDescent="0.35">
      <c r="A24" t="s">
        <v>120</v>
      </c>
      <c r="B24" t="s">
        <v>463</v>
      </c>
      <c r="C24" t="s">
        <v>751</v>
      </c>
      <c r="D24" t="s">
        <v>752</v>
      </c>
      <c r="AM24">
        <v>55</v>
      </c>
      <c r="AQ24">
        <v>56.5</v>
      </c>
      <c r="AV24">
        <v>49.7</v>
      </c>
      <c r="BB24">
        <v>47.1</v>
      </c>
      <c r="BG24">
        <v>44.3</v>
      </c>
      <c r="BK24">
        <v>50.3</v>
      </c>
      <c r="BN24">
        <v>45.3</v>
      </c>
    </row>
    <row r="25" spans="1:68" x14ac:dyDescent="0.35">
      <c r="A25" t="s">
        <v>39</v>
      </c>
      <c r="B25" t="s">
        <v>152</v>
      </c>
      <c r="C25" t="s">
        <v>751</v>
      </c>
      <c r="D25" t="s">
        <v>752</v>
      </c>
      <c r="AB25">
        <v>35.799999999999997</v>
      </c>
      <c r="AD25">
        <v>37.200000000000003</v>
      </c>
      <c r="AG25">
        <v>38.6</v>
      </c>
      <c r="AJ25">
        <v>37.4</v>
      </c>
      <c r="AN25">
        <v>42.4</v>
      </c>
      <c r="AS25">
        <v>42.7</v>
      </c>
      <c r="AX25">
        <v>42.5</v>
      </c>
      <c r="BC25">
        <v>41.5</v>
      </c>
      <c r="BI25">
        <v>41.4</v>
      </c>
      <c r="BO25">
        <v>40.1</v>
      </c>
    </row>
    <row r="26" spans="1:68" x14ac:dyDescent="0.35">
      <c r="A26" t="s">
        <v>608</v>
      </c>
      <c r="B26" t="s">
        <v>154</v>
      </c>
      <c r="C26" t="s">
        <v>751</v>
      </c>
      <c r="D26" t="s">
        <v>752</v>
      </c>
      <c r="AH26">
        <v>34</v>
      </c>
      <c r="AK26">
        <v>39.299999999999997</v>
      </c>
      <c r="AM26">
        <v>34.799999999999997</v>
      </c>
      <c r="AN26">
        <v>40.9</v>
      </c>
      <c r="AP26">
        <v>36.799999999999997</v>
      </c>
      <c r="AT26">
        <v>40</v>
      </c>
      <c r="AV26">
        <v>38</v>
      </c>
      <c r="AY26">
        <v>41.7</v>
      </c>
      <c r="AZ26">
        <v>43</v>
      </c>
      <c r="BA26">
        <v>41</v>
      </c>
      <c r="BB26">
        <v>40.9</v>
      </c>
      <c r="BC26">
        <v>42.2</v>
      </c>
      <c r="BD26">
        <v>41.1</v>
      </c>
      <c r="BE26">
        <v>42.7</v>
      </c>
      <c r="BF26">
        <v>42.8</v>
      </c>
      <c r="BG26">
        <v>43.9</v>
      </c>
      <c r="BH26">
        <v>44.3</v>
      </c>
      <c r="BI26">
        <v>46.3</v>
      </c>
      <c r="BJ26">
        <v>46.6</v>
      </c>
      <c r="BK26">
        <v>47.6</v>
      </c>
      <c r="BL26">
        <v>46.6</v>
      </c>
      <c r="BM26">
        <v>47.4</v>
      </c>
      <c r="BN26">
        <v>45.6</v>
      </c>
      <c r="BO26">
        <v>45.1</v>
      </c>
      <c r="BP26">
        <v>46.2</v>
      </c>
    </row>
    <row r="27" spans="1:68" x14ac:dyDescent="0.35">
      <c r="A27" t="s">
        <v>372</v>
      </c>
      <c r="B27" t="s">
        <v>71</v>
      </c>
      <c r="C27" t="s">
        <v>751</v>
      </c>
      <c r="D27" t="s">
        <v>752</v>
      </c>
    </row>
    <row r="28" spans="1:68" x14ac:dyDescent="0.35">
      <c r="A28" t="s">
        <v>169</v>
      </c>
      <c r="B28" t="s">
        <v>302</v>
      </c>
      <c r="C28" t="s">
        <v>751</v>
      </c>
      <c r="D28" t="s">
        <v>752</v>
      </c>
    </row>
    <row r="29" spans="1:68" x14ac:dyDescent="0.35">
      <c r="A29" t="s">
        <v>398</v>
      </c>
      <c r="B29" t="s">
        <v>556</v>
      </c>
      <c r="C29" t="s">
        <v>751</v>
      </c>
      <c r="D29" t="s">
        <v>752</v>
      </c>
      <c r="AT29">
        <v>38.799999999999997</v>
      </c>
      <c r="AW29">
        <v>41.8</v>
      </c>
      <c r="AZ29">
        <v>40.700000000000003</v>
      </c>
      <c r="BD29">
        <v>40.700000000000003</v>
      </c>
    </row>
    <row r="30" spans="1:68" x14ac:dyDescent="0.35">
      <c r="A30" t="s">
        <v>590</v>
      </c>
      <c r="B30" t="s">
        <v>226</v>
      </c>
      <c r="C30" t="s">
        <v>751</v>
      </c>
      <c r="D30" t="s">
        <v>752</v>
      </c>
      <c r="AL30">
        <v>32.9</v>
      </c>
      <c r="AN30">
        <v>37.4</v>
      </c>
      <c r="AQ30">
        <v>40.1</v>
      </c>
      <c r="AR30">
        <v>39.4</v>
      </c>
      <c r="AS30">
        <v>39.1</v>
      </c>
      <c r="AT30">
        <v>38.9</v>
      </c>
      <c r="AU30">
        <v>38.799999999999997</v>
      </c>
      <c r="AV30">
        <v>37.6</v>
      </c>
      <c r="AW30">
        <v>35.9</v>
      </c>
      <c r="AX30">
        <v>36.5</v>
      </c>
      <c r="AY30">
        <v>37.1</v>
      </c>
      <c r="AZ30">
        <v>38.4</v>
      </c>
      <c r="BA30">
        <v>36.799999999999997</v>
      </c>
      <c r="BB30">
        <v>37</v>
      </c>
      <c r="BC30">
        <v>37.5</v>
      </c>
      <c r="BD30">
        <v>36.299999999999997</v>
      </c>
      <c r="BE30">
        <v>36.1</v>
      </c>
      <c r="BF30">
        <v>36.200000000000003</v>
      </c>
      <c r="BG30">
        <v>36.700000000000003</v>
      </c>
      <c r="BH30">
        <v>35.4</v>
      </c>
      <c r="BI30">
        <v>35.4</v>
      </c>
      <c r="BJ30">
        <v>35.5</v>
      </c>
      <c r="BK30">
        <v>35.5</v>
      </c>
      <c r="BL30">
        <v>35.4</v>
      </c>
      <c r="BM30">
        <v>34.799999999999997</v>
      </c>
    </row>
    <row r="31" spans="1:68" x14ac:dyDescent="0.35">
      <c r="A31" t="s">
        <v>322</v>
      </c>
      <c r="B31" t="s">
        <v>299</v>
      </c>
      <c r="C31" t="s">
        <v>751</v>
      </c>
      <c r="D31" t="s">
        <v>752</v>
      </c>
      <c r="AL31">
        <v>64.3</v>
      </c>
      <c r="AM31">
        <v>65.400000000000006</v>
      </c>
      <c r="AN31">
        <v>60.9</v>
      </c>
      <c r="AO31">
        <v>61.3</v>
      </c>
      <c r="AP31">
        <v>64.099999999999994</v>
      </c>
      <c r="AQ31">
        <v>59.3</v>
      </c>
      <c r="AR31">
        <v>57.7</v>
      </c>
      <c r="BK31">
        <v>46.3</v>
      </c>
    </row>
    <row r="32" spans="1:68" x14ac:dyDescent="0.35">
      <c r="A32" t="s">
        <v>380</v>
      </c>
      <c r="B32" t="s">
        <v>639</v>
      </c>
      <c r="C32" t="s">
        <v>751</v>
      </c>
      <c r="D32" t="s">
        <v>752</v>
      </c>
    </row>
    <row r="33" spans="1:68" x14ac:dyDescent="0.35">
      <c r="A33" t="s">
        <v>56</v>
      </c>
      <c r="B33" t="s">
        <v>518</v>
      </c>
      <c r="C33" t="s">
        <v>751</v>
      </c>
      <c r="D33" t="s">
        <v>752</v>
      </c>
      <c r="AI33">
        <v>48.2</v>
      </c>
      <c r="AK33">
        <v>54.7</v>
      </c>
      <c r="AP33">
        <v>61.7</v>
      </c>
      <c r="AR33">
        <v>60.5</v>
      </c>
      <c r="AS33">
        <v>64.099999999999994</v>
      </c>
      <c r="AT33">
        <v>60.6</v>
      </c>
      <c r="AU33">
        <v>62.3</v>
      </c>
      <c r="AW33">
        <v>59.5</v>
      </c>
      <c r="AX33">
        <v>61.9</v>
      </c>
      <c r="AY33">
        <v>60.1</v>
      </c>
      <c r="AZ33">
        <v>58.7</v>
      </c>
      <c r="BA33">
        <v>54.8</v>
      </c>
      <c r="BB33">
        <v>53.2</v>
      </c>
      <c r="BD33">
        <v>50.6</v>
      </c>
      <c r="BE33">
        <v>50.6</v>
      </c>
      <c r="BF33">
        <v>51.9</v>
      </c>
      <c r="BG33">
        <v>52.3</v>
      </c>
      <c r="BH33">
        <v>51.1</v>
      </c>
      <c r="BI33">
        <v>49.4</v>
      </c>
      <c r="BJ33">
        <v>49</v>
      </c>
      <c r="BK33">
        <v>47.5</v>
      </c>
      <c r="BL33">
        <v>47.3</v>
      </c>
      <c r="BM33">
        <v>49</v>
      </c>
      <c r="BN33">
        <v>46.7</v>
      </c>
      <c r="BO33">
        <v>46.7</v>
      </c>
      <c r="BP33">
        <v>47.7</v>
      </c>
    </row>
    <row r="34" spans="1:68" x14ac:dyDescent="0.35">
      <c r="A34" t="s">
        <v>593</v>
      </c>
      <c r="B34" t="s">
        <v>341</v>
      </c>
      <c r="C34" t="s">
        <v>751</v>
      </c>
      <c r="D34" t="s">
        <v>752</v>
      </c>
      <c r="Z34">
        <v>62.3</v>
      </c>
      <c r="AA34">
        <v>62.7</v>
      </c>
      <c r="AB34">
        <v>63.4</v>
      </c>
      <c r="AC34">
        <v>62.9</v>
      </c>
      <c r="AD34">
        <v>60</v>
      </c>
      <c r="AE34">
        <v>62.8</v>
      </c>
      <c r="AF34">
        <v>63.7</v>
      </c>
      <c r="AG34">
        <v>65.5</v>
      </c>
      <c r="AH34">
        <v>67.3</v>
      </c>
      <c r="AI34">
        <v>64.599999999999994</v>
      </c>
      <c r="AK34">
        <v>57.1</v>
      </c>
      <c r="AL34">
        <v>64.2</v>
      </c>
      <c r="AN34">
        <v>63.8</v>
      </c>
      <c r="AO34">
        <v>63.9</v>
      </c>
      <c r="AP34">
        <v>63.8</v>
      </c>
      <c r="AQ34">
        <v>63.8</v>
      </c>
      <c r="AR34">
        <v>63.3</v>
      </c>
      <c r="AT34">
        <v>62.5</v>
      </c>
      <c r="AU34">
        <v>62.4</v>
      </c>
      <c r="AV34">
        <v>61.8</v>
      </c>
      <c r="AW34">
        <v>60.8</v>
      </c>
      <c r="AX34">
        <v>60.7</v>
      </c>
      <c r="AY34">
        <v>60.1</v>
      </c>
      <c r="AZ34">
        <v>59.3</v>
      </c>
      <c r="BA34">
        <v>58.6</v>
      </c>
      <c r="BB34">
        <v>58.2</v>
      </c>
      <c r="BD34">
        <v>57.5</v>
      </c>
      <c r="BE34">
        <v>58.1</v>
      </c>
      <c r="BF34">
        <v>57.5</v>
      </c>
      <c r="BG34">
        <v>56.9</v>
      </c>
      <c r="BH34">
        <v>56.7</v>
      </c>
      <c r="BI34">
        <v>58</v>
      </c>
      <c r="BJ34">
        <v>57.8</v>
      </c>
      <c r="BK34">
        <v>58.3</v>
      </c>
      <c r="BL34">
        <v>57.8</v>
      </c>
      <c r="BM34">
        <v>54.7</v>
      </c>
      <c r="BN34">
        <v>57.5</v>
      </c>
      <c r="BO34">
        <v>56.9</v>
      </c>
      <c r="BP34">
        <v>56.6</v>
      </c>
    </row>
    <row r="35" spans="1:68" x14ac:dyDescent="0.35">
      <c r="A35" t="s">
        <v>563</v>
      </c>
      <c r="B35" t="s">
        <v>395</v>
      </c>
      <c r="C35" t="s">
        <v>751</v>
      </c>
      <c r="D35" t="s">
        <v>752</v>
      </c>
      <c r="BI35">
        <v>41.2</v>
      </c>
    </row>
    <row r="36" spans="1:68" x14ac:dyDescent="0.35">
      <c r="A36" t="s">
        <v>435</v>
      </c>
      <c r="B36" t="s">
        <v>129</v>
      </c>
      <c r="C36" t="s">
        <v>751</v>
      </c>
      <c r="D36" t="s">
        <v>752</v>
      </c>
    </row>
    <row r="37" spans="1:68" x14ac:dyDescent="0.35">
      <c r="A37" t="s">
        <v>572</v>
      </c>
      <c r="B37" t="s">
        <v>122</v>
      </c>
      <c r="C37" t="s">
        <v>751</v>
      </c>
      <c r="D37" t="s">
        <v>752</v>
      </c>
      <c r="AV37">
        <v>47.9</v>
      </c>
      <c r="AZ37">
        <v>45.1</v>
      </c>
      <c r="BE37">
        <v>46</v>
      </c>
      <c r="BJ37">
        <v>44.4</v>
      </c>
      <c r="BO37">
        <v>37.299999999999997</v>
      </c>
    </row>
    <row r="38" spans="1:68" x14ac:dyDescent="0.35">
      <c r="A38" t="s">
        <v>51</v>
      </c>
      <c r="B38" t="s">
        <v>402</v>
      </c>
      <c r="C38" t="s">
        <v>751</v>
      </c>
      <c r="D38" t="s">
        <v>752</v>
      </c>
      <c r="AD38">
        <v>58.9</v>
      </c>
      <c r="AL38">
        <v>64.3</v>
      </c>
      <c r="AU38">
        <v>66.5</v>
      </c>
      <c r="BB38">
        <v>61.7</v>
      </c>
      <c r="BH38">
        <v>59.9</v>
      </c>
    </row>
    <row r="39" spans="1:68" x14ac:dyDescent="0.35">
      <c r="A39" t="s">
        <v>188</v>
      </c>
      <c r="B39" t="s">
        <v>492</v>
      </c>
      <c r="C39" t="s">
        <v>751</v>
      </c>
      <c r="D39" t="s">
        <v>752</v>
      </c>
      <c r="AK39">
        <v>64.3</v>
      </c>
      <c r="BA39">
        <v>60.8</v>
      </c>
      <c r="BN39">
        <v>49.2</v>
      </c>
    </row>
    <row r="40" spans="1:68" x14ac:dyDescent="0.35">
      <c r="A40" t="s">
        <v>203</v>
      </c>
      <c r="B40" t="s">
        <v>564</v>
      </c>
      <c r="C40" t="s">
        <v>751</v>
      </c>
      <c r="D40" t="s">
        <v>752</v>
      </c>
      <c r="P40">
        <v>43</v>
      </c>
      <c r="R40">
        <v>41.2</v>
      </c>
      <c r="T40">
        <v>40.6</v>
      </c>
      <c r="V40">
        <v>40.1</v>
      </c>
      <c r="X40">
        <v>40</v>
      </c>
      <c r="Z40">
        <v>39.799999999999997</v>
      </c>
      <c r="AA40">
        <v>39.9</v>
      </c>
      <c r="AC40">
        <v>40.299999999999997</v>
      </c>
      <c r="AD40">
        <v>40.1</v>
      </c>
      <c r="AE40">
        <v>38.9</v>
      </c>
      <c r="AF40">
        <v>39</v>
      </c>
      <c r="AG40">
        <v>38.6</v>
      </c>
      <c r="AH40">
        <v>38.299999999999997</v>
      </c>
      <c r="AI40">
        <v>38.5</v>
      </c>
      <c r="AJ40">
        <v>39</v>
      </c>
      <c r="AK40">
        <v>38.799999999999997</v>
      </c>
      <c r="AL40">
        <v>38.799999999999997</v>
      </c>
      <c r="AM40">
        <v>38.6</v>
      </c>
      <c r="AN40">
        <v>38.700000000000003</v>
      </c>
      <c r="AO40">
        <v>39.9</v>
      </c>
      <c r="AP40">
        <v>40.299999999999997</v>
      </c>
      <c r="AQ40">
        <v>40.299999999999997</v>
      </c>
      <c r="AR40">
        <v>40.1</v>
      </c>
      <c r="AS40">
        <v>40.4</v>
      </c>
      <c r="AT40">
        <v>40.6</v>
      </c>
      <c r="AU40">
        <v>40.5</v>
      </c>
      <c r="AV40">
        <v>40.700000000000003</v>
      </c>
      <c r="AW40">
        <v>40.6</v>
      </c>
      <c r="AX40">
        <v>40.5</v>
      </c>
      <c r="AY40">
        <v>41</v>
      </c>
      <c r="AZ40">
        <v>40.9</v>
      </c>
      <c r="BA40">
        <v>40.9</v>
      </c>
      <c r="BB40">
        <v>40.799999999999997</v>
      </c>
      <c r="BC40">
        <v>40.6</v>
      </c>
      <c r="BD40">
        <v>39.9</v>
      </c>
      <c r="BE40">
        <v>40.200000000000003</v>
      </c>
      <c r="BF40">
        <v>40.299999999999997</v>
      </c>
      <c r="BG40">
        <v>40.1</v>
      </c>
      <c r="BH40">
        <v>40.5</v>
      </c>
      <c r="BI40">
        <v>39.799999999999997</v>
      </c>
      <c r="BJ40">
        <v>40.299999999999997</v>
      </c>
      <c r="BK40">
        <v>39.700000000000003</v>
      </c>
      <c r="BL40">
        <v>39.1</v>
      </c>
      <c r="BM40">
        <v>38.1</v>
      </c>
      <c r="BN40">
        <v>39.1</v>
      </c>
    </row>
    <row r="41" spans="1:68" x14ac:dyDescent="0.35">
      <c r="A41" t="s">
        <v>444</v>
      </c>
      <c r="B41" t="s">
        <v>239</v>
      </c>
      <c r="C41" t="s">
        <v>751</v>
      </c>
      <c r="D41" t="s">
        <v>752</v>
      </c>
    </row>
    <row r="42" spans="1:68" x14ac:dyDescent="0.35">
      <c r="A42" t="s">
        <v>191</v>
      </c>
      <c r="B42" t="s">
        <v>648</v>
      </c>
      <c r="C42" t="s">
        <v>751</v>
      </c>
      <c r="D42" t="s">
        <v>752</v>
      </c>
      <c r="AA42">
        <v>43.2</v>
      </c>
      <c r="AK42">
        <v>41</v>
      </c>
      <c r="AS42">
        <v>40.9</v>
      </c>
      <c r="AU42">
        <v>39.299999999999997</v>
      </c>
      <c r="AW42">
        <v>39.200000000000003</v>
      </c>
      <c r="AY42">
        <v>41.4</v>
      </c>
      <c r="AZ42">
        <v>41.8</v>
      </c>
      <c r="BA42">
        <v>41.3</v>
      </c>
      <c r="BB42">
        <v>40.6</v>
      </c>
      <c r="BC42">
        <v>40.4</v>
      </c>
      <c r="BD42">
        <v>39.700000000000003</v>
      </c>
      <c r="BE42">
        <v>39.799999999999997</v>
      </c>
      <c r="BF42">
        <v>40.5</v>
      </c>
      <c r="BG42">
        <v>40.5</v>
      </c>
      <c r="BH42">
        <v>40.200000000000003</v>
      </c>
      <c r="BI42">
        <v>40.799999999999997</v>
      </c>
      <c r="BJ42">
        <v>40.6</v>
      </c>
      <c r="BK42">
        <v>40.799999999999997</v>
      </c>
      <c r="BL42">
        <v>41.6</v>
      </c>
      <c r="BM42">
        <v>41.5</v>
      </c>
      <c r="BN42">
        <v>41.5</v>
      </c>
      <c r="BO42">
        <v>41.5</v>
      </c>
    </row>
    <row r="43" spans="1:68" x14ac:dyDescent="0.35">
      <c r="A43" t="s">
        <v>396</v>
      </c>
      <c r="B43" t="s">
        <v>320</v>
      </c>
      <c r="C43" t="s">
        <v>751</v>
      </c>
      <c r="D43" t="s">
        <v>752</v>
      </c>
    </row>
    <row r="44" spans="1:68" x14ac:dyDescent="0.35">
      <c r="A44" t="s">
        <v>167</v>
      </c>
      <c r="B44" t="s">
        <v>655</v>
      </c>
      <c r="C44" t="s">
        <v>751</v>
      </c>
      <c r="D44" t="s">
        <v>752</v>
      </c>
      <c r="AF44">
        <v>61.4</v>
      </c>
      <c r="AI44">
        <v>62.5</v>
      </c>
      <c r="AK44">
        <v>60.1</v>
      </c>
      <c r="AM44">
        <v>61.5</v>
      </c>
      <c r="AO44">
        <v>60.1</v>
      </c>
      <c r="AQ44">
        <v>60.7</v>
      </c>
      <c r="AS44">
        <v>58</v>
      </c>
      <c r="AV44">
        <v>56.8</v>
      </c>
      <c r="AY44">
        <v>53.8</v>
      </c>
      <c r="BB44">
        <v>53.8</v>
      </c>
      <c r="BD44">
        <v>53.4</v>
      </c>
      <c r="BF44">
        <v>53.6</v>
      </c>
      <c r="BH44">
        <v>52.1</v>
      </c>
      <c r="BJ44">
        <v>52</v>
      </c>
      <c r="BM44">
        <v>53.3</v>
      </c>
      <c r="BO44">
        <v>49.9</v>
      </c>
    </row>
    <row r="45" spans="1:68" x14ac:dyDescent="0.35">
      <c r="A45" t="s">
        <v>506</v>
      </c>
      <c r="B45" t="s">
        <v>189</v>
      </c>
      <c r="C45" t="s">
        <v>751</v>
      </c>
      <c r="D45" t="s">
        <v>752</v>
      </c>
      <c r="Z45">
        <v>37.200000000000003</v>
      </c>
      <c r="AC45">
        <v>36.1</v>
      </c>
      <c r="AF45">
        <v>37.5</v>
      </c>
      <c r="AI45">
        <v>40.799999999999997</v>
      </c>
      <c r="AL45">
        <v>42.2</v>
      </c>
      <c r="AO45">
        <v>42.9</v>
      </c>
      <c r="AR45">
        <v>45.6</v>
      </c>
      <c r="AU45">
        <v>47.9</v>
      </c>
      <c r="AX45">
        <v>47.1</v>
      </c>
      <c r="BA45">
        <v>48.4</v>
      </c>
      <c r="BC45">
        <v>49</v>
      </c>
      <c r="BD45">
        <v>48.1</v>
      </c>
      <c r="BE45">
        <v>47.8</v>
      </c>
      <c r="BF45">
        <v>46.3</v>
      </c>
      <c r="BG45">
        <v>45.8</v>
      </c>
      <c r="BH45">
        <v>45.4</v>
      </c>
      <c r="BI45">
        <v>45.3</v>
      </c>
      <c r="BJ45">
        <v>45.9</v>
      </c>
      <c r="BK45">
        <v>45.4</v>
      </c>
      <c r="BL45">
        <v>45.3</v>
      </c>
      <c r="BM45">
        <v>44.7</v>
      </c>
      <c r="BN45">
        <v>43.6</v>
      </c>
      <c r="BO45">
        <v>43.7</v>
      </c>
    </row>
    <row r="46" spans="1:68" x14ac:dyDescent="0.35">
      <c r="A46" t="s">
        <v>688</v>
      </c>
      <c r="B46" t="s">
        <v>338</v>
      </c>
      <c r="C46" t="s">
        <v>751</v>
      </c>
      <c r="D46" t="s">
        <v>752</v>
      </c>
      <c r="AD46">
        <v>51.2</v>
      </c>
      <c r="AE46">
        <v>45.4</v>
      </c>
      <c r="AF46">
        <v>47.5</v>
      </c>
      <c r="AG46">
        <v>43.8</v>
      </c>
      <c r="AK46">
        <v>45.8</v>
      </c>
      <c r="AN46">
        <v>47.4</v>
      </c>
      <c r="AQ46">
        <v>46.2</v>
      </c>
      <c r="AU46">
        <v>48.5</v>
      </c>
      <c r="BA46">
        <v>49</v>
      </c>
      <c r="BH46">
        <v>47.7</v>
      </c>
      <c r="BK46">
        <v>44.7</v>
      </c>
      <c r="BN46">
        <v>43.3</v>
      </c>
    </row>
    <row r="47" spans="1:68" x14ac:dyDescent="0.35">
      <c r="A47" t="s">
        <v>742</v>
      </c>
      <c r="B47" t="s">
        <v>79</v>
      </c>
      <c r="C47" t="s">
        <v>751</v>
      </c>
      <c r="D47" t="s">
        <v>752</v>
      </c>
      <c r="AO47">
        <v>51.7</v>
      </c>
      <c r="AT47">
        <v>49</v>
      </c>
      <c r="AZ47">
        <v>49.1</v>
      </c>
      <c r="BG47">
        <v>51.7</v>
      </c>
      <c r="BN47">
        <v>47.9</v>
      </c>
    </row>
    <row r="48" spans="1:68" x14ac:dyDescent="0.35">
      <c r="A48" t="s">
        <v>498</v>
      </c>
      <c r="B48" t="s">
        <v>230</v>
      </c>
      <c r="C48" t="s">
        <v>751</v>
      </c>
      <c r="D48" t="s">
        <v>752</v>
      </c>
      <c r="AW48">
        <v>48.3</v>
      </c>
      <c r="BE48">
        <v>48.4</v>
      </c>
      <c r="BM48">
        <v>51.1</v>
      </c>
    </row>
    <row r="49" spans="1:69" x14ac:dyDescent="0.35">
      <c r="A49" t="s">
        <v>394</v>
      </c>
      <c r="B49" t="s">
        <v>411</v>
      </c>
      <c r="C49" t="s">
        <v>751</v>
      </c>
      <c r="D49" t="s">
        <v>752</v>
      </c>
      <c r="AX49">
        <v>53.2</v>
      </c>
      <c r="BD49">
        <v>53.7</v>
      </c>
    </row>
    <row r="50" spans="1:69" x14ac:dyDescent="0.35">
      <c r="A50" t="s">
        <v>559</v>
      </c>
      <c r="B50" t="s">
        <v>305</v>
      </c>
      <c r="C50" t="s">
        <v>751</v>
      </c>
      <c r="D50" t="s">
        <v>752</v>
      </c>
      <c r="Y50">
        <v>59</v>
      </c>
      <c r="AG50">
        <v>57.3</v>
      </c>
      <c r="AH50">
        <v>57.3</v>
      </c>
      <c r="AJ50">
        <v>55.8</v>
      </c>
      <c r="AK50">
        <v>56.6</v>
      </c>
      <c r="AO50">
        <v>60.7</v>
      </c>
      <c r="AR50">
        <v>62.3</v>
      </c>
      <c r="AS50">
        <v>62.1</v>
      </c>
      <c r="AT50">
        <v>61.4</v>
      </c>
      <c r="AU50">
        <v>60.6</v>
      </c>
      <c r="AV50">
        <v>58.6</v>
      </c>
      <c r="AW50">
        <v>60</v>
      </c>
      <c r="AX50">
        <v>59</v>
      </c>
      <c r="BA50">
        <v>59.7</v>
      </c>
      <c r="BB50">
        <v>58.8</v>
      </c>
      <c r="BC50">
        <v>59.2</v>
      </c>
      <c r="BD50">
        <v>58.2</v>
      </c>
      <c r="BE50">
        <v>57.3</v>
      </c>
      <c r="BF50">
        <v>57.3</v>
      </c>
      <c r="BG50">
        <v>57.2</v>
      </c>
      <c r="BH50">
        <v>55.8</v>
      </c>
      <c r="BI50">
        <v>55.5</v>
      </c>
      <c r="BJ50">
        <v>54.8</v>
      </c>
      <c r="BK50">
        <v>55.4</v>
      </c>
      <c r="BL50">
        <v>56.1</v>
      </c>
      <c r="BM50">
        <v>57.9</v>
      </c>
      <c r="BN50">
        <v>59.8</v>
      </c>
      <c r="BO50">
        <v>59.6</v>
      </c>
      <c r="BP50">
        <v>58.7</v>
      </c>
    </row>
    <row r="51" spans="1:69" x14ac:dyDescent="0.35">
      <c r="A51" t="s">
        <v>362</v>
      </c>
      <c r="B51" t="s">
        <v>358</v>
      </c>
      <c r="C51" t="s">
        <v>751</v>
      </c>
      <c r="D51" t="s">
        <v>752</v>
      </c>
      <c r="AW51">
        <v>61.4</v>
      </c>
      <c r="BG51">
        <v>50.3</v>
      </c>
    </row>
    <row r="52" spans="1:69" x14ac:dyDescent="0.35">
      <c r="A52" t="s">
        <v>496</v>
      </c>
      <c r="B52" t="s">
        <v>568</v>
      </c>
      <c r="C52" t="s">
        <v>751</v>
      </c>
      <c r="D52" t="s">
        <v>752</v>
      </c>
      <c r="AT52">
        <v>58</v>
      </c>
      <c r="AZ52">
        <v>53.3</v>
      </c>
      <c r="BH52">
        <v>48.7</v>
      </c>
    </row>
    <row r="53" spans="1:69" x14ac:dyDescent="0.35">
      <c r="A53" t="s">
        <v>346</v>
      </c>
      <c r="B53" t="s">
        <v>11</v>
      </c>
      <c r="C53" t="s">
        <v>751</v>
      </c>
      <c r="D53" t="s">
        <v>752</v>
      </c>
      <c r="Z53">
        <v>51.4</v>
      </c>
      <c r="AE53">
        <v>39.6</v>
      </c>
      <c r="AH53">
        <v>49.9</v>
      </c>
      <c r="AI53">
        <v>49.6</v>
      </c>
      <c r="AJ53">
        <v>50.8</v>
      </c>
      <c r="AK53">
        <v>50.3</v>
      </c>
      <c r="AL53">
        <v>50.5</v>
      </c>
      <c r="AM53">
        <v>51.5</v>
      </c>
      <c r="AN53">
        <v>50.3</v>
      </c>
      <c r="AO53">
        <v>51.1</v>
      </c>
      <c r="AP53">
        <v>50.6</v>
      </c>
      <c r="AQ53">
        <v>50.8</v>
      </c>
      <c r="AR53">
        <v>52.6</v>
      </c>
      <c r="AS53">
        <v>52.1</v>
      </c>
      <c r="AT53">
        <v>56.2</v>
      </c>
      <c r="AU53">
        <v>56.7</v>
      </c>
      <c r="AV53">
        <v>54</v>
      </c>
      <c r="AW53">
        <v>53.4</v>
      </c>
      <c r="AX53">
        <v>52.8</v>
      </c>
      <c r="AY53">
        <v>54.7</v>
      </c>
      <c r="AZ53">
        <v>55</v>
      </c>
      <c r="BA53">
        <v>54.1</v>
      </c>
      <c r="BB53">
        <v>55.9</v>
      </c>
      <c r="BC53">
        <v>53.6</v>
      </c>
      <c r="BD53">
        <v>53.9</v>
      </c>
      <c r="BE53">
        <v>53.6</v>
      </c>
      <c r="BF53">
        <v>54.2</v>
      </c>
      <c r="BG53">
        <v>53.9</v>
      </c>
      <c r="BH53">
        <v>53.9</v>
      </c>
      <c r="BI53">
        <v>54</v>
      </c>
      <c r="BJ53">
        <v>54</v>
      </c>
      <c r="BK53">
        <v>53.3</v>
      </c>
      <c r="BL53">
        <v>53.7</v>
      </c>
      <c r="BM53">
        <v>54.4</v>
      </c>
      <c r="BN53">
        <v>54.1</v>
      </c>
      <c r="BO53">
        <v>52.7</v>
      </c>
      <c r="BP53">
        <v>52.1</v>
      </c>
      <c r="BQ53">
        <v>51.1</v>
      </c>
    </row>
    <row r="54" spans="1:69" x14ac:dyDescent="0.35">
      <c r="A54" t="s">
        <v>347</v>
      </c>
      <c r="B54" t="s">
        <v>300</v>
      </c>
      <c r="C54" t="s">
        <v>751</v>
      </c>
      <c r="D54" t="s">
        <v>752</v>
      </c>
    </row>
    <row r="55" spans="1:69" x14ac:dyDescent="0.35">
      <c r="A55" t="s">
        <v>99</v>
      </c>
      <c r="B55" t="s">
        <v>257</v>
      </c>
      <c r="C55" t="s">
        <v>751</v>
      </c>
      <c r="D55" t="s">
        <v>752</v>
      </c>
    </row>
    <row r="56" spans="1:69" x14ac:dyDescent="0.35">
      <c r="A56" t="s">
        <v>375</v>
      </c>
      <c r="B56" t="s">
        <v>100</v>
      </c>
      <c r="C56" t="s">
        <v>751</v>
      </c>
      <c r="D56" t="s">
        <v>752</v>
      </c>
    </row>
    <row r="57" spans="1:69" x14ac:dyDescent="0.35">
      <c r="A57" t="s">
        <v>482</v>
      </c>
      <c r="B57" t="s">
        <v>651</v>
      </c>
      <c r="C57" t="s">
        <v>751</v>
      </c>
      <c r="D57" t="s">
        <v>752</v>
      </c>
    </row>
    <row r="58" spans="1:69" x14ac:dyDescent="0.35">
      <c r="A58" t="s">
        <v>448</v>
      </c>
      <c r="B58" t="s">
        <v>258</v>
      </c>
      <c r="C58" t="s">
        <v>751</v>
      </c>
      <c r="D58" t="s">
        <v>752</v>
      </c>
      <c r="AW58">
        <v>39</v>
      </c>
      <c r="AX58">
        <v>39.299999999999997</v>
      </c>
      <c r="AY58">
        <v>40.1</v>
      </c>
      <c r="AZ58">
        <v>40</v>
      </c>
      <c r="BA58">
        <v>40.6</v>
      </c>
      <c r="BB58">
        <v>40.799999999999997</v>
      </c>
      <c r="BC58">
        <v>40.4</v>
      </c>
      <c r="BD58">
        <v>41.3</v>
      </c>
      <c r="BE58">
        <v>42.7</v>
      </c>
      <c r="BF58">
        <v>45.1</v>
      </c>
      <c r="BG58">
        <v>43.6</v>
      </c>
      <c r="BH58">
        <v>42.1</v>
      </c>
      <c r="BI58">
        <v>41.4</v>
      </c>
      <c r="BJ58">
        <v>40.200000000000003</v>
      </c>
      <c r="BK58">
        <v>41.4</v>
      </c>
      <c r="BL58">
        <v>40.1</v>
      </c>
      <c r="BM58">
        <v>40.6</v>
      </c>
      <c r="BN58">
        <v>40.1</v>
      </c>
      <c r="BO58">
        <v>40.4</v>
      </c>
      <c r="BP58">
        <v>40.6</v>
      </c>
    </row>
    <row r="59" spans="1:69" x14ac:dyDescent="0.35">
      <c r="A59" t="s">
        <v>354</v>
      </c>
      <c r="B59" t="s">
        <v>668</v>
      </c>
      <c r="C59" t="s">
        <v>751</v>
      </c>
      <c r="D59" t="s">
        <v>752</v>
      </c>
      <c r="AK59">
        <v>32.299999999999997</v>
      </c>
      <c r="AL59">
        <v>37.299999999999997</v>
      </c>
      <c r="AO59">
        <v>35.700000000000003</v>
      </c>
      <c r="AU59">
        <v>36.200000000000003</v>
      </c>
      <c r="AW59">
        <v>37</v>
      </c>
      <c r="AX59">
        <v>36.700000000000003</v>
      </c>
      <c r="AY59">
        <v>36.5</v>
      </c>
      <c r="AZ59">
        <v>36.200000000000003</v>
      </c>
      <c r="BA59">
        <v>36.5</v>
      </c>
      <c r="BB59">
        <v>36.200000000000003</v>
      </c>
      <c r="BC59">
        <v>36.4</v>
      </c>
      <c r="BD59">
        <v>36.200000000000003</v>
      </c>
      <c r="BE59">
        <v>36.1</v>
      </c>
      <c r="BF59">
        <v>36.4</v>
      </c>
      <c r="BG59">
        <v>36</v>
      </c>
      <c r="BH59">
        <v>35.9</v>
      </c>
      <c r="BI59">
        <v>35.799999999999997</v>
      </c>
      <c r="BJ59">
        <v>35.4</v>
      </c>
      <c r="BK59">
        <v>35.5</v>
      </c>
      <c r="BL59">
        <v>35.700000000000003</v>
      </c>
      <c r="BM59">
        <v>36.5</v>
      </c>
      <c r="BN59">
        <v>36.299999999999997</v>
      </c>
      <c r="BO59">
        <v>36</v>
      </c>
      <c r="BP59">
        <v>35.5</v>
      </c>
    </row>
    <row r="60" spans="1:69" x14ac:dyDescent="0.35">
      <c r="A60" t="s">
        <v>485</v>
      </c>
      <c r="B60" t="s">
        <v>488</v>
      </c>
      <c r="C60" t="s">
        <v>751</v>
      </c>
      <c r="D60" t="s">
        <v>752</v>
      </c>
      <c r="AJ60">
        <v>37.9</v>
      </c>
      <c r="AK60">
        <v>37.700000000000003</v>
      </c>
      <c r="AL60">
        <v>37.299999999999997</v>
      </c>
      <c r="AM60">
        <v>37.4</v>
      </c>
      <c r="AN60">
        <v>37.200000000000003</v>
      </c>
      <c r="AO60">
        <v>36.799999999999997</v>
      </c>
      <c r="AP60">
        <v>36.9</v>
      </c>
      <c r="AQ60">
        <v>36.9</v>
      </c>
      <c r="AR60">
        <v>37.6</v>
      </c>
      <c r="AS60">
        <v>37.5</v>
      </c>
      <c r="AT60">
        <v>38.5</v>
      </c>
      <c r="AU60">
        <v>38.200000000000003</v>
      </c>
      <c r="AV60">
        <v>38.299999999999997</v>
      </c>
      <c r="AW60">
        <v>38.6</v>
      </c>
      <c r="AX60">
        <v>39.799999999999997</v>
      </c>
      <c r="AY60">
        <v>39.299999999999997</v>
      </c>
      <c r="AZ60">
        <v>39.5</v>
      </c>
      <c r="BA60">
        <v>39.1</v>
      </c>
      <c r="BB60">
        <v>38.6</v>
      </c>
      <c r="BC60">
        <v>38.6</v>
      </c>
      <c r="BD60">
        <v>39</v>
      </c>
      <c r="BE60">
        <v>39.1</v>
      </c>
      <c r="BF60">
        <v>39.5</v>
      </c>
      <c r="BG60">
        <v>38.700000000000003</v>
      </c>
      <c r="BH60">
        <v>39.4</v>
      </c>
      <c r="BI60">
        <v>39.1</v>
      </c>
      <c r="BJ60">
        <v>39</v>
      </c>
      <c r="BK60">
        <v>39.700000000000003</v>
      </c>
      <c r="BL60">
        <v>39.5</v>
      </c>
      <c r="BM60">
        <v>40</v>
      </c>
    </row>
    <row r="61" spans="1:69" x14ac:dyDescent="0.35">
      <c r="A61" t="s">
        <v>22</v>
      </c>
      <c r="B61" t="s">
        <v>250</v>
      </c>
      <c r="C61" t="s">
        <v>751</v>
      </c>
      <c r="D61" t="s">
        <v>752</v>
      </c>
      <c r="AU61">
        <v>46.5</v>
      </c>
      <c r="BE61">
        <v>50.3</v>
      </c>
      <c r="BF61">
        <v>49.9</v>
      </c>
      <c r="BJ61">
        <v>47.6</v>
      </c>
    </row>
    <row r="62" spans="1:69" x14ac:dyDescent="0.35">
      <c r="A62" t="s">
        <v>690</v>
      </c>
      <c r="B62" t="s">
        <v>265</v>
      </c>
      <c r="C62" t="s">
        <v>751</v>
      </c>
      <c r="D62" t="s">
        <v>752</v>
      </c>
    </row>
    <row r="63" spans="1:69" x14ac:dyDescent="0.35">
      <c r="A63" t="s">
        <v>312</v>
      </c>
      <c r="B63" t="s">
        <v>531</v>
      </c>
      <c r="C63" t="s">
        <v>751</v>
      </c>
      <c r="D63" t="s">
        <v>752</v>
      </c>
      <c r="AF63">
        <v>35.4</v>
      </c>
      <c r="AK63">
        <v>34.200000000000003</v>
      </c>
      <c r="AN63">
        <v>33.299999999999997</v>
      </c>
      <c r="AS63">
        <v>33.9</v>
      </c>
      <c r="AV63">
        <v>35.5</v>
      </c>
      <c r="AW63">
        <v>34.9</v>
      </c>
      <c r="AX63">
        <v>35.1</v>
      </c>
      <c r="AY63">
        <v>35.799999999999997</v>
      </c>
      <c r="AZ63">
        <v>36.1</v>
      </c>
      <c r="BA63">
        <v>35.200000000000003</v>
      </c>
      <c r="BB63">
        <v>36.1</v>
      </c>
      <c r="BC63">
        <v>36.700000000000003</v>
      </c>
      <c r="BD63">
        <v>36.799999999999997</v>
      </c>
      <c r="BE63">
        <v>37.299999999999997</v>
      </c>
      <c r="BF63">
        <v>37.9</v>
      </c>
      <c r="BG63">
        <v>37.700000000000003</v>
      </c>
      <c r="BH63">
        <v>37.700000000000003</v>
      </c>
      <c r="BI63">
        <v>37.6</v>
      </c>
      <c r="BJ63">
        <v>38</v>
      </c>
      <c r="BK63">
        <v>37.700000000000003</v>
      </c>
      <c r="BL63">
        <v>37.299999999999997</v>
      </c>
      <c r="BM63">
        <v>37</v>
      </c>
      <c r="BN63">
        <v>37.799999999999997</v>
      </c>
      <c r="BO63">
        <v>38.4</v>
      </c>
      <c r="BP63">
        <v>39.200000000000003</v>
      </c>
    </row>
    <row r="64" spans="1:69" x14ac:dyDescent="0.35">
      <c r="A64" t="s">
        <v>422</v>
      </c>
      <c r="B64" t="s">
        <v>715</v>
      </c>
      <c r="C64" t="s">
        <v>751</v>
      </c>
      <c r="D64" t="s">
        <v>752</v>
      </c>
      <c r="AE64">
        <v>52.4</v>
      </c>
      <c r="AH64">
        <v>55.5</v>
      </c>
      <c r="AK64">
        <v>56.2</v>
      </c>
      <c r="AO64">
        <v>52.7</v>
      </c>
      <c r="AP64">
        <v>53.7</v>
      </c>
      <c r="AS64">
        <v>56.2</v>
      </c>
      <c r="AT64">
        <v>55.2</v>
      </c>
      <c r="AU64">
        <v>54.4</v>
      </c>
      <c r="AV64">
        <v>57.1</v>
      </c>
      <c r="AW64">
        <v>57.1</v>
      </c>
      <c r="AX64">
        <v>55.3</v>
      </c>
      <c r="AY64">
        <v>57</v>
      </c>
      <c r="AZ64">
        <v>54.4</v>
      </c>
      <c r="BA64">
        <v>53.6</v>
      </c>
      <c r="BB64">
        <v>54.6</v>
      </c>
      <c r="BC64">
        <v>52.9</v>
      </c>
      <c r="BD64">
        <v>53.2</v>
      </c>
      <c r="BE64">
        <v>52</v>
      </c>
      <c r="BF64">
        <v>53.6</v>
      </c>
      <c r="BG64">
        <v>50.2</v>
      </c>
      <c r="BH64">
        <v>51.1</v>
      </c>
      <c r="BI64">
        <v>51.5</v>
      </c>
      <c r="BJ64">
        <v>48.9</v>
      </c>
      <c r="BK64">
        <v>50.1</v>
      </c>
      <c r="BL64">
        <v>48.6</v>
      </c>
      <c r="BM64">
        <v>46.5</v>
      </c>
      <c r="BN64">
        <v>45.7</v>
      </c>
      <c r="BO64">
        <v>44</v>
      </c>
      <c r="BP64">
        <v>44.9</v>
      </c>
      <c r="BQ64">
        <v>45.4</v>
      </c>
    </row>
    <row r="65" spans="1:69" x14ac:dyDescent="0.35">
      <c r="A65" t="s">
        <v>689</v>
      </c>
      <c r="B65" t="s">
        <v>31</v>
      </c>
      <c r="C65" t="s">
        <v>751</v>
      </c>
      <c r="D65" t="s">
        <v>752</v>
      </c>
      <c r="AG65">
        <v>44.6</v>
      </c>
      <c r="AN65">
        <v>42.6</v>
      </c>
      <c r="BD65">
        <v>37.200000000000003</v>
      </c>
    </row>
    <row r="66" spans="1:69" x14ac:dyDescent="0.35">
      <c r="A66" t="s">
        <v>213</v>
      </c>
      <c r="B66" t="s">
        <v>241</v>
      </c>
      <c r="C66" t="s">
        <v>751</v>
      </c>
      <c r="D66" t="s">
        <v>752</v>
      </c>
    </row>
    <row r="67" spans="1:69" x14ac:dyDescent="0.35">
      <c r="A67" t="s">
        <v>693</v>
      </c>
      <c r="B67" t="s">
        <v>363</v>
      </c>
      <c r="C67" t="s">
        <v>751</v>
      </c>
      <c r="D67" t="s">
        <v>752</v>
      </c>
    </row>
    <row r="68" spans="1:69" x14ac:dyDescent="0.35">
      <c r="A68" t="s">
        <v>490</v>
      </c>
      <c r="B68" t="s">
        <v>586</v>
      </c>
      <c r="C68" t="s">
        <v>751</v>
      </c>
      <c r="D68" t="s">
        <v>752</v>
      </c>
    </row>
    <row r="69" spans="1:69" x14ac:dyDescent="0.35">
      <c r="A69" t="s">
        <v>279</v>
      </c>
      <c r="B69" t="s">
        <v>328</v>
      </c>
      <c r="C69" t="s">
        <v>751</v>
      </c>
      <c r="D69" t="s">
        <v>752</v>
      </c>
    </row>
    <row r="70" spans="1:69" x14ac:dyDescent="0.35">
      <c r="A70" t="s">
        <v>400</v>
      </c>
      <c r="B70" t="s">
        <v>585</v>
      </c>
      <c r="C70" t="s">
        <v>751</v>
      </c>
      <c r="D70" t="s">
        <v>752</v>
      </c>
    </row>
    <row r="71" spans="1:69" x14ac:dyDescent="0.35">
      <c r="A71" t="s">
        <v>251</v>
      </c>
      <c r="B71" t="s">
        <v>111</v>
      </c>
      <c r="C71" t="s">
        <v>751</v>
      </c>
      <c r="D71" t="s">
        <v>752</v>
      </c>
      <c r="AF71">
        <v>54.4</v>
      </c>
      <c r="AM71">
        <v>57.9</v>
      </c>
      <c r="AN71">
        <v>56</v>
      </c>
      <c r="AQ71">
        <v>54.8</v>
      </c>
      <c r="AR71">
        <v>62.5</v>
      </c>
      <c r="AS71">
        <v>60.7</v>
      </c>
      <c r="AV71">
        <v>58.1</v>
      </c>
      <c r="AW71">
        <v>58.3</v>
      </c>
      <c r="AX71">
        <v>57.5</v>
      </c>
      <c r="AY71">
        <v>57</v>
      </c>
      <c r="AZ71">
        <v>58</v>
      </c>
      <c r="BA71">
        <v>54.6</v>
      </c>
      <c r="BB71">
        <v>53.5</v>
      </c>
      <c r="BC71">
        <v>53.9</v>
      </c>
      <c r="BD71">
        <v>51</v>
      </c>
      <c r="BE71">
        <v>51.1</v>
      </c>
      <c r="BF71">
        <v>52.2</v>
      </c>
      <c r="BG71">
        <v>50.6</v>
      </c>
      <c r="BH71">
        <v>51.3</v>
      </c>
      <c r="BI71">
        <v>50.5</v>
      </c>
      <c r="BJ71">
        <v>50.1</v>
      </c>
      <c r="BK71">
        <v>51</v>
      </c>
      <c r="BL71">
        <v>51</v>
      </c>
      <c r="BM71">
        <v>52.3</v>
      </c>
      <c r="BN71">
        <v>51.3</v>
      </c>
      <c r="BO71">
        <v>50.9</v>
      </c>
      <c r="BP71">
        <v>49.8</v>
      </c>
      <c r="BQ71">
        <v>50</v>
      </c>
    </row>
    <row r="72" spans="1:69" x14ac:dyDescent="0.35">
      <c r="A72" t="s">
        <v>263</v>
      </c>
      <c r="B72" t="s">
        <v>672</v>
      </c>
      <c r="C72" t="s">
        <v>751</v>
      </c>
      <c r="D72" t="s">
        <v>752</v>
      </c>
      <c r="AI72">
        <v>41.1</v>
      </c>
      <c r="AN72">
        <v>40</v>
      </c>
      <c r="AR72">
        <v>40.4</v>
      </c>
      <c r="AW72">
        <v>41.4</v>
      </c>
      <c r="BA72">
        <v>40.799999999999997</v>
      </c>
      <c r="BC72">
        <v>40.1</v>
      </c>
      <c r="BE72">
        <v>38.6</v>
      </c>
      <c r="BH72">
        <v>41.5</v>
      </c>
      <c r="BJ72">
        <v>41</v>
      </c>
      <c r="BL72">
        <v>41.3</v>
      </c>
      <c r="BN72">
        <v>38.6</v>
      </c>
    </row>
    <row r="73" spans="1:69" x14ac:dyDescent="0.35">
      <c r="A73" t="s">
        <v>144</v>
      </c>
      <c r="B73" t="s">
        <v>410</v>
      </c>
      <c r="C73" t="s">
        <v>751</v>
      </c>
      <c r="D73" t="s">
        <v>752</v>
      </c>
    </row>
    <row r="74" spans="1:69" x14ac:dyDescent="0.35">
      <c r="A74" t="s">
        <v>725</v>
      </c>
      <c r="B74" t="s">
        <v>172</v>
      </c>
      <c r="C74" t="s">
        <v>751</v>
      </c>
      <c r="D74" t="s">
        <v>752</v>
      </c>
    </row>
    <row r="75" spans="1:69" x14ac:dyDescent="0.35">
      <c r="A75" t="s">
        <v>82</v>
      </c>
      <c r="B75" t="s">
        <v>256</v>
      </c>
      <c r="C75" t="s">
        <v>751</v>
      </c>
      <c r="D75" t="s">
        <v>752</v>
      </c>
      <c r="Y75">
        <v>41.4</v>
      </c>
      <c r="AD75">
        <v>41.7</v>
      </c>
      <c r="AI75">
        <v>39.6</v>
      </c>
      <c r="AL75">
        <v>42.1</v>
      </c>
      <c r="AM75">
        <v>41.5</v>
      </c>
      <c r="AN75">
        <v>42.2</v>
      </c>
      <c r="AO75">
        <v>42.5</v>
      </c>
      <c r="AP75">
        <v>41.7</v>
      </c>
      <c r="AQ75">
        <v>41.1</v>
      </c>
      <c r="AR75">
        <v>40.9</v>
      </c>
      <c r="AS75">
        <v>41</v>
      </c>
      <c r="AV75">
        <v>39.1</v>
      </c>
      <c r="AW75">
        <v>40.299999999999997</v>
      </c>
      <c r="AX75">
        <v>39.6</v>
      </c>
      <c r="AY75">
        <v>40.4</v>
      </c>
      <c r="AZ75">
        <v>41</v>
      </c>
      <c r="BA75">
        <v>41</v>
      </c>
      <c r="BB75">
        <v>41.5</v>
      </c>
      <c r="BC75">
        <v>41.7</v>
      </c>
      <c r="BD75">
        <v>41.8</v>
      </c>
      <c r="BE75">
        <v>41.6</v>
      </c>
      <c r="BF75">
        <v>41.9</v>
      </c>
      <c r="BG75">
        <v>41.9</v>
      </c>
      <c r="BH75">
        <v>42.1</v>
      </c>
      <c r="BI75">
        <v>41.7</v>
      </c>
      <c r="BJ75">
        <v>41</v>
      </c>
      <c r="BK75">
        <v>41</v>
      </c>
      <c r="BL75">
        <v>40.6</v>
      </c>
      <c r="BM75">
        <v>41</v>
      </c>
      <c r="BN75">
        <v>40.4</v>
      </c>
      <c r="BO75">
        <v>40.4</v>
      </c>
      <c r="BP75">
        <v>40.200000000000003</v>
      </c>
    </row>
    <row r="76" spans="1:69" x14ac:dyDescent="0.35">
      <c r="A76" t="s">
        <v>516</v>
      </c>
      <c r="B76" t="s">
        <v>657</v>
      </c>
      <c r="C76" t="s">
        <v>751</v>
      </c>
      <c r="D76" t="s">
        <v>752</v>
      </c>
      <c r="AL76">
        <v>46.4</v>
      </c>
      <c r="AN76">
        <v>38.200000000000003</v>
      </c>
      <c r="AQ76">
        <v>45.1</v>
      </c>
      <c r="AS76">
        <v>43.1</v>
      </c>
      <c r="AT76">
        <v>43.4</v>
      </c>
      <c r="AU76">
        <v>43.1</v>
      </c>
      <c r="AV76">
        <v>44.2</v>
      </c>
      <c r="AW76">
        <v>41.2</v>
      </c>
      <c r="AX76">
        <v>41.3</v>
      </c>
      <c r="AY76">
        <v>41.7</v>
      </c>
      <c r="AZ76">
        <v>39.299999999999997</v>
      </c>
      <c r="BA76">
        <v>40.1</v>
      </c>
      <c r="BB76">
        <v>39.6</v>
      </c>
      <c r="BC76">
        <v>39.700000000000003</v>
      </c>
      <c r="BD76">
        <v>40.200000000000003</v>
      </c>
      <c r="BE76">
        <v>40.700000000000003</v>
      </c>
      <c r="BF76">
        <v>42.4</v>
      </c>
      <c r="BG76">
        <v>42.1</v>
      </c>
      <c r="BH76">
        <v>40.4</v>
      </c>
      <c r="BI76">
        <v>39.1</v>
      </c>
      <c r="BJ76">
        <v>38.299999999999997</v>
      </c>
      <c r="BK76">
        <v>38.299999999999997</v>
      </c>
      <c r="BL76">
        <v>38.9</v>
      </c>
      <c r="BM76">
        <v>39</v>
      </c>
      <c r="BN76">
        <v>39.9</v>
      </c>
      <c r="BO76">
        <v>40</v>
      </c>
      <c r="BP76">
        <v>39.299999999999997</v>
      </c>
    </row>
    <row r="77" spans="1:69" x14ac:dyDescent="0.35">
      <c r="A77" t="s">
        <v>159</v>
      </c>
      <c r="B77" t="s">
        <v>102</v>
      </c>
      <c r="C77" t="s">
        <v>751</v>
      </c>
      <c r="D77" t="s">
        <v>752</v>
      </c>
      <c r="AN77">
        <v>51.6</v>
      </c>
      <c r="AR77">
        <v>39.4</v>
      </c>
      <c r="AW77">
        <v>39.299999999999997</v>
      </c>
      <c r="BC77">
        <v>41.7</v>
      </c>
      <c r="BH77">
        <v>43</v>
      </c>
      <c r="BN77">
        <v>39.700000000000003</v>
      </c>
    </row>
    <row r="78" spans="1:69" x14ac:dyDescent="0.35">
      <c r="A78" t="s">
        <v>42</v>
      </c>
      <c r="B78" t="s">
        <v>704</v>
      </c>
      <c r="C78" t="s">
        <v>751</v>
      </c>
      <c r="D78" t="s">
        <v>752</v>
      </c>
    </row>
    <row r="79" spans="1:69" x14ac:dyDescent="0.35">
      <c r="A79" t="s">
        <v>222</v>
      </c>
      <c r="B79" t="s">
        <v>359</v>
      </c>
      <c r="C79" t="s">
        <v>751</v>
      </c>
      <c r="D79" t="s">
        <v>752</v>
      </c>
    </row>
    <row r="80" spans="1:69" x14ac:dyDescent="0.35">
      <c r="A80" t="s">
        <v>54</v>
      </c>
      <c r="B80" t="s">
        <v>27</v>
      </c>
      <c r="C80" t="s">
        <v>751</v>
      </c>
      <c r="D80" t="s">
        <v>752</v>
      </c>
      <c r="AF80">
        <v>32.700000000000003</v>
      </c>
      <c r="AJ80">
        <v>33.299999999999997</v>
      </c>
      <c r="AN80">
        <v>34.1</v>
      </c>
      <c r="AS80">
        <v>36.6</v>
      </c>
      <c r="AV80">
        <v>37.200000000000003</v>
      </c>
      <c r="AW80">
        <v>37.4</v>
      </c>
      <c r="AX80">
        <v>37.200000000000003</v>
      </c>
      <c r="AY80">
        <v>37.299999999999997</v>
      </c>
      <c r="AZ80">
        <v>37.6</v>
      </c>
      <c r="BA80">
        <v>37.200000000000003</v>
      </c>
      <c r="BB80">
        <v>36.9</v>
      </c>
      <c r="BC80">
        <v>37</v>
      </c>
      <c r="BD80">
        <v>37.1</v>
      </c>
      <c r="BE80">
        <v>36.700000000000003</v>
      </c>
      <c r="BF80">
        <v>36.6</v>
      </c>
      <c r="BG80">
        <v>36.4</v>
      </c>
      <c r="BH80">
        <v>36.700000000000003</v>
      </c>
      <c r="BI80">
        <v>36.6</v>
      </c>
      <c r="BJ80">
        <v>36.9</v>
      </c>
      <c r="BK80">
        <v>36.799999999999997</v>
      </c>
      <c r="BL80">
        <v>37.1</v>
      </c>
      <c r="BM80">
        <v>36.700000000000003</v>
      </c>
      <c r="BN80">
        <v>37.1</v>
      </c>
      <c r="BO80">
        <v>37.299999999999997</v>
      </c>
      <c r="BP80">
        <v>36.700000000000003</v>
      </c>
    </row>
    <row r="81" spans="1:69" x14ac:dyDescent="0.35">
      <c r="A81" t="s">
        <v>149</v>
      </c>
      <c r="B81" t="s">
        <v>392</v>
      </c>
      <c r="C81" t="s">
        <v>751</v>
      </c>
      <c r="D81" t="s">
        <v>752</v>
      </c>
      <c r="AU81">
        <v>45.4</v>
      </c>
      <c r="BA81">
        <v>47.8</v>
      </c>
      <c r="BF81">
        <v>44.7</v>
      </c>
      <c r="BL81">
        <v>39.4</v>
      </c>
    </row>
    <row r="82" spans="1:69" x14ac:dyDescent="0.35">
      <c r="A82" t="s">
        <v>381</v>
      </c>
      <c r="B82" t="s">
        <v>626</v>
      </c>
      <c r="C82" t="s">
        <v>751</v>
      </c>
      <c r="D82" t="s">
        <v>752</v>
      </c>
      <c r="O82">
        <v>44.1</v>
      </c>
      <c r="T82">
        <v>43</v>
      </c>
      <c r="X82">
        <v>41.3</v>
      </c>
      <c r="AC82">
        <v>40.700000000000003</v>
      </c>
      <c r="AI82">
        <v>39.9</v>
      </c>
      <c r="AO82">
        <v>39.4</v>
      </c>
      <c r="AP82">
        <v>39.4</v>
      </c>
      <c r="AQ82">
        <v>39.299999999999997</v>
      </c>
      <c r="AR82">
        <v>40.1</v>
      </c>
      <c r="AS82">
        <v>40.200000000000003</v>
      </c>
      <c r="AT82">
        <v>40.1</v>
      </c>
      <c r="AU82">
        <v>39.700000000000003</v>
      </c>
      <c r="AV82">
        <v>39.799999999999997</v>
      </c>
      <c r="AW82">
        <v>39.200000000000003</v>
      </c>
      <c r="AX82">
        <v>38.5</v>
      </c>
      <c r="AY82">
        <v>38.299999999999997</v>
      </c>
      <c r="AZ82">
        <v>40.9</v>
      </c>
      <c r="BA82">
        <v>41.2</v>
      </c>
      <c r="BB82">
        <v>40.799999999999997</v>
      </c>
      <c r="BC82">
        <v>41.8</v>
      </c>
      <c r="BD82">
        <v>41.4</v>
      </c>
      <c r="BE82">
        <v>41.3</v>
      </c>
      <c r="BF82">
        <v>40.9</v>
      </c>
      <c r="BG82">
        <v>40.6</v>
      </c>
      <c r="BH82">
        <v>40.9</v>
      </c>
      <c r="BI82">
        <v>40.200000000000003</v>
      </c>
      <c r="BJ82">
        <v>40</v>
      </c>
      <c r="BK82">
        <v>40.799999999999997</v>
      </c>
      <c r="BL82">
        <v>39.200000000000003</v>
      </c>
      <c r="BM82">
        <v>38.799999999999997</v>
      </c>
      <c r="BN82">
        <v>39.4</v>
      </c>
      <c r="BO82">
        <v>39.200000000000003</v>
      </c>
      <c r="BP82">
        <v>39.700000000000003</v>
      </c>
    </row>
    <row r="83" spans="1:69" x14ac:dyDescent="0.35">
      <c r="A83" t="s">
        <v>345</v>
      </c>
      <c r="B83" t="s">
        <v>473</v>
      </c>
      <c r="C83" t="s">
        <v>751</v>
      </c>
      <c r="D83" t="s">
        <v>752</v>
      </c>
    </row>
    <row r="84" spans="1:69" x14ac:dyDescent="0.35">
      <c r="A84" t="s">
        <v>389</v>
      </c>
      <c r="B84" t="s">
        <v>286</v>
      </c>
      <c r="C84" t="s">
        <v>751</v>
      </c>
      <c r="D84" t="s">
        <v>752</v>
      </c>
      <c r="AX84">
        <v>48.7</v>
      </c>
      <c r="BF84">
        <v>46</v>
      </c>
    </row>
    <row r="85" spans="1:69" x14ac:dyDescent="0.35">
      <c r="A85" t="s">
        <v>501</v>
      </c>
      <c r="B85" t="s">
        <v>373</v>
      </c>
      <c r="C85" t="s">
        <v>751</v>
      </c>
      <c r="D85" t="s">
        <v>752</v>
      </c>
      <c r="AX85">
        <v>48.7</v>
      </c>
      <c r="BJ85">
        <v>44.4</v>
      </c>
    </row>
    <row r="86" spans="1:69" x14ac:dyDescent="0.35">
      <c r="A86" t="s">
        <v>669</v>
      </c>
      <c r="B86" t="s">
        <v>587</v>
      </c>
      <c r="C86" t="s">
        <v>751</v>
      </c>
      <c r="D86" t="s">
        <v>752</v>
      </c>
      <c r="M86">
        <v>36.4</v>
      </c>
      <c r="N86">
        <v>37.200000000000003</v>
      </c>
      <c r="O86">
        <v>37.299999999999997</v>
      </c>
      <c r="P86">
        <v>38.299999999999997</v>
      </c>
      <c r="Q86">
        <v>37.5</v>
      </c>
      <c r="R86">
        <v>37.9</v>
      </c>
      <c r="S86">
        <v>37.9</v>
      </c>
      <c r="T86">
        <v>37</v>
      </c>
      <c r="U86">
        <v>36.799999999999997</v>
      </c>
      <c r="V86">
        <v>36.4</v>
      </c>
      <c r="W86">
        <v>36.299999999999997</v>
      </c>
      <c r="X86">
        <v>36.700000000000003</v>
      </c>
      <c r="Y86">
        <v>37.5</v>
      </c>
      <c r="Z86">
        <v>38.299999999999997</v>
      </c>
      <c r="AA86">
        <v>38.4</v>
      </c>
      <c r="AB86">
        <v>38.4</v>
      </c>
      <c r="AC86">
        <v>37.700000000000003</v>
      </c>
      <c r="AD86">
        <v>38.799999999999997</v>
      </c>
      <c r="AE86">
        <v>39.9</v>
      </c>
      <c r="AF86">
        <v>41.6</v>
      </c>
      <c r="AG86">
        <v>41.9</v>
      </c>
      <c r="AH86">
        <v>40.700000000000003</v>
      </c>
      <c r="AI86">
        <v>42.6</v>
      </c>
      <c r="AJ86">
        <v>42</v>
      </c>
      <c r="AK86">
        <v>42</v>
      </c>
      <c r="AL86">
        <v>41.9</v>
      </c>
      <c r="AM86">
        <v>42.9</v>
      </c>
      <c r="AN86">
        <v>42.5</v>
      </c>
      <c r="AO86">
        <v>42.2</v>
      </c>
      <c r="AP86">
        <v>42.6</v>
      </c>
      <c r="AQ86">
        <v>43.4</v>
      </c>
      <c r="AR86">
        <v>43.5</v>
      </c>
      <c r="AS86">
        <v>45.5</v>
      </c>
      <c r="AT86">
        <v>44</v>
      </c>
      <c r="AU86">
        <v>42.4</v>
      </c>
      <c r="AV86">
        <v>42</v>
      </c>
      <c r="AW86">
        <v>42.1</v>
      </c>
      <c r="AX86">
        <v>42.5</v>
      </c>
      <c r="AY86">
        <v>43</v>
      </c>
      <c r="AZ86">
        <v>41.5</v>
      </c>
      <c r="BA86">
        <v>42.4</v>
      </c>
      <c r="BB86">
        <v>42.2</v>
      </c>
      <c r="BC86">
        <v>41.2</v>
      </c>
      <c r="BD86">
        <v>40.6</v>
      </c>
      <c r="BE86">
        <v>40.6</v>
      </c>
      <c r="BF86">
        <v>40.200000000000003</v>
      </c>
      <c r="BG86">
        <v>40.5</v>
      </c>
      <c r="BH86">
        <v>40.5</v>
      </c>
      <c r="BI86">
        <v>40.299999999999997</v>
      </c>
      <c r="BJ86">
        <v>39.799999999999997</v>
      </c>
      <c r="BK86">
        <v>40.799999999999997</v>
      </c>
      <c r="BL86">
        <v>39.9</v>
      </c>
      <c r="BM86">
        <v>40</v>
      </c>
      <c r="BN86">
        <v>39.700000000000003</v>
      </c>
    </row>
    <row r="87" spans="1:69" x14ac:dyDescent="0.35">
      <c r="A87" t="s">
        <v>620</v>
      </c>
      <c r="B87" t="s">
        <v>468</v>
      </c>
      <c r="C87" t="s">
        <v>751</v>
      </c>
      <c r="D87" t="s">
        <v>752</v>
      </c>
      <c r="AO87">
        <v>43.6</v>
      </c>
      <c r="AP87">
        <v>46.1</v>
      </c>
      <c r="AQ87">
        <v>46.6</v>
      </c>
      <c r="AR87">
        <v>45.9</v>
      </c>
      <c r="AS87">
        <v>46.2</v>
      </c>
      <c r="AT87">
        <v>45.8</v>
      </c>
      <c r="AU87">
        <v>43.9</v>
      </c>
      <c r="AV87">
        <v>43.2</v>
      </c>
      <c r="AW87">
        <v>42.6</v>
      </c>
      <c r="AX87">
        <v>43.8</v>
      </c>
      <c r="AY87">
        <v>43.5</v>
      </c>
      <c r="AZ87">
        <v>44.6</v>
      </c>
      <c r="BA87">
        <v>45</v>
      </c>
      <c r="BB87">
        <v>44.7</v>
      </c>
      <c r="BC87">
        <v>45.5</v>
      </c>
      <c r="BD87">
        <v>45.7</v>
      </c>
      <c r="BE87">
        <v>45.3</v>
      </c>
      <c r="BF87">
        <v>44.9</v>
      </c>
      <c r="BG87">
        <v>44.3</v>
      </c>
      <c r="BH87">
        <v>43.4</v>
      </c>
      <c r="BI87">
        <v>43.7</v>
      </c>
      <c r="BJ87">
        <v>44.5</v>
      </c>
      <c r="BK87">
        <v>43.2</v>
      </c>
      <c r="BL87">
        <v>42.9</v>
      </c>
      <c r="BM87">
        <v>41.5</v>
      </c>
      <c r="BN87">
        <v>41.5</v>
      </c>
      <c r="BO87">
        <v>40.6</v>
      </c>
      <c r="BP87">
        <v>42.1</v>
      </c>
      <c r="BQ87">
        <v>41.5</v>
      </c>
    </row>
    <row r="88" spans="1:69" x14ac:dyDescent="0.35">
      <c r="A88" t="s">
        <v>170</v>
      </c>
      <c r="B88" t="s">
        <v>551</v>
      </c>
      <c r="C88" t="s">
        <v>751</v>
      </c>
      <c r="D88" t="s">
        <v>752</v>
      </c>
      <c r="AF88">
        <v>42.7</v>
      </c>
      <c r="AG88">
        <v>43.4</v>
      </c>
      <c r="AJ88">
        <v>45.5</v>
      </c>
      <c r="AQ88">
        <v>46.2</v>
      </c>
      <c r="AX88">
        <v>48.6</v>
      </c>
      <c r="BE88">
        <v>48.3</v>
      </c>
      <c r="BI88">
        <v>48.6</v>
      </c>
    </row>
    <row r="89" spans="1:69" x14ac:dyDescent="0.35">
      <c r="A89" t="s">
        <v>132</v>
      </c>
      <c r="B89" t="s">
        <v>683</v>
      </c>
      <c r="C89" t="s">
        <v>751</v>
      </c>
      <c r="D89" t="s">
        <v>752</v>
      </c>
    </row>
    <row r="90" spans="1:69" x14ac:dyDescent="0.35">
      <c r="A90" t="s">
        <v>576</v>
      </c>
      <c r="B90" t="s">
        <v>571</v>
      </c>
      <c r="C90" t="s">
        <v>751</v>
      </c>
      <c r="D90" t="s">
        <v>752</v>
      </c>
      <c r="AJ90">
        <v>49.7</v>
      </c>
      <c r="AM90">
        <v>52</v>
      </c>
      <c r="AU90">
        <v>49.4</v>
      </c>
      <c r="AZ90">
        <v>46.2</v>
      </c>
      <c r="BE90">
        <v>41.5</v>
      </c>
      <c r="BK90">
        <v>38.200000000000003</v>
      </c>
    </row>
    <row r="91" spans="1:69" x14ac:dyDescent="0.35">
      <c r="A91" t="s">
        <v>26</v>
      </c>
      <c r="B91" t="s">
        <v>86</v>
      </c>
      <c r="C91" t="s">
        <v>751</v>
      </c>
      <c r="D91" t="s">
        <v>752</v>
      </c>
      <c r="AQ91">
        <v>53.8</v>
      </c>
      <c r="AV91">
        <v>52.8</v>
      </c>
      <c r="BC91">
        <v>49.8</v>
      </c>
      <c r="BH91">
        <v>43.6</v>
      </c>
      <c r="BM91">
        <v>45.6</v>
      </c>
    </row>
    <row r="92" spans="1:69" x14ac:dyDescent="0.35">
      <c r="A92" t="s">
        <v>581</v>
      </c>
      <c r="B92" t="s">
        <v>163</v>
      </c>
      <c r="C92" t="s">
        <v>751</v>
      </c>
      <c r="D92" t="s">
        <v>752</v>
      </c>
      <c r="AJ92">
        <v>58.8</v>
      </c>
      <c r="AL92">
        <v>49.6</v>
      </c>
      <c r="AU92">
        <v>43.1</v>
      </c>
      <c r="BC92">
        <v>56.7</v>
      </c>
      <c r="BK92">
        <v>43</v>
      </c>
      <c r="BN92">
        <v>41.6</v>
      </c>
    </row>
    <row r="93" spans="1:69" x14ac:dyDescent="0.35">
      <c r="A93" t="s">
        <v>645</v>
      </c>
      <c r="B93" t="s">
        <v>234</v>
      </c>
      <c r="C93" t="s">
        <v>751</v>
      </c>
      <c r="D93" t="s">
        <v>752</v>
      </c>
      <c r="BO93">
        <v>45.4</v>
      </c>
    </row>
    <row r="94" spans="1:69" x14ac:dyDescent="0.35">
      <c r="A94" t="s">
        <v>691</v>
      </c>
      <c r="B94" t="s">
        <v>545</v>
      </c>
      <c r="C94" t="s">
        <v>751</v>
      </c>
      <c r="D94" t="s">
        <v>752</v>
      </c>
      <c r="AN94">
        <v>42.9</v>
      </c>
      <c r="AS94">
        <v>41.1</v>
      </c>
      <c r="AU94">
        <v>42.2</v>
      </c>
      <c r="AV94">
        <v>40</v>
      </c>
      <c r="AW94">
        <v>40.700000000000003</v>
      </c>
      <c r="AX94">
        <v>41.7</v>
      </c>
      <c r="AY94">
        <v>42</v>
      </c>
      <c r="AZ94">
        <v>41.1</v>
      </c>
      <c r="BA94">
        <v>40.9</v>
      </c>
      <c r="BB94">
        <v>40.9</v>
      </c>
      <c r="BC94">
        <v>41</v>
      </c>
      <c r="BD94">
        <v>41</v>
      </c>
      <c r="BE94">
        <v>42.1</v>
      </c>
      <c r="BF94">
        <v>42.2</v>
      </c>
      <c r="BG94">
        <v>41.8</v>
      </c>
      <c r="BH94">
        <v>41.8</v>
      </c>
      <c r="BI94">
        <v>41.3</v>
      </c>
      <c r="BJ94">
        <v>41.1</v>
      </c>
      <c r="BK94">
        <v>40.1</v>
      </c>
      <c r="BL94">
        <v>40.1</v>
      </c>
      <c r="BM94">
        <v>40.5</v>
      </c>
      <c r="BN94">
        <v>40.1</v>
      </c>
      <c r="BO94">
        <v>40.700000000000003</v>
      </c>
      <c r="BP94">
        <v>40.799999999999997</v>
      </c>
    </row>
    <row r="95" spans="1:69" x14ac:dyDescent="0.35">
      <c r="A95" t="s">
        <v>76</v>
      </c>
      <c r="B95" t="s">
        <v>599</v>
      </c>
      <c r="C95" t="s">
        <v>751</v>
      </c>
      <c r="D95" t="s">
        <v>752</v>
      </c>
      <c r="BK95">
        <v>50.4</v>
      </c>
    </row>
    <row r="96" spans="1:69" x14ac:dyDescent="0.35">
      <c r="A96" t="s">
        <v>526</v>
      </c>
      <c r="B96" t="s">
        <v>663</v>
      </c>
      <c r="C96" t="s">
        <v>751</v>
      </c>
      <c r="D96" t="s">
        <v>752</v>
      </c>
    </row>
    <row r="97" spans="1:69" x14ac:dyDescent="0.35">
      <c r="A97" t="s">
        <v>268</v>
      </c>
      <c r="B97" t="s">
        <v>140</v>
      </c>
      <c r="C97" t="s">
        <v>751</v>
      </c>
      <c r="D97" t="s">
        <v>752</v>
      </c>
      <c r="AE97">
        <v>58.2</v>
      </c>
      <c r="AH97">
        <v>62.1</v>
      </c>
      <c r="AQ97">
        <v>53.9</v>
      </c>
      <c r="AS97">
        <v>59.1</v>
      </c>
      <c r="AY97">
        <v>58.8</v>
      </c>
      <c r="BG97">
        <v>53.6</v>
      </c>
      <c r="BP97">
        <v>50.6</v>
      </c>
    </row>
    <row r="98" spans="1:69" x14ac:dyDescent="0.35">
      <c r="A98" t="s">
        <v>735</v>
      </c>
      <c r="B98" t="s">
        <v>41</v>
      </c>
      <c r="C98" t="s">
        <v>751</v>
      </c>
      <c r="D98" t="s">
        <v>752</v>
      </c>
    </row>
    <row r="99" spans="1:69" x14ac:dyDescent="0.35">
      <c r="A99" t="s">
        <v>365</v>
      </c>
      <c r="B99" t="s">
        <v>533</v>
      </c>
      <c r="C99" t="s">
        <v>751</v>
      </c>
      <c r="D99" t="s">
        <v>752</v>
      </c>
      <c r="AK99">
        <v>45.1</v>
      </c>
      <c r="AQ99">
        <v>50.1</v>
      </c>
    </row>
    <row r="100" spans="1:69" x14ac:dyDescent="0.35">
      <c r="A100" t="s">
        <v>353</v>
      </c>
      <c r="B100" t="s">
        <v>534</v>
      </c>
      <c r="C100" t="s">
        <v>751</v>
      </c>
      <c r="D100" t="s">
        <v>752</v>
      </c>
    </row>
    <row r="101" spans="1:69" x14ac:dyDescent="0.35">
      <c r="A101" t="s">
        <v>274</v>
      </c>
      <c r="B101" t="s">
        <v>342</v>
      </c>
      <c r="C101" t="s">
        <v>751</v>
      </c>
      <c r="D101" t="s">
        <v>752</v>
      </c>
    </row>
    <row r="102" spans="1:69" x14ac:dyDescent="0.35">
      <c r="A102" t="s">
        <v>552</v>
      </c>
      <c r="B102" t="s">
        <v>65</v>
      </c>
      <c r="C102" t="s">
        <v>751</v>
      </c>
      <c r="D102" t="s">
        <v>752</v>
      </c>
      <c r="AH102">
        <v>59.6</v>
      </c>
      <c r="AI102">
        <v>59.9</v>
      </c>
      <c r="AJ102">
        <v>56.7</v>
      </c>
      <c r="AK102">
        <v>56.9</v>
      </c>
      <c r="AL102">
        <v>58</v>
      </c>
      <c r="AM102">
        <v>59.3</v>
      </c>
      <c r="AN102">
        <v>59.8</v>
      </c>
      <c r="AO102">
        <v>59.6</v>
      </c>
      <c r="AP102">
        <v>57.2</v>
      </c>
      <c r="AQ102">
        <v>60.7</v>
      </c>
      <c r="AR102">
        <v>58.9</v>
      </c>
      <c r="AT102">
        <v>58.9</v>
      </c>
      <c r="AU102">
        <v>59.4</v>
      </c>
      <c r="AV102">
        <v>61.7</v>
      </c>
      <c r="AW102">
        <v>61.7</v>
      </c>
      <c r="AX102">
        <v>62.9</v>
      </c>
      <c r="AY102">
        <v>60.8</v>
      </c>
      <c r="AZ102">
        <v>60</v>
      </c>
      <c r="BA102">
        <v>59.2</v>
      </c>
      <c r="BB102">
        <v>55.4</v>
      </c>
      <c r="BC102">
        <v>57.1</v>
      </c>
      <c r="BD102">
        <v>56.7</v>
      </c>
      <c r="BE102">
        <v>57.4</v>
      </c>
      <c r="BF102">
        <v>54.3</v>
      </c>
      <c r="BG102">
        <v>54.5</v>
      </c>
      <c r="BH102">
        <v>53.8</v>
      </c>
      <c r="BI102">
        <v>53.9</v>
      </c>
      <c r="BJ102">
        <v>53.7</v>
      </c>
      <c r="BK102">
        <v>53</v>
      </c>
      <c r="BL102">
        <v>52.2</v>
      </c>
      <c r="BP102">
        <v>50.8</v>
      </c>
      <c r="BQ102">
        <v>50</v>
      </c>
    </row>
    <row r="103" spans="1:69" x14ac:dyDescent="0.35">
      <c r="A103" t="s">
        <v>684</v>
      </c>
      <c r="B103" t="s">
        <v>160</v>
      </c>
      <c r="C103" t="s">
        <v>751</v>
      </c>
      <c r="D103" t="s">
        <v>752</v>
      </c>
    </row>
    <row r="104" spans="1:69" x14ac:dyDescent="0.35">
      <c r="A104" t="s">
        <v>521</v>
      </c>
      <c r="B104" t="s">
        <v>625</v>
      </c>
      <c r="C104" t="s">
        <v>751</v>
      </c>
      <c r="D104" t="s">
        <v>752</v>
      </c>
      <c r="AG104">
        <v>33.299999999999997</v>
      </c>
      <c r="AQ104">
        <v>37.4</v>
      </c>
      <c r="AR104">
        <v>37.200000000000003</v>
      </c>
      <c r="AS104">
        <v>39.9</v>
      </c>
      <c r="AT104">
        <v>39.6</v>
      </c>
      <c r="AW104">
        <v>38.5</v>
      </c>
      <c r="BA104">
        <v>42.2</v>
      </c>
      <c r="BB104">
        <v>39.700000000000003</v>
      </c>
      <c r="BC104">
        <v>39.4</v>
      </c>
      <c r="BD104">
        <v>39.200000000000003</v>
      </c>
      <c r="BE104">
        <v>39.4</v>
      </c>
      <c r="BF104">
        <v>39</v>
      </c>
      <c r="BG104">
        <v>39.1</v>
      </c>
      <c r="BH104">
        <v>38.4</v>
      </c>
      <c r="BI104">
        <v>38.299999999999997</v>
      </c>
      <c r="BJ104">
        <v>37.9</v>
      </c>
      <c r="BK104">
        <v>37.700000000000003</v>
      </c>
      <c r="BL104">
        <v>37</v>
      </c>
      <c r="BM104">
        <v>37.299999999999997</v>
      </c>
      <c r="BN104">
        <v>37.1</v>
      </c>
      <c r="BO104">
        <v>38</v>
      </c>
      <c r="BP104">
        <v>38</v>
      </c>
    </row>
    <row r="105" spans="1:69" x14ac:dyDescent="0.35">
      <c r="A105" t="s">
        <v>5</v>
      </c>
      <c r="B105" t="s">
        <v>93</v>
      </c>
      <c r="C105" t="s">
        <v>751</v>
      </c>
      <c r="D105" t="s">
        <v>752</v>
      </c>
      <c r="AT105">
        <v>63.4</v>
      </c>
      <c r="BE105">
        <v>47.1</v>
      </c>
    </row>
    <row r="106" spans="1:69" x14ac:dyDescent="0.35">
      <c r="A106" t="s">
        <v>53</v>
      </c>
      <c r="B106" t="s">
        <v>637</v>
      </c>
      <c r="C106" t="s">
        <v>751</v>
      </c>
      <c r="D106" t="s">
        <v>752</v>
      </c>
      <c r="AF106">
        <v>32.5</v>
      </c>
      <c r="AH106">
        <v>35.6</v>
      </c>
      <c r="AJ106">
        <v>37.9</v>
      </c>
      <c r="AL106">
        <v>38</v>
      </c>
      <c r="AM106">
        <v>40.799999999999997</v>
      </c>
      <c r="AQ106">
        <v>36.1</v>
      </c>
      <c r="AR106">
        <v>38.700000000000003</v>
      </c>
      <c r="AS106">
        <v>36.9</v>
      </c>
      <c r="AT106">
        <v>36.5</v>
      </c>
      <c r="AU106">
        <v>36.5</v>
      </c>
      <c r="AV106">
        <v>39.4</v>
      </c>
      <c r="AW106">
        <v>38.4</v>
      </c>
      <c r="AX106">
        <v>42.2</v>
      </c>
      <c r="AY106">
        <v>37.1</v>
      </c>
      <c r="AZ106">
        <v>36.700000000000003</v>
      </c>
      <c r="BA106">
        <v>36.4</v>
      </c>
      <c r="BB106">
        <v>35.9</v>
      </c>
      <c r="BC106">
        <v>37.700000000000003</v>
      </c>
      <c r="BD106">
        <v>37.6</v>
      </c>
      <c r="BE106">
        <v>38.6</v>
      </c>
      <c r="BF106">
        <v>39.4</v>
      </c>
      <c r="BG106">
        <v>38.700000000000003</v>
      </c>
      <c r="BH106">
        <v>38.4</v>
      </c>
      <c r="BI106">
        <v>38.4</v>
      </c>
      <c r="BJ106">
        <v>38.5</v>
      </c>
    </row>
    <row r="107" spans="1:69" x14ac:dyDescent="0.35">
      <c r="A107" t="s">
        <v>716</v>
      </c>
      <c r="B107" t="s">
        <v>145</v>
      </c>
      <c r="C107" t="s">
        <v>751</v>
      </c>
      <c r="D107" t="s">
        <v>752</v>
      </c>
    </row>
    <row r="108" spans="1:69" x14ac:dyDescent="0.35">
      <c r="A108" t="s">
        <v>80</v>
      </c>
      <c r="B108" t="s">
        <v>278</v>
      </c>
      <c r="C108" t="s">
        <v>751</v>
      </c>
      <c r="D108" t="s">
        <v>752</v>
      </c>
    </row>
    <row r="109" spans="1:69" x14ac:dyDescent="0.35">
      <c r="A109" t="s">
        <v>737</v>
      </c>
      <c r="B109" t="s">
        <v>549</v>
      </c>
      <c r="C109" t="s">
        <v>751</v>
      </c>
      <c r="D109" t="s">
        <v>752</v>
      </c>
    </row>
    <row r="110" spans="1:69" x14ac:dyDescent="0.35">
      <c r="A110" t="s">
        <v>503</v>
      </c>
      <c r="B110" t="s">
        <v>1</v>
      </c>
      <c r="C110" t="s">
        <v>751</v>
      </c>
      <c r="D110" t="s">
        <v>752</v>
      </c>
    </row>
    <row r="111" spans="1:69" x14ac:dyDescent="0.35">
      <c r="A111" t="s">
        <v>472</v>
      </c>
      <c r="B111" t="s">
        <v>479</v>
      </c>
      <c r="C111" t="s">
        <v>751</v>
      </c>
      <c r="D111" t="s">
        <v>752</v>
      </c>
      <c r="AC111">
        <v>41</v>
      </c>
      <c r="AF111">
        <v>39.9</v>
      </c>
      <c r="AI111">
        <v>40.6</v>
      </c>
      <c r="AL111">
        <v>41.2</v>
      </c>
      <c r="AO111">
        <v>43.2</v>
      </c>
      <c r="AQ111">
        <v>40.299999999999997</v>
      </c>
      <c r="AR111">
        <v>40.4</v>
      </c>
      <c r="AS111">
        <v>39.9</v>
      </c>
      <c r="AT111">
        <v>40.700000000000003</v>
      </c>
      <c r="AU111">
        <v>40.1</v>
      </c>
      <c r="AV111">
        <v>39</v>
      </c>
      <c r="AW111">
        <v>39.9</v>
      </c>
      <c r="AX111">
        <v>39.4</v>
      </c>
      <c r="AY111">
        <v>40.6</v>
      </c>
      <c r="AZ111">
        <v>42.1</v>
      </c>
      <c r="BA111">
        <v>41.6</v>
      </c>
      <c r="BB111">
        <v>42.4</v>
      </c>
      <c r="BC111">
        <v>42.9</v>
      </c>
      <c r="BD111">
        <v>46</v>
      </c>
      <c r="BE111">
        <v>45.4</v>
      </c>
      <c r="BF111">
        <v>47</v>
      </c>
      <c r="BG111">
        <v>46.7</v>
      </c>
      <c r="BH111">
        <v>46.3</v>
      </c>
      <c r="BI111">
        <v>44.6</v>
      </c>
      <c r="BJ111">
        <v>44.1</v>
      </c>
      <c r="BK111">
        <v>44</v>
      </c>
      <c r="BL111">
        <v>43.2</v>
      </c>
      <c r="BM111">
        <v>43.3</v>
      </c>
      <c r="BN111">
        <v>43.5</v>
      </c>
      <c r="BO111">
        <v>44</v>
      </c>
      <c r="BP111">
        <v>44.6</v>
      </c>
      <c r="BQ111">
        <v>43.6</v>
      </c>
    </row>
    <row r="112" spans="1:69" x14ac:dyDescent="0.35">
      <c r="A112" t="s">
        <v>731</v>
      </c>
      <c r="B112" t="s">
        <v>675</v>
      </c>
      <c r="C112" t="s">
        <v>751</v>
      </c>
      <c r="D112" t="s">
        <v>752</v>
      </c>
    </row>
    <row r="113" spans="1:68" x14ac:dyDescent="0.35">
      <c r="A113" t="s">
        <v>303</v>
      </c>
      <c r="B113" t="s">
        <v>117</v>
      </c>
      <c r="C113" t="s">
        <v>751</v>
      </c>
      <c r="D113" t="s">
        <v>752</v>
      </c>
    </row>
    <row r="114" spans="1:68" x14ac:dyDescent="0.35">
      <c r="A114" t="s">
        <v>208</v>
      </c>
      <c r="B114" t="s">
        <v>596</v>
      </c>
      <c r="C114" t="s">
        <v>751</v>
      </c>
      <c r="D114" t="s">
        <v>752</v>
      </c>
      <c r="V114">
        <v>39.1</v>
      </c>
      <c r="AB114">
        <v>37</v>
      </c>
      <c r="AF114">
        <v>37.6</v>
      </c>
      <c r="AL114">
        <v>36.6</v>
      </c>
      <c r="AW114">
        <v>38.1</v>
      </c>
      <c r="BB114">
        <v>38.1</v>
      </c>
      <c r="BD114">
        <v>38.799999999999997</v>
      </c>
      <c r="BO114">
        <v>36.1</v>
      </c>
    </row>
    <row r="115" spans="1:68" x14ac:dyDescent="0.35">
      <c r="A115" t="s">
        <v>520</v>
      </c>
      <c r="B115" t="s">
        <v>376</v>
      </c>
      <c r="C115" t="s">
        <v>751</v>
      </c>
      <c r="D115" t="s">
        <v>752</v>
      </c>
    </row>
    <row r="116" spans="1:68" x14ac:dyDescent="0.35">
      <c r="A116" t="s">
        <v>106</v>
      </c>
      <c r="B116" t="s">
        <v>58</v>
      </c>
      <c r="C116" t="s">
        <v>751</v>
      </c>
      <c r="D116" t="s">
        <v>752</v>
      </c>
      <c r="AF116">
        <v>42.4</v>
      </c>
      <c r="AM116">
        <v>44.1</v>
      </c>
      <c r="AN116">
        <v>44.2</v>
      </c>
      <c r="AO116">
        <v>42.9</v>
      </c>
      <c r="AS116">
        <v>40.799999999999997</v>
      </c>
      <c r="AU116">
        <v>39.9</v>
      </c>
      <c r="AV116">
        <v>40.799999999999997</v>
      </c>
      <c r="AW116">
        <v>41.3</v>
      </c>
      <c r="AX116">
        <v>41.8</v>
      </c>
      <c r="AY116">
        <v>40.700000000000003</v>
      </c>
      <c r="AZ116">
        <v>40.299999999999997</v>
      </c>
      <c r="BA116">
        <v>39.299999999999997</v>
      </c>
      <c r="BB116">
        <v>40.700000000000003</v>
      </c>
      <c r="BC116">
        <v>40.200000000000003</v>
      </c>
      <c r="BD116">
        <v>40.700000000000003</v>
      </c>
      <c r="BE116">
        <v>41.1</v>
      </c>
      <c r="BF116">
        <v>41.3</v>
      </c>
      <c r="BG116">
        <v>40.1</v>
      </c>
      <c r="BH116">
        <v>40.200000000000003</v>
      </c>
      <c r="BI116">
        <v>41.2</v>
      </c>
      <c r="BJ116">
        <v>40</v>
      </c>
      <c r="BK116">
        <v>39.700000000000003</v>
      </c>
      <c r="BL116">
        <v>39.200000000000003</v>
      </c>
      <c r="BM116">
        <v>38.299999999999997</v>
      </c>
      <c r="BN116">
        <v>38.5</v>
      </c>
      <c r="BO116">
        <v>38.9</v>
      </c>
      <c r="BP116">
        <v>38.299999999999997</v>
      </c>
    </row>
    <row r="117" spans="1:68" x14ac:dyDescent="0.35">
      <c r="A117" t="s">
        <v>420</v>
      </c>
      <c r="B117" t="s">
        <v>182</v>
      </c>
      <c r="C117" t="s">
        <v>751</v>
      </c>
      <c r="D117" t="s">
        <v>752</v>
      </c>
      <c r="AE117">
        <v>52.7</v>
      </c>
      <c r="AI117">
        <v>49.4</v>
      </c>
      <c r="AM117">
        <v>49.1</v>
      </c>
      <c r="AQ117">
        <v>49.9</v>
      </c>
      <c r="AX117">
        <v>49.6</v>
      </c>
      <c r="AY117">
        <v>50.6</v>
      </c>
      <c r="BB117">
        <v>47.8</v>
      </c>
      <c r="BD117">
        <v>42.2</v>
      </c>
      <c r="BE117">
        <v>42.2</v>
      </c>
      <c r="BF117">
        <v>41.9</v>
      </c>
      <c r="BG117">
        <v>42.4</v>
      </c>
      <c r="BH117">
        <v>42.9</v>
      </c>
      <c r="BI117">
        <v>43.5</v>
      </c>
      <c r="BJ117">
        <v>44</v>
      </c>
      <c r="BK117">
        <v>44.7</v>
      </c>
      <c r="BL117">
        <v>43.8</v>
      </c>
      <c r="BM117">
        <v>43.2</v>
      </c>
      <c r="BN117">
        <v>42.8</v>
      </c>
      <c r="BO117">
        <v>42.2</v>
      </c>
      <c r="BP117">
        <v>43.3</v>
      </c>
    </row>
    <row r="118" spans="1:68" x14ac:dyDescent="0.35">
      <c r="A118" t="s">
        <v>0</v>
      </c>
      <c r="B118" t="s">
        <v>539</v>
      </c>
      <c r="C118" t="s">
        <v>751</v>
      </c>
      <c r="D118" t="s">
        <v>752</v>
      </c>
      <c r="AY118">
        <v>38.1</v>
      </c>
      <c r="BE118">
        <v>38.5</v>
      </c>
      <c r="BP118">
        <v>38.9</v>
      </c>
    </row>
    <row r="119" spans="1:68" x14ac:dyDescent="0.35">
      <c r="A119" t="s">
        <v>29</v>
      </c>
      <c r="B119" t="s">
        <v>146</v>
      </c>
      <c r="C119" t="s">
        <v>751</v>
      </c>
      <c r="D119" t="s">
        <v>752</v>
      </c>
      <c r="AV119">
        <v>36.6</v>
      </c>
      <c r="AW119">
        <v>37.700000000000003</v>
      </c>
      <c r="AX119">
        <v>38.5</v>
      </c>
      <c r="AY119">
        <v>39.5</v>
      </c>
      <c r="AZ119">
        <v>38.9</v>
      </c>
      <c r="BA119">
        <v>40.799999999999997</v>
      </c>
      <c r="BB119">
        <v>38.1</v>
      </c>
      <c r="BC119">
        <v>36</v>
      </c>
      <c r="BD119">
        <v>36.200000000000003</v>
      </c>
      <c r="BE119">
        <v>36.299999999999997</v>
      </c>
      <c r="BF119">
        <v>35.299999999999997</v>
      </c>
      <c r="BG119">
        <v>37.299999999999997</v>
      </c>
      <c r="BH119">
        <v>36.4</v>
      </c>
      <c r="BI119">
        <v>36.700000000000003</v>
      </c>
      <c r="BJ119">
        <v>35.9</v>
      </c>
      <c r="BK119">
        <v>35.799999999999997</v>
      </c>
      <c r="BL119">
        <v>36.299999999999997</v>
      </c>
    </row>
    <row r="120" spans="1:68" x14ac:dyDescent="0.35">
      <c r="A120" t="s">
        <v>486</v>
      </c>
      <c r="B120" t="s">
        <v>671</v>
      </c>
      <c r="C120" t="s">
        <v>751</v>
      </c>
      <c r="D120" t="s">
        <v>752</v>
      </c>
      <c r="X120">
        <v>42.3</v>
      </c>
      <c r="AE120">
        <v>42.6</v>
      </c>
      <c r="AK120">
        <v>42.1</v>
      </c>
      <c r="AP120">
        <v>44</v>
      </c>
      <c r="AT120">
        <v>44.6</v>
      </c>
      <c r="AU120">
        <v>44.7</v>
      </c>
      <c r="AV120">
        <v>45.5</v>
      </c>
      <c r="AW120">
        <v>45.9</v>
      </c>
      <c r="AX120">
        <v>46.8</v>
      </c>
      <c r="AY120">
        <v>46.1</v>
      </c>
      <c r="AZ120">
        <v>45.7</v>
      </c>
      <c r="BA120">
        <v>46.2</v>
      </c>
      <c r="BB120">
        <v>46.7</v>
      </c>
      <c r="BC120">
        <v>46.9</v>
      </c>
      <c r="BD120">
        <v>45.8</v>
      </c>
      <c r="BE120">
        <v>45.7</v>
      </c>
      <c r="BF120">
        <v>44.6</v>
      </c>
      <c r="BG120">
        <v>44.4</v>
      </c>
      <c r="BH120">
        <v>44.5</v>
      </c>
      <c r="BI120">
        <v>43.9</v>
      </c>
      <c r="BJ120">
        <v>42.9</v>
      </c>
      <c r="BK120">
        <v>43.4</v>
      </c>
      <c r="BL120">
        <v>43.1</v>
      </c>
      <c r="BM120">
        <v>42.9</v>
      </c>
      <c r="BN120">
        <v>43</v>
      </c>
    </row>
    <row r="121" spans="1:68" x14ac:dyDescent="0.35">
      <c r="A121" t="s">
        <v>175</v>
      </c>
      <c r="B121" t="s">
        <v>565</v>
      </c>
      <c r="C121" t="s">
        <v>751</v>
      </c>
      <c r="D121" t="s">
        <v>752</v>
      </c>
      <c r="V121">
        <v>41.1</v>
      </c>
      <c r="W121">
        <v>40.200000000000003</v>
      </c>
      <c r="X121">
        <v>40</v>
      </c>
      <c r="Y121">
        <v>40.1</v>
      </c>
      <c r="Z121">
        <v>39.299999999999997</v>
      </c>
      <c r="AA121">
        <v>37.299999999999997</v>
      </c>
      <c r="AB121">
        <v>37.5</v>
      </c>
      <c r="AC121">
        <v>38.700000000000003</v>
      </c>
      <c r="AE121">
        <v>38.5</v>
      </c>
      <c r="AF121">
        <v>40.5</v>
      </c>
      <c r="AH121">
        <v>39.5</v>
      </c>
      <c r="AJ121">
        <v>38.5</v>
      </c>
      <c r="AL121">
        <v>40.9</v>
      </c>
      <c r="AN121">
        <v>41.1</v>
      </c>
      <c r="AQ121">
        <v>42.4</v>
      </c>
      <c r="AS121">
        <v>41.3</v>
      </c>
      <c r="AU121">
        <v>40.9</v>
      </c>
      <c r="AV121">
        <v>41.8</v>
      </c>
      <c r="AW121">
        <v>41.3</v>
      </c>
      <c r="AX121">
        <v>40.700000000000003</v>
      </c>
      <c r="AY121">
        <v>40.799999999999997</v>
      </c>
      <c r="AZ121">
        <v>40</v>
      </c>
      <c r="BA121">
        <v>40.799999999999997</v>
      </c>
      <c r="BB121">
        <v>40.700000000000003</v>
      </c>
      <c r="BC121">
        <v>41.4</v>
      </c>
      <c r="BD121">
        <v>41.7</v>
      </c>
      <c r="BE121">
        <v>41.7</v>
      </c>
      <c r="BF121">
        <v>41.4</v>
      </c>
      <c r="BG121">
        <v>41</v>
      </c>
      <c r="BH121">
        <v>41.4</v>
      </c>
      <c r="BI121">
        <v>41.4</v>
      </c>
      <c r="BJ121">
        <v>42.1</v>
      </c>
      <c r="BK121">
        <v>41.5</v>
      </c>
      <c r="BL121">
        <v>41.1</v>
      </c>
      <c r="BM121">
        <v>41.7</v>
      </c>
      <c r="BN121">
        <v>41.5</v>
      </c>
      <c r="BO121">
        <v>40.5</v>
      </c>
      <c r="BP121">
        <v>41.1</v>
      </c>
    </row>
    <row r="122" spans="1:68" x14ac:dyDescent="0.35">
      <c r="A122" t="s">
        <v>127</v>
      </c>
      <c r="B122" t="s">
        <v>702</v>
      </c>
      <c r="C122" t="s">
        <v>751</v>
      </c>
      <c r="D122" t="s">
        <v>752</v>
      </c>
      <c r="AG122">
        <v>49.1</v>
      </c>
      <c r="AI122">
        <v>47.9</v>
      </c>
      <c r="AL122">
        <v>42.8</v>
      </c>
      <c r="AO122">
        <v>47.5</v>
      </c>
      <c r="AR122">
        <v>50.6</v>
      </c>
      <c r="AU122">
        <v>54.1</v>
      </c>
      <c r="AW122">
        <v>51.6</v>
      </c>
      <c r="BK122">
        <v>43.1</v>
      </c>
      <c r="BN122">
        <v>45.8</v>
      </c>
    </row>
    <row r="123" spans="1:68" x14ac:dyDescent="0.35">
      <c r="A123" t="s">
        <v>575</v>
      </c>
      <c r="B123" t="s">
        <v>311</v>
      </c>
      <c r="C123" t="s">
        <v>751</v>
      </c>
      <c r="D123" t="s">
        <v>752</v>
      </c>
      <c r="AE123">
        <v>43.8</v>
      </c>
      <c r="AK123">
        <v>49.7</v>
      </c>
      <c r="AP123">
        <v>44.4</v>
      </c>
      <c r="AU123">
        <v>44.9</v>
      </c>
      <c r="AY123">
        <v>42.5</v>
      </c>
      <c r="BA123">
        <v>41.7</v>
      </c>
      <c r="BC123">
        <v>42.4</v>
      </c>
    </row>
    <row r="124" spans="1:68" x14ac:dyDescent="0.35">
      <c r="A124" t="s">
        <v>734</v>
      </c>
      <c r="B124" t="s">
        <v>566</v>
      </c>
      <c r="C124" t="s">
        <v>751</v>
      </c>
      <c r="D124" t="s">
        <v>752</v>
      </c>
      <c r="BA124">
        <v>40.799999999999997</v>
      </c>
      <c r="BB124">
        <v>39.799999999999997</v>
      </c>
      <c r="BC124">
        <v>38.6</v>
      </c>
      <c r="BD124">
        <v>39.799999999999997</v>
      </c>
      <c r="BE124">
        <v>39.4</v>
      </c>
      <c r="BF124">
        <v>38.4</v>
      </c>
      <c r="BG124">
        <v>38.700000000000003</v>
      </c>
      <c r="BH124">
        <v>38.200000000000003</v>
      </c>
      <c r="BI124">
        <v>38.799999999999997</v>
      </c>
      <c r="BJ124">
        <v>38.9</v>
      </c>
      <c r="BK124">
        <v>39.6</v>
      </c>
      <c r="BL124">
        <v>39.5</v>
      </c>
      <c r="BM124">
        <v>39</v>
      </c>
    </row>
    <row r="125" spans="1:68" x14ac:dyDescent="0.35">
      <c r="A125" t="s">
        <v>84</v>
      </c>
      <c r="B125" t="s">
        <v>292</v>
      </c>
      <c r="C125" t="s">
        <v>751</v>
      </c>
      <c r="D125" t="s">
        <v>752</v>
      </c>
      <c r="AL125">
        <v>40.4</v>
      </c>
      <c r="AO125">
        <v>42.3</v>
      </c>
      <c r="AT125">
        <v>42.9</v>
      </c>
      <c r="AU125">
        <v>42.3</v>
      </c>
      <c r="AV125">
        <v>41.3</v>
      </c>
      <c r="AW125">
        <v>40.200000000000003</v>
      </c>
      <c r="AX125">
        <v>46.1</v>
      </c>
      <c r="AY125">
        <v>39.5</v>
      </c>
      <c r="AZ125">
        <v>39.299999999999997</v>
      </c>
      <c r="BA125">
        <v>38.1</v>
      </c>
      <c r="BB125">
        <v>37.700000000000003</v>
      </c>
      <c r="BC125">
        <v>37.700000000000003</v>
      </c>
      <c r="BD125">
        <v>37.6</v>
      </c>
      <c r="BE125">
        <v>37.700000000000003</v>
      </c>
      <c r="BF125">
        <v>37</v>
      </c>
      <c r="BG125">
        <v>37</v>
      </c>
      <c r="BH125">
        <v>36.9</v>
      </c>
      <c r="BI125">
        <v>37.200000000000003</v>
      </c>
      <c r="BJ125">
        <v>37.4</v>
      </c>
      <c r="BK125">
        <v>37.9</v>
      </c>
      <c r="BL125">
        <v>38.1</v>
      </c>
      <c r="BM125">
        <v>38.799999999999997</v>
      </c>
      <c r="BN125">
        <v>39.299999999999997</v>
      </c>
    </row>
    <row r="126" spans="1:68" x14ac:dyDescent="0.35">
      <c r="A126" t="s">
        <v>739</v>
      </c>
      <c r="B126" t="s">
        <v>696</v>
      </c>
      <c r="C126" t="s">
        <v>751</v>
      </c>
      <c r="D126" t="s">
        <v>752</v>
      </c>
      <c r="AK126">
        <v>61.4</v>
      </c>
      <c r="AM126">
        <v>48.9</v>
      </c>
      <c r="AP126">
        <v>51.3</v>
      </c>
      <c r="AX126">
        <v>52.1</v>
      </c>
      <c r="BH126">
        <v>47.5</v>
      </c>
      <c r="BM126">
        <v>44.1</v>
      </c>
      <c r="BN126">
        <v>46.6</v>
      </c>
      <c r="BO126">
        <v>45.6</v>
      </c>
    </row>
    <row r="127" spans="1:68" x14ac:dyDescent="0.35">
      <c r="A127" t="s">
        <v>470</v>
      </c>
      <c r="B127" t="s">
        <v>423</v>
      </c>
      <c r="C127" t="s">
        <v>751</v>
      </c>
      <c r="D127" t="s">
        <v>752</v>
      </c>
      <c r="AQ127">
        <v>51</v>
      </c>
      <c r="AS127">
        <v>40.1</v>
      </c>
      <c r="AT127">
        <v>39.1</v>
      </c>
      <c r="AU127">
        <v>39.1</v>
      </c>
      <c r="AV127">
        <v>38.1</v>
      </c>
      <c r="AW127">
        <v>43</v>
      </c>
      <c r="AX127">
        <v>41.3</v>
      </c>
      <c r="AY127">
        <v>44.9</v>
      </c>
      <c r="AZ127">
        <v>41.8</v>
      </c>
      <c r="BA127">
        <v>40</v>
      </c>
      <c r="BB127">
        <v>39.299999999999997</v>
      </c>
      <c r="BC127">
        <v>39.200000000000003</v>
      </c>
      <c r="BD127">
        <v>37.700000000000003</v>
      </c>
      <c r="BE127">
        <v>37.299999999999997</v>
      </c>
      <c r="BF127">
        <v>38.299999999999997</v>
      </c>
      <c r="BG127">
        <v>37</v>
      </c>
      <c r="BH127">
        <v>38.799999999999997</v>
      </c>
      <c r="BI127">
        <v>37.200000000000003</v>
      </c>
      <c r="BJ127">
        <v>37.4</v>
      </c>
      <c r="BK127">
        <v>37.799999999999997</v>
      </c>
      <c r="BL127">
        <v>39.5</v>
      </c>
      <c r="BM127">
        <v>38.5</v>
      </c>
      <c r="BN127">
        <v>38.5</v>
      </c>
      <c r="BO127">
        <v>36.4</v>
      </c>
      <c r="BP127">
        <v>37.200000000000003</v>
      </c>
    </row>
    <row r="128" spans="1:68" x14ac:dyDescent="0.35">
      <c r="A128" t="s">
        <v>674</v>
      </c>
      <c r="B128" t="s">
        <v>709</v>
      </c>
      <c r="C128" t="s">
        <v>751</v>
      </c>
      <c r="D128" t="s">
        <v>752</v>
      </c>
    </row>
    <row r="129" spans="1:67" x14ac:dyDescent="0.35">
      <c r="A129" t="s">
        <v>635</v>
      </c>
      <c r="B129" t="s">
        <v>527</v>
      </c>
      <c r="C129" t="s">
        <v>751</v>
      </c>
      <c r="D129" t="s">
        <v>752</v>
      </c>
      <c r="AY129">
        <v>43.9</v>
      </c>
      <c r="BL129">
        <v>37.4</v>
      </c>
    </row>
    <row r="130" spans="1:67" x14ac:dyDescent="0.35">
      <c r="A130" t="s">
        <v>168</v>
      </c>
      <c r="B130" t="s">
        <v>393</v>
      </c>
      <c r="C130" t="s">
        <v>751</v>
      </c>
      <c r="D130" t="s">
        <v>752</v>
      </c>
    </row>
    <row r="131" spans="1:67" x14ac:dyDescent="0.35">
      <c r="A131" t="s">
        <v>197</v>
      </c>
      <c r="B131" t="s">
        <v>667</v>
      </c>
      <c r="C131" t="s">
        <v>751</v>
      </c>
      <c r="D131" t="s">
        <v>752</v>
      </c>
      <c r="AY131">
        <v>38.799999999999997</v>
      </c>
      <c r="BA131">
        <v>39.4</v>
      </c>
      <c r="BC131">
        <v>39.1</v>
      </c>
      <c r="BE131">
        <v>38.700000000000003</v>
      </c>
      <c r="BG131">
        <v>38.6</v>
      </c>
      <c r="BI131">
        <v>41.5</v>
      </c>
      <c r="BJ131">
        <v>41.2</v>
      </c>
      <c r="BK131">
        <v>40.4</v>
      </c>
      <c r="BL131">
        <v>40.200000000000003</v>
      </c>
      <c r="BM131">
        <v>39.9</v>
      </c>
      <c r="BN131">
        <v>40</v>
      </c>
    </row>
    <row r="132" spans="1:67" x14ac:dyDescent="0.35">
      <c r="A132" t="s">
        <v>724</v>
      </c>
      <c r="B132" t="s">
        <v>509</v>
      </c>
      <c r="C132" t="s">
        <v>751</v>
      </c>
      <c r="D132" t="s">
        <v>752</v>
      </c>
    </row>
    <row r="133" spans="1:67" x14ac:dyDescent="0.35">
      <c r="A133" t="s">
        <v>287</v>
      </c>
      <c r="B133" t="s">
        <v>522</v>
      </c>
      <c r="C133" t="s">
        <v>751</v>
      </c>
      <c r="D133" t="s">
        <v>752</v>
      </c>
    </row>
    <row r="134" spans="1:67" x14ac:dyDescent="0.35">
      <c r="A134" t="s">
        <v>574</v>
      </c>
      <c r="B134" t="s">
        <v>245</v>
      </c>
      <c r="C134" t="s">
        <v>751</v>
      </c>
      <c r="D134" t="s">
        <v>752</v>
      </c>
      <c r="AK134">
        <v>43</v>
      </c>
      <c r="AP134">
        <v>43.7</v>
      </c>
      <c r="AU134">
        <v>41.7</v>
      </c>
      <c r="AZ134">
        <v>43.9</v>
      </c>
      <c r="BE134">
        <v>44.1</v>
      </c>
      <c r="BK134">
        <v>46.4</v>
      </c>
    </row>
    <row r="135" spans="1:67" x14ac:dyDescent="0.35">
      <c r="A135" t="s">
        <v>446</v>
      </c>
      <c r="B135" t="s">
        <v>264</v>
      </c>
      <c r="C135" t="s">
        <v>751</v>
      </c>
      <c r="D135" t="s">
        <v>752</v>
      </c>
      <c r="BD135">
        <v>39.9</v>
      </c>
      <c r="BO135">
        <v>42</v>
      </c>
    </row>
    <row r="136" spans="1:67" x14ac:dyDescent="0.35">
      <c r="A136" t="s">
        <v>248</v>
      </c>
      <c r="B136" t="s">
        <v>662</v>
      </c>
      <c r="C136" t="s">
        <v>751</v>
      </c>
      <c r="D136" t="s">
        <v>752</v>
      </c>
      <c r="AZ136">
        <v>43.4</v>
      </c>
      <c r="BG136">
        <v>41.3</v>
      </c>
      <c r="BI136">
        <v>42.8</v>
      </c>
    </row>
    <row r="137" spans="1:67" x14ac:dyDescent="0.35">
      <c r="A137" t="s">
        <v>555</v>
      </c>
      <c r="B137" t="s">
        <v>666</v>
      </c>
      <c r="C137" t="s">
        <v>751</v>
      </c>
      <c r="D137" t="s">
        <v>752</v>
      </c>
    </row>
    <row r="138" spans="1:67" x14ac:dyDescent="0.35">
      <c r="A138" t="s">
        <v>515</v>
      </c>
      <c r="B138" t="s">
        <v>383</v>
      </c>
      <c r="C138" t="s">
        <v>751</v>
      </c>
      <c r="D138" t="s">
        <v>752</v>
      </c>
      <c r="AN138">
        <v>48.3</v>
      </c>
      <c r="BH138">
        <v>50.3</v>
      </c>
    </row>
    <row r="139" spans="1:67" x14ac:dyDescent="0.35">
      <c r="A139" t="s">
        <v>605</v>
      </c>
      <c r="B139" t="s">
        <v>178</v>
      </c>
      <c r="C139" t="s">
        <v>751</v>
      </c>
      <c r="D139" t="s">
        <v>752</v>
      </c>
    </row>
    <row r="140" spans="1:67" x14ac:dyDescent="0.35">
      <c r="A140" t="s">
        <v>284</v>
      </c>
      <c r="B140" t="s">
        <v>589</v>
      </c>
      <c r="C140" t="s">
        <v>751</v>
      </c>
      <c r="D140" t="s">
        <v>752</v>
      </c>
    </row>
    <row r="141" spans="1:67" x14ac:dyDescent="0.35">
      <c r="A141" t="s">
        <v>649</v>
      </c>
      <c r="B141" t="s">
        <v>70</v>
      </c>
      <c r="C141" t="s">
        <v>751</v>
      </c>
      <c r="D141" t="s">
        <v>752</v>
      </c>
    </row>
    <row r="142" spans="1:67" x14ac:dyDescent="0.35">
      <c r="A142" t="s">
        <v>615</v>
      </c>
      <c r="B142" t="s">
        <v>356</v>
      </c>
      <c r="C142" t="s">
        <v>751</v>
      </c>
      <c r="D142" t="s">
        <v>752</v>
      </c>
    </row>
    <row r="143" spans="1:67" x14ac:dyDescent="0.35">
      <c r="A143" t="s">
        <v>3</v>
      </c>
      <c r="B143" t="s">
        <v>687</v>
      </c>
      <c r="C143" t="s">
        <v>751</v>
      </c>
      <c r="D143" t="s">
        <v>752</v>
      </c>
      <c r="AD143">
        <v>41.1</v>
      </c>
      <c r="AI143">
        <v>41.7</v>
      </c>
      <c r="AN143">
        <v>44</v>
      </c>
      <c r="AU143">
        <v>48</v>
      </c>
      <c r="AY143">
        <v>47.4</v>
      </c>
      <c r="BB143">
        <v>44.4</v>
      </c>
      <c r="BE143">
        <v>46.6</v>
      </c>
      <c r="BI143">
        <v>47.2</v>
      </c>
      <c r="BL143">
        <v>45.7</v>
      </c>
    </row>
    <row r="144" spans="1:67" x14ac:dyDescent="0.35">
      <c r="A144" t="s">
        <v>374</v>
      </c>
      <c r="B144" t="s">
        <v>225</v>
      </c>
      <c r="C144" t="s">
        <v>751</v>
      </c>
      <c r="D144" t="s">
        <v>752</v>
      </c>
    </row>
    <row r="145" spans="1:68" x14ac:dyDescent="0.35">
      <c r="A145" t="s">
        <v>329</v>
      </c>
      <c r="B145" t="s">
        <v>306</v>
      </c>
      <c r="C145" t="s">
        <v>751</v>
      </c>
      <c r="D145" t="s">
        <v>752</v>
      </c>
    </row>
    <row r="146" spans="1:68" x14ac:dyDescent="0.35">
      <c r="A146" t="s">
        <v>502</v>
      </c>
      <c r="B146" t="s">
        <v>259</v>
      </c>
      <c r="C146" t="s">
        <v>751</v>
      </c>
      <c r="D146" t="s">
        <v>752</v>
      </c>
      <c r="AE146">
        <v>60</v>
      </c>
      <c r="AM146">
        <v>66.3</v>
      </c>
      <c r="AU146">
        <v>55.2</v>
      </c>
      <c r="BJ146">
        <v>49.7</v>
      </c>
    </row>
    <row r="147" spans="1:68" x14ac:dyDescent="0.35">
      <c r="A147" t="s">
        <v>416</v>
      </c>
      <c r="B147" t="s">
        <v>722</v>
      </c>
      <c r="C147" t="s">
        <v>751</v>
      </c>
      <c r="D147" t="s">
        <v>752</v>
      </c>
    </row>
    <row r="148" spans="1:68" x14ac:dyDescent="0.35">
      <c r="A148" t="s">
        <v>424</v>
      </c>
      <c r="B148" t="s">
        <v>114</v>
      </c>
      <c r="C148" t="s">
        <v>751</v>
      </c>
      <c r="D148" t="s">
        <v>752</v>
      </c>
      <c r="AL148">
        <v>41.7</v>
      </c>
      <c r="AO148">
        <v>40.4</v>
      </c>
      <c r="AQ148">
        <v>40.200000000000003</v>
      </c>
      <c r="AR148">
        <v>40.1</v>
      </c>
      <c r="AS148">
        <v>39.700000000000003</v>
      </c>
      <c r="AT148">
        <v>39.9</v>
      </c>
      <c r="AU148">
        <v>39.9</v>
      </c>
      <c r="AV148">
        <v>43.1</v>
      </c>
      <c r="AW148">
        <v>43.7</v>
      </c>
      <c r="AX148">
        <v>42.6</v>
      </c>
      <c r="AY148">
        <v>41.9</v>
      </c>
      <c r="AZ148">
        <v>42</v>
      </c>
      <c r="BA148">
        <v>42.8</v>
      </c>
      <c r="BB148">
        <v>43.4</v>
      </c>
      <c r="BC148">
        <v>40.299999999999997</v>
      </c>
      <c r="BD148">
        <v>39.9</v>
      </c>
      <c r="BE148">
        <v>42</v>
      </c>
      <c r="BF148">
        <v>42.5</v>
      </c>
      <c r="BG148">
        <v>44.1</v>
      </c>
      <c r="BH148">
        <v>44.1</v>
      </c>
      <c r="BI148">
        <v>45</v>
      </c>
      <c r="BJ148">
        <v>43.9</v>
      </c>
      <c r="BK148">
        <v>42.8</v>
      </c>
      <c r="BL148">
        <v>42.8</v>
      </c>
      <c r="BM148">
        <v>43.8</v>
      </c>
      <c r="BN148">
        <v>44.1</v>
      </c>
      <c r="BO148">
        <v>43.7</v>
      </c>
      <c r="BP148">
        <v>42.9</v>
      </c>
    </row>
    <row r="149" spans="1:68" x14ac:dyDescent="0.35">
      <c r="A149" t="s">
        <v>301</v>
      </c>
      <c r="B149" t="s">
        <v>546</v>
      </c>
      <c r="C149" t="s">
        <v>751</v>
      </c>
      <c r="D149" t="s">
        <v>752</v>
      </c>
      <c r="AD149">
        <v>35.700000000000003</v>
      </c>
      <c r="AE149">
        <v>37.1</v>
      </c>
      <c r="AF149">
        <v>38.200000000000003</v>
      </c>
      <c r="AG149">
        <v>37.799999999999997</v>
      </c>
      <c r="AH149">
        <v>39.799999999999997</v>
      </c>
      <c r="AI149">
        <v>36.9</v>
      </c>
      <c r="AJ149">
        <v>36.299999999999997</v>
      </c>
      <c r="AK149">
        <v>36.6</v>
      </c>
      <c r="AL149">
        <v>36.6</v>
      </c>
      <c r="AM149">
        <v>36.9</v>
      </c>
      <c r="AN149">
        <v>37.1</v>
      </c>
      <c r="AO149">
        <v>37.5</v>
      </c>
      <c r="AP149">
        <v>37.9</v>
      </c>
      <c r="AQ149">
        <v>38.799999999999997</v>
      </c>
      <c r="AR149">
        <v>38.299999999999997</v>
      </c>
      <c r="AS149">
        <v>38.4</v>
      </c>
      <c r="AT149">
        <v>39.299999999999997</v>
      </c>
      <c r="AU149">
        <v>39.4</v>
      </c>
      <c r="AV149">
        <v>38.6</v>
      </c>
      <c r="AW149">
        <v>38.700000000000003</v>
      </c>
      <c r="AX149">
        <v>39.4</v>
      </c>
      <c r="AY149">
        <v>39.4</v>
      </c>
      <c r="AZ149">
        <v>39.700000000000003</v>
      </c>
      <c r="BA149">
        <v>40.799999999999997</v>
      </c>
      <c r="BB149">
        <v>39.200000000000003</v>
      </c>
      <c r="BC149">
        <v>38.799999999999997</v>
      </c>
      <c r="BD149">
        <v>39.9</v>
      </c>
      <c r="BE149">
        <v>41.7</v>
      </c>
      <c r="BF149">
        <v>39.700000000000003</v>
      </c>
      <c r="BG149">
        <v>39.1</v>
      </c>
      <c r="BH149">
        <v>40.299999999999997</v>
      </c>
      <c r="BI149">
        <v>39.200000000000003</v>
      </c>
      <c r="BJ149">
        <v>41.4</v>
      </c>
      <c r="BK149">
        <v>42.2</v>
      </c>
      <c r="BL149">
        <v>41.4</v>
      </c>
      <c r="BM149">
        <v>40.5</v>
      </c>
      <c r="BN149">
        <v>40</v>
      </c>
      <c r="BO149">
        <v>41.1</v>
      </c>
      <c r="BP149">
        <v>40.700000000000003</v>
      </c>
    </row>
    <row r="150" spans="1:68" x14ac:dyDescent="0.35">
      <c r="A150" t="s">
        <v>277</v>
      </c>
      <c r="B150" t="s">
        <v>471</v>
      </c>
      <c r="C150" t="s">
        <v>751</v>
      </c>
      <c r="D150" t="s">
        <v>752</v>
      </c>
      <c r="AL150">
        <v>36.700000000000003</v>
      </c>
      <c r="AN150">
        <v>39.299999999999997</v>
      </c>
      <c r="AO150">
        <v>39.700000000000003</v>
      </c>
      <c r="AP150">
        <v>41.8</v>
      </c>
      <c r="AQ150">
        <v>41.1</v>
      </c>
      <c r="AU150">
        <v>42.5</v>
      </c>
      <c r="AV150">
        <v>44</v>
      </c>
      <c r="AW150">
        <v>43.5</v>
      </c>
      <c r="AX150">
        <v>45.4</v>
      </c>
      <c r="AY150">
        <v>42.6</v>
      </c>
      <c r="AZ150">
        <v>44</v>
      </c>
      <c r="BA150">
        <v>43.5</v>
      </c>
      <c r="BB150">
        <v>42.6</v>
      </c>
      <c r="BC150">
        <v>41.7</v>
      </c>
      <c r="BD150">
        <v>42.8</v>
      </c>
      <c r="BE150">
        <v>42.3</v>
      </c>
      <c r="BF150">
        <v>42.6</v>
      </c>
      <c r="BG150">
        <v>42.2</v>
      </c>
      <c r="BH150">
        <v>41.5</v>
      </c>
      <c r="BI150">
        <v>41.5</v>
      </c>
      <c r="BJ150">
        <v>42.4</v>
      </c>
      <c r="BK150">
        <v>42.3</v>
      </c>
      <c r="BL150">
        <v>42</v>
      </c>
      <c r="BM150">
        <v>42.9</v>
      </c>
      <c r="BN150">
        <v>41.5</v>
      </c>
      <c r="BO150">
        <v>41.1</v>
      </c>
      <c r="BP150">
        <v>41.5</v>
      </c>
    </row>
    <row r="151" spans="1:68" x14ac:dyDescent="0.35">
      <c r="A151" t="s">
        <v>578</v>
      </c>
      <c r="B151" t="s">
        <v>307</v>
      </c>
      <c r="C151" t="s">
        <v>751</v>
      </c>
      <c r="D151" t="s">
        <v>752</v>
      </c>
    </row>
    <row r="152" spans="1:68" x14ac:dyDescent="0.35">
      <c r="A152" t="s">
        <v>406</v>
      </c>
      <c r="B152" t="s">
        <v>475</v>
      </c>
      <c r="C152" t="s">
        <v>751</v>
      </c>
      <c r="D152" t="s">
        <v>752</v>
      </c>
    </row>
    <row r="153" spans="1:68" x14ac:dyDescent="0.35">
      <c r="A153" t="s">
        <v>37</v>
      </c>
      <c r="B153" t="s">
        <v>205</v>
      </c>
      <c r="C153" t="s">
        <v>751</v>
      </c>
      <c r="D153" t="s">
        <v>752</v>
      </c>
      <c r="AC153">
        <v>43.7</v>
      </c>
      <c r="AI153">
        <v>46.1</v>
      </c>
      <c r="AQ153">
        <v>46.5</v>
      </c>
      <c r="AS153">
        <v>47.8</v>
      </c>
      <c r="AY153">
        <v>48</v>
      </c>
      <c r="BF153">
        <v>47</v>
      </c>
    </row>
    <row r="154" spans="1:68" x14ac:dyDescent="0.35">
      <c r="A154" t="s">
        <v>414</v>
      </c>
      <c r="B154" t="s">
        <v>6</v>
      </c>
      <c r="C154" t="s">
        <v>751</v>
      </c>
      <c r="D154" t="s">
        <v>752</v>
      </c>
    </row>
    <row r="155" spans="1:68" x14ac:dyDescent="0.35">
      <c r="A155" t="s">
        <v>484</v>
      </c>
      <c r="B155" t="s">
        <v>88</v>
      </c>
      <c r="C155" t="s">
        <v>751</v>
      </c>
      <c r="D155" t="s">
        <v>752</v>
      </c>
      <c r="AP155">
        <v>43.8</v>
      </c>
      <c r="AQ155">
        <v>45.9</v>
      </c>
      <c r="AR155">
        <v>49.6</v>
      </c>
      <c r="AS155">
        <v>43.8</v>
      </c>
      <c r="AT155">
        <v>45.2</v>
      </c>
      <c r="AU155">
        <v>43.1</v>
      </c>
      <c r="AV155">
        <v>42.9</v>
      </c>
      <c r="AW155">
        <v>42.8</v>
      </c>
      <c r="AX155">
        <v>43.7</v>
      </c>
      <c r="AY155">
        <v>42.7</v>
      </c>
      <c r="AZ155">
        <v>42</v>
      </c>
      <c r="BA155">
        <v>42.4</v>
      </c>
      <c r="BB155">
        <v>40.6</v>
      </c>
      <c r="BC155">
        <v>40.299999999999997</v>
      </c>
      <c r="BD155">
        <v>39.299999999999997</v>
      </c>
      <c r="BE155">
        <v>38.4</v>
      </c>
      <c r="BF155">
        <v>37.799999999999997</v>
      </c>
      <c r="BG155">
        <v>36.6</v>
      </c>
      <c r="BH155">
        <v>36.9</v>
      </c>
      <c r="BI155">
        <v>36.6</v>
      </c>
      <c r="BJ155">
        <v>36.1</v>
      </c>
      <c r="BK155">
        <v>36</v>
      </c>
      <c r="BL155">
        <v>36.200000000000003</v>
      </c>
      <c r="BM155">
        <v>35.6</v>
      </c>
      <c r="BN155">
        <v>36</v>
      </c>
      <c r="BO155">
        <v>36.299999999999997</v>
      </c>
      <c r="BP155">
        <v>37</v>
      </c>
    </row>
    <row r="156" spans="1:68" x14ac:dyDescent="0.35">
      <c r="A156" t="s">
        <v>427</v>
      </c>
      <c r="B156" t="s">
        <v>17</v>
      </c>
      <c r="C156" t="s">
        <v>751</v>
      </c>
      <c r="D156" t="s">
        <v>752</v>
      </c>
      <c r="Y156">
        <v>52.5</v>
      </c>
      <c r="AL156">
        <v>51.3</v>
      </c>
      <c r="AP156">
        <v>46</v>
      </c>
      <c r="AR156">
        <v>45.1</v>
      </c>
      <c r="AT156">
        <v>53.5</v>
      </c>
      <c r="AX156">
        <v>47.5</v>
      </c>
      <c r="BC156">
        <v>49.5</v>
      </c>
      <c r="BE156">
        <v>49.4</v>
      </c>
      <c r="BN156">
        <v>44.7</v>
      </c>
    </row>
    <row r="157" spans="1:68" x14ac:dyDescent="0.35">
      <c r="A157" t="s">
        <v>228</v>
      </c>
      <c r="B157" t="s">
        <v>97</v>
      </c>
      <c r="C157" t="s">
        <v>751</v>
      </c>
      <c r="D157" t="s">
        <v>752</v>
      </c>
      <c r="AU157">
        <v>48.7</v>
      </c>
      <c r="BB157">
        <v>45</v>
      </c>
      <c r="BI157">
        <v>39.799999999999997</v>
      </c>
      <c r="BL157">
        <v>38.5</v>
      </c>
    </row>
    <row r="158" spans="1:68" x14ac:dyDescent="0.35">
      <c r="A158" t="s">
        <v>583</v>
      </c>
      <c r="B158" t="s">
        <v>164</v>
      </c>
      <c r="C158" t="s">
        <v>751</v>
      </c>
      <c r="D158" t="s">
        <v>752</v>
      </c>
    </row>
    <row r="159" spans="1:68" x14ac:dyDescent="0.35">
      <c r="A159" t="s">
        <v>246</v>
      </c>
      <c r="B159" t="s">
        <v>310</v>
      </c>
      <c r="C159" t="s">
        <v>751</v>
      </c>
      <c r="D159" t="s">
        <v>752</v>
      </c>
      <c r="AC159">
        <v>53.9</v>
      </c>
      <c r="AH159">
        <v>55.4</v>
      </c>
      <c r="AK159">
        <v>57.6</v>
      </c>
      <c r="AM159">
        <v>58.4</v>
      </c>
      <c r="AO159">
        <v>56.9</v>
      </c>
      <c r="AQ159">
        <v>57.7</v>
      </c>
      <c r="AS159">
        <v>58.2</v>
      </c>
      <c r="AU159">
        <v>55.9</v>
      </c>
      <c r="AW159">
        <v>55.6</v>
      </c>
      <c r="AX159">
        <v>55.8</v>
      </c>
      <c r="AY159">
        <v>55.2</v>
      </c>
      <c r="BA159">
        <v>55.8</v>
      </c>
      <c r="BC159">
        <v>53.2</v>
      </c>
      <c r="BE159">
        <v>55.2</v>
      </c>
      <c r="BG159">
        <v>54.8</v>
      </c>
      <c r="BI159">
        <v>52.9</v>
      </c>
      <c r="BK159">
        <v>52.1</v>
      </c>
      <c r="BM159">
        <v>50.7</v>
      </c>
      <c r="BO159">
        <v>49.8</v>
      </c>
    </row>
    <row r="160" spans="1:68" x14ac:dyDescent="0.35">
      <c r="A160" t="s">
        <v>707</v>
      </c>
      <c r="B160" t="s">
        <v>641</v>
      </c>
      <c r="C160" t="s">
        <v>751</v>
      </c>
      <c r="D160" t="s">
        <v>752</v>
      </c>
      <c r="BL160">
        <v>43.2</v>
      </c>
    </row>
    <row r="161" spans="1:67" x14ac:dyDescent="0.35">
      <c r="A161" t="s">
        <v>458</v>
      </c>
      <c r="B161" t="s">
        <v>600</v>
      </c>
      <c r="C161" t="s">
        <v>751</v>
      </c>
      <c r="D161" t="s">
        <v>752</v>
      </c>
    </row>
    <row r="162" spans="1:67" x14ac:dyDescent="0.35">
      <c r="A162" t="s">
        <v>123</v>
      </c>
      <c r="B162" t="s">
        <v>654</v>
      </c>
      <c r="C162" t="s">
        <v>751</v>
      </c>
      <c r="D162" t="s">
        <v>752</v>
      </c>
      <c r="AQ162">
        <v>36.799999999999997</v>
      </c>
      <c r="AS162">
        <v>40.9</v>
      </c>
      <c r="AU162">
        <v>44.9</v>
      </c>
      <c r="AV162">
        <v>45.3</v>
      </c>
      <c r="AW162">
        <v>44.7</v>
      </c>
      <c r="AX162">
        <v>45.4</v>
      </c>
      <c r="AY162">
        <v>48.6</v>
      </c>
      <c r="BA162">
        <v>52.2</v>
      </c>
      <c r="BB162">
        <v>47.1</v>
      </c>
      <c r="BC162">
        <v>44</v>
      </c>
      <c r="BD162">
        <v>43.8</v>
      </c>
      <c r="BE162">
        <v>43.1</v>
      </c>
      <c r="BF162">
        <v>41.8</v>
      </c>
      <c r="BG162">
        <v>40.9</v>
      </c>
      <c r="BH162">
        <v>41.1</v>
      </c>
      <c r="BI162">
        <v>40</v>
      </c>
      <c r="BJ162">
        <v>39.700000000000003</v>
      </c>
      <c r="BK162">
        <v>38.799999999999997</v>
      </c>
      <c r="BL162">
        <v>39</v>
      </c>
    </row>
    <row r="163" spans="1:67" x14ac:dyDescent="0.35">
      <c r="A163" t="s">
        <v>357</v>
      </c>
      <c r="B163" t="s">
        <v>612</v>
      </c>
      <c r="C163" t="s">
        <v>751</v>
      </c>
      <c r="D163" t="s">
        <v>752</v>
      </c>
      <c r="AM163">
        <v>56.1</v>
      </c>
      <c r="AT163">
        <v>46.5</v>
      </c>
      <c r="AY163">
        <v>46.1</v>
      </c>
      <c r="BB163">
        <v>41.3</v>
      </c>
      <c r="BK163">
        <v>43.8</v>
      </c>
      <c r="BN163">
        <v>43.9</v>
      </c>
    </row>
    <row r="164" spans="1:67" x14ac:dyDescent="0.35">
      <c r="A164" t="s">
        <v>407</v>
      </c>
      <c r="B164" t="s">
        <v>119</v>
      </c>
      <c r="C164" t="s">
        <v>751</v>
      </c>
      <c r="D164" t="s">
        <v>752</v>
      </c>
      <c r="AY164">
        <v>36.700000000000003</v>
      </c>
      <c r="AZ164">
        <v>37.5</v>
      </c>
      <c r="BA164">
        <v>37.5</v>
      </c>
      <c r="BB164">
        <v>38.6</v>
      </c>
      <c r="BC164">
        <v>37.6</v>
      </c>
      <c r="BD164">
        <v>37.799999999999997</v>
      </c>
      <c r="BE164">
        <v>38</v>
      </c>
      <c r="BF164">
        <v>37.799999999999997</v>
      </c>
      <c r="BG164">
        <v>37.799999999999997</v>
      </c>
      <c r="BH164">
        <v>38.1</v>
      </c>
      <c r="BI164">
        <v>37.9</v>
      </c>
      <c r="BJ164">
        <v>38</v>
      </c>
      <c r="BK164">
        <v>37.4</v>
      </c>
      <c r="BL164">
        <v>39.4</v>
      </c>
      <c r="BM164">
        <v>39.700000000000003</v>
      </c>
      <c r="BN164">
        <v>40.200000000000003</v>
      </c>
      <c r="BO164">
        <v>42.2</v>
      </c>
    </row>
    <row r="165" spans="1:67" x14ac:dyDescent="0.35">
      <c r="A165" t="s">
        <v>433</v>
      </c>
      <c r="B165" t="s">
        <v>69</v>
      </c>
      <c r="C165" t="s">
        <v>751</v>
      </c>
      <c r="D165" t="s">
        <v>752</v>
      </c>
      <c r="BH165">
        <v>45.7</v>
      </c>
      <c r="BJ165">
        <v>39.9</v>
      </c>
    </row>
    <row r="166" spans="1:67" x14ac:dyDescent="0.35">
      <c r="A166" t="s">
        <v>660</v>
      </c>
      <c r="B166" t="s">
        <v>553</v>
      </c>
      <c r="C166" t="s">
        <v>751</v>
      </c>
      <c r="D166" t="s">
        <v>752</v>
      </c>
    </row>
    <row r="167" spans="1:67" x14ac:dyDescent="0.35">
      <c r="A167" t="s">
        <v>412</v>
      </c>
      <c r="B167" t="s">
        <v>201</v>
      </c>
      <c r="C167" t="s">
        <v>751</v>
      </c>
      <c r="D167" t="s">
        <v>752</v>
      </c>
      <c r="AX167">
        <v>39</v>
      </c>
      <c r="AY167">
        <v>38.5</v>
      </c>
      <c r="AZ167">
        <v>39.299999999999997</v>
      </c>
      <c r="BA167">
        <v>39.200000000000003</v>
      </c>
      <c r="BB167">
        <v>39.6</v>
      </c>
      <c r="BC167">
        <v>37.200000000000003</v>
      </c>
      <c r="BD167">
        <v>39.299999999999997</v>
      </c>
      <c r="BE167">
        <v>45.3</v>
      </c>
      <c r="BF167">
        <v>44</v>
      </c>
      <c r="BG167">
        <v>43.8</v>
      </c>
      <c r="BH167">
        <v>44.3</v>
      </c>
      <c r="BI167">
        <v>43.9</v>
      </c>
      <c r="BJ167">
        <v>42.2</v>
      </c>
      <c r="BK167">
        <v>42.2</v>
      </c>
      <c r="BL167">
        <v>41.6</v>
      </c>
      <c r="BM167">
        <v>41.4</v>
      </c>
      <c r="BN167">
        <v>40.4</v>
      </c>
    </row>
    <row r="168" spans="1:67" x14ac:dyDescent="0.35">
      <c r="A168" t="s">
        <v>405</v>
      </c>
      <c r="B168" t="s">
        <v>481</v>
      </c>
      <c r="C168" t="s">
        <v>751</v>
      </c>
      <c r="D168" t="s">
        <v>752</v>
      </c>
      <c r="AN168">
        <v>40.799999999999997</v>
      </c>
      <c r="AQ168">
        <v>38.200000000000003</v>
      </c>
      <c r="AU168">
        <v>40.5</v>
      </c>
      <c r="AZ168">
        <v>43.4</v>
      </c>
      <c r="BC168">
        <v>41.1</v>
      </c>
      <c r="BD168">
        <v>42</v>
      </c>
      <c r="BE168">
        <v>41.7</v>
      </c>
      <c r="BG168">
        <v>40.299999999999997</v>
      </c>
      <c r="BI168">
        <v>40.6</v>
      </c>
      <c r="BK168">
        <v>40.9</v>
      </c>
      <c r="BO168">
        <v>39.799999999999997</v>
      </c>
    </row>
    <row r="169" spans="1:67" x14ac:dyDescent="0.35">
      <c r="A169" t="s">
        <v>184</v>
      </c>
      <c r="B169" t="s">
        <v>613</v>
      </c>
      <c r="C169" t="s">
        <v>751</v>
      </c>
      <c r="D169" t="s">
        <v>752</v>
      </c>
    </row>
    <row r="170" spans="1:67" x14ac:dyDescent="0.35">
      <c r="A170" t="s">
        <v>606</v>
      </c>
      <c r="B170" t="s">
        <v>141</v>
      </c>
      <c r="C170" t="s">
        <v>751</v>
      </c>
      <c r="D170" t="s">
        <v>752</v>
      </c>
      <c r="AO170">
        <v>59</v>
      </c>
      <c r="AU170">
        <v>53.5</v>
      </c>
      <c r="BA170">
        <v>51.4</v>
      </c>
      <c r="BG170">
        <v>59.5</v>
      </c>
      <c r="BL170">
        <v>56.5</v>
      </c>
      <c r="BO170">
        <v>55.5</v>
      </c>
    </row>
    <row r="171" spans="1:67" x14ac:dyDescent="0.35">
      <c r="A171" t="s">
        <v>59</v>
      </c>
      <c r="B171" t="s">
        <v>419</v>
      </c>
      <c r="C171" t="s">
        <v>751</v>
      </c>
      <c r="D171" t="s">
        <v>752</v>
      </c>
      <c r="AF171">
        <v>48.6</v>
      </c>
      <c r="AL171">
        <v>55.6</v>
      </c>
      <c r="AN171">
        <v>44.5</v>
      </c>
      <c r="AS171">
        <v>45.7</v>
      </c>
      <c r="AW171">
        <v>47.4</v>
      </c>
      <c r="BA171">
        <v>42.4</v>
      </c>
      <c r="BG171">
        <v>40.200000000000003</v>
      </c>
      <c r="BL171">
        <v>40</v>
      </c>
    </row>
    <row r="172" spans="1:67" x14ac:dyDescent="0.35">
      <c r="A172" t="s">
        <v>52</v>
      </c>
      <c r="B172" t="s">
        <v>429</v>
      </c>
      <c r="C172" t="s">
        <v>751</v>
      </c>
      <c r="D172" t="s">
        <v>752</v>
      </c>
      <c r="AY172">
        <v>43.8</v>
      </c>
      <c r="BE172">
        <v>46.2</v>
      </c>
      <c r="BJ172">
        <v>44.6</v>
      </c>
    </row>
    <row r="173" spans="1:67" x14ac:dyDescent="0.35">
      <c r="A173" t="s">
        <v>543</v>
      </c>
      <c r="B173" t="s">
        <v>247</v>
      </c>
      <c r="C173" t="s">
        <v>751</v>
      </c>
      <c r="D173" t="s">
        <v>752</v>
      </c>
      <c r="AP173">
        <v>70.3</v>
      </c>
      <c r="AW173">
        <v>47.5</v>
      </c>
      <c r="BC173">
        <v>51.8</v>
      </c>
      <c r="BI173">
        <v>51.7</v>
      </c>
      <c r="BL173">
        <v>46.2</v>
      </c>
    </row>
    <row r="174" spans="1:67" x14ac:dyDescent="0.35">
      <c r="A174" t="s">
        <v>452</v>
      </c>
      <c r="B174" t="s">
        <v>588</v>
      </c>
      <c r="C174" t="s">
        <v>751</v>
      </c>
      <c r="D174" t="s">
        <v>752</v>
      </c>
      <c r="AC174">
        <v>53.8</v>
      </c>
      <c r="AF174">
        <v>52.7</v>
      </c>
      <c r="AH174">
        <v>52</v>
      </c>
      <c r="AK174">
        <v>53.1</v>
      </c>
      <c r="AN174">
        <v>53.8</v>
      </c>
      <c r="AP174">
        <v>54.3</v>
      </c>
      <c r="AV174">
        <v>51.7</v>
      </c>
      <c r="AY174">
        <v>50.3</v>
      </c>
      <c r="BA174">
        <v>50.8</v>
      </c>
      <c r="BD174">
        <v>49.6</v>
      </c>
      <c r="BF174">
        <v>47.7</v>
      </c>
      <c r="BH174">
        <v>47.3</v>
      </c>
      <c r="BK174">
        <v>47.3</v>
      </c>
      <c r="BN174">
        <v>46.9</v>
      </c>
    </row>
    <row r="175" spans="1:67" x14ac:dyDescent="0.35">
      <c r="A175" t="s">
        <v>227</v>
      </c>
      <c r="B175" t="s">
        <v>664</v>
      </c>
      <c r="C175" t="s">
        <v>751</v>
      </c>
      <c r="D175" t="s">
        <v>752</v>
      </c>
    </row>
    <row r="176" spans="1:67" x14ac:dyDescent="0.35">
      <c r="A176" t="s">
        <v>157</v>
      </c>
      <c r="B176" t="s">
        <v>270</v>
      </c>
      <c r="C176" t="s">
        <v>751</v>
      </c>
      <c r="D176" t="s">
        <v>752</v>
      </c>
      <c r="AL176">
        <v>75.5</v>
      </c>
      <c r="AV176">
        <v>69</v>
      </c>
      <c r="BB176">
        <v>66.400000000000006</v>
      </c>
      <c r="BH176">
        <v>63.7</v>
      </c>
    </row>
    <row r="177" spans="1:69" x14ac:dyDescent="0.35">
      <c r="A177" t="s">
        <v>723</v>
      </c>
      <c r="B177" t="s">
        <v>198</v>
      </c>
      <c r="C177" t="s">
        <v>751</v>
      </c>
      <c r="D177" t="s">
        <v>752</v>
      </c>
    </row>
    <row r="178" spans="1:69" x14ac:dyDescent="0.35">
      <c r="A178" t="s">
        <v>181</v>
      </c>
      <c r="B178" t="s">
        <v>142</v>
      </c>
      <c r="C178" t="s">
        <v>751</v>
      </c>
      <c r="D178" t="s">
        <v>752</v>
      </c>
      <c r="AK178">
        <v>44</v>
      </c>
      <c r="AM178">
        <v>48.3</v>
      </c>
      <c r="AX178">
        <v>50.9</v>
      </c>
      <c r="AZ178">
        <v>45.7</v>
      </c>
      <c r="BD178">
        <v>40.700000000000003</v>
      </c>
      <c r="BG178">
        <v>42.4</v>
      </c>
      <c r="BK178">
        <v>45.6</v>
      </c>
      <c r="BN178">
        <v>42.2</v>
      </c>
    </row>
    <row r="179" spans="1:69" x14ac:dyDescent="0.35">
      <c r="A179" t="s">
        <v>304</v>
      </c>
      <c r="B179" t="s">
        <v>685</v>
      </c>
      <c r="C179" t="s">
        <v>751</v>
      </c>
      <c r="D179" t="s">
        <v>752</v>
      </c>
      <c r="AD179">
        <v>45</v>
      </c>
      <c r="AK179">
        <v>49.3</v>
      </c>
      <c r="AO179">
        <v>56.5</v>
      </c>
      <c r="AV179">
        <v>46</v>
      </c>
      <c r="BC179">
        <v>42.9</v>
      </c>
      <c r="BE179">
        <v>42.8</v>
      </c>
      <c r="BH179">
        <v>43.1</v>
      </c>
      <c r="BK179">
        <v>42.4</v>
      </c>
      <c r="BO179">
        <v>41.6</v>
      </c>
    </row>
    <row r="180" spans="1:69" x14ac:dyDescent="0.35">
      <c r="A180" t="s">
        <v>604</v>
      </c>
      <c r="B180" t="s">
        <v>220</v>
      </c>
      <c r="C180" t="s">
        <v>751</v>
      </c>
      <c r="D180" t="s">
        <v>752</v>
      </c>
      <c r="AL180">
        <v>60.4</v>
      </c>
      <c r="AQ180">
        <v>58.6</v>
      </c>
      <c r="AT180">
        <v>57.9</v>
      </c>
      <c r="AX180">
        <v>54.6</v>
      </c>
      <c r="BB180">
        <v>49.9</v>
      </c>
      <c r="BG180">
        <v>52.1</v>
      </c>
    </row>
    <row r="181" spans="1:69" x14ac:dyDescent="0.35">
      <c r="A181" t="s">
        <v>14</v>
      </c>
      <c r="B181" t="s">
        <v>517</v>
      </c>
      <c r="C181" t="s">
        <v>751</v>
      </c>
      <c r="D181" t="s">
        <v>752</v>
      </c>
      <c r="AB181">
        <v>37.1</v>
      </c>
      <c r="AF181">
        <v>36.299999999999997</v>
      </c>
      <c r="AI181">
        <v>39.299999999999997</v>
      </c>
      <c r="AL181">
        <v>38.299999999999997</v>
      </c>
      <c r="AR181">
        <v>36.799999999999997</v>
      </c>
      <c r="AW181">
        <v>38.299999999999997</v>
      </c>
      <c r="AX181">
        <v>38</v>
      </c>
      <c r="AY181">
        <v>39</v>
      </c>
      <c r="AZ181">
        <v>38.6</v>
      </c>
      <c r="BA181">
        <v>38.1</v>
      </c>
      <c r="BB181">
        <v>37</v>
      </c>
      <c r="BC181">
        <v>36.9</v>
      </c>
      <c r="BD181">
        <v>37</v>
      </c>
      <c r="BE181">
        <v>36.9</v>
      </c>
      <c r="BF181">
        <v>37.200000000000003</v>
      </c>
      <c r="BG181">
        <v>37.700000000000003</v>
      </c>
      <c r="BH181">
        <v>37.4</v>
      </c>
      <c r="BI181">
        <v>37.200000000000003</v>
      </c>
      <c r="BJ181">
        <v>37.6</v>
      </c>
      <c r="BK181">
        <v>37.200000000000003</v>
      </c>
      <c r="BL181">
        <v>38</v>
      </c>
      <c r="BM181">
        <v>35.4</v>
      </c>
      <c r="BN181">
        <v>35.200000000000003</v>
      </c>
    </row>
    <row r="182" spans="1:69" x14ac:dyDescent="0.35">
      <c r="A182" t="s">
        <v>680</v>
      </c>
      <c r="B182" t="s">
        <v>597</v>
      </c>
      <c r="C182" t="s">
        <v>751</v>
      </c>
      <c r="D182" t="s">
        <v>752</v>
      </c>
      <c r="X182">
        <v>36.4</v>
      </c>
      <c r="AE182">
        <v>34.5</v>
      </c>
      <c r="AJ182">
        <v>35</v>
      </c>
      <c r="AN182">
        <v>35.5</v>
      </c>
      <c r="AS182">
        <v>36.799999999999997</v>
      </c>
      <c r="AV182">
        <v>37.200000000000003</v>
      </c>
      <c r="AW182">
        <v>40.5</v>
      </c>
      <c r="AX182">
        <v>39.700000000000003</v>
      </c>
      <c r="AY182">
        <v>35.5</v>
      </c>
      <c r="AZ182">
        <v>36.5</v>
      </c>
      <c r="BA182">
        <v>36.200000000000003</v>
      </c>
      <c r="BB182">
        <v>35.6</v>
      </c>
      <c r="BC182">
        <v>35.200000000000003</v>
      </c>
      <c r="BD182">
        <v>34.799999999999997</v>
      </c>
      <c r="BE182">
        <v>35.200000000000003</v>
      </c>
      <c r="BF182">
        <v>35.700000000000003</v>
      </c>
      <c r="BG182">
        <v>35.9</v>
      </c>
      <c r="BH182">
        <v>36.5</v>
      </c>
      <c r="BI182">
        <v>37.200000000000003</v>
      </c>
      <c r="BJ182">
        <v>36</v>
      </c>
      <c r="BK182">
        <v>36.6</v>
      </c>
      <c r="BL182">
        <v>36.700000000000003</v>
      </c>
      <c r="BM182">
        <v>37.200000000000003</v>
      </c>
      <c r="BN182">
        <v>38.1</v>
      </c>
      <c r="BO182">
        <v>36.200000000000003</v>
      </c>
      <c r="BP182">
        <v>35.799999999999997</v>
      </c>
    </row>
    <row r="183" spans="1:69" x14ac:dyDescent="0.35">
      <c r="A183" t="s">
        <v>216</v>
      </c>
      <c r="B183" t="s">
        <v>721</v>
      </c>
      <c r="C183" t="s">
        <v>751</v>
      </c>
      <c r="D183" t="s">
        <v>752</v>
      </c>
      <c r="AC183">
        <v>39.5</v>
      </c>
      <c r="AN183">
        <v>43.7</v>
      </c>
      <c r="AV183">
        <v>51.2</v>
      </c>
      <c r="BC183">
        <v>41.5</v>
      </c>
      <c r="BO183">
        <v>39</v>
      </c>
    </row>
    <row r="184" spans="1:69" x14ac:dyDescent="0.35">
      <c r="A184" t="s">
        <v>105</v>
      </c>
      <c r="B184" t="s">
        <v>272</v>
      </c>
      <c r="C184" t="s">
        <v>751</v>
      </c>
      <c r="D184" t="s">
        <v>752</v>
      </c>
      <c r="BE184">
        <v>40.700000000000003</v>
      </c>
    </row>
    <row r="185" spans="1:69" x14ac:dyDescent="0.35">
      <c r="A185" t="s">
        <v>561</v>
      </c>
      <c r="B185" t="s">
        <v>295</v>
      </c>
      <c r="C185" t="s">
        <v>751</v>
      </c>
      <c r="D185" t="s">
        <v>752</v>
      </c>
    </row>
    <row r="186" spans="1:69" x14ac:dyDescent="0.35">
      <c r="A186" t="s">
        <v>344</v>
      </c>
      <c r="B186" t="s">
        <v>653</v>
      </c>
      <c r="C186" t="s">
        <v>751</v>
      </c>
      <c r="D186" t="s">
        <v>752</v>
      </c>
    </row>
    <row r="187" spans="1:69" x14ac:dyDescent="0.35">
      <c r="A187" t="s">
        <v>697</v>
      </c>
      <c r="B187" t="s">
        <v>567</v>
      </c>
      <c r="C187" t="s">
        <v>751</v>
      </c>
      <c r="D187" t="s">
        <v>752</v>
      </c>
    </row>
    <row r="188" spans="1:69" x14ac:dyDescent="0.35">
      <c r="A188" t="s">
        <v>695</v>
      </c>
      <c r="B188" t="s">
        <v>421</v>
      </c>
      <c r="C188" t="s">
        <v>751</v>
      </c>
      <c r="D188" t="s">
        <v>752</v>
      </c>
    </row>
    <row r="189" spans="1:69" x14ac:dyDescent="0.35">
      <c r="A189" t="s">
        <v>740</v>
      </c>
      <c r="B189" t="s">
        <v>135</v>
      </c>
      <c r="C189" t="s">
        <v>751</v>
      </c>
      <c r="D189" t="s">
        <v>752</v>
      </c>
      <c r="AF189">
        <v>42.2</v>
      </c>
      <c r="AI189">
        <v>41.8</v>
      </c>
      <c r="AO189">
        <v>39</v>
      </c>
      <c r="AQ189">
        <v>42.4</v>
      </c>
      <c r="AT189">
        <v>38.799999999999997</v>
      </c>
      <c r="AW189">
        <v>40.6</v>
      </c>
      <c r="AX189">
        <v>41.1</v>
      </c>
      <c r="AZ189">
        <v>39.799999999999997</v>
      </c>
      <c r="BC189">
        <v>38.9</v>
      </c>
      <c r="BD189">
        <v>39.799999999999997</v>
      </c>
      <c r="BF189">
        <v>39.4</v>
      </c>
      <c r="BH189">
        <v>41</v>
      </c>
      <c r="BK189">
        <v>39.6</v>
      </c>
    </row>
    <row r="190" spans="1:69" x14ac:dyDescent="0.35">
      <c r="A190" t="s">
        <v>541</v>
      </c>
      <c r="B190" t="s">
        <v>465</v>
      </c>
      <c r="C190" t="s">
        <v>751</v>
      </c>
      <c r="D190" t="s">
        <v>752</v>
      </c>
      <c r="X190">
        <v>53.4</v>
      </c>
      <c r="AH190">
        <v>60.8</v>
      </c>
      <c r="AJ190">
        <v>60.5</v>
      </c>
      <c r="AN190">
        <v>60.4</v>
      </c>
      <c r="AP190">
        <v>61.2</v>
      </c>
      <c r="AQ190">
        <v>60.5</v>
      </c>
      <c r="AR190">
        <v>59.8</v>
      </c>
      <c r="AS190">
        <v>60.1</v>
      </c>
      <c r="AT190">
        <v>59.9</v>
      </c>
      <c r="AU190">
        <v>59.8</v>
      </c>
      <c r="AV190">
        <v>59.5</v>
      </c>
      <c r="AW190">
        <v>58.7</v>
      </c>
      <c r="AX190">
        <v>57.7</v>
      </c>
      <c r="AY190">
        <v>58.4</v>
      </c>
      <c r="AZ190">
        <v>56.6</v>
      </c>
      <c r="BA190">
        <v>57</v>
      </c>
      <c r="BB190">
        <v>56.4</v>
      </c>
      <c r="BC190">
        <v>56</v>
      </c>
      <c r="BD190">
        <v>55.8</v>
      </c>
      <c r="BE190">
        <v>56.1</v>
      </c>
      <c r="BF190">
        <v>56</v>
      </c>
      <c r="BG190">
        <v>54.8</v>
      </c>
      <c r="BH190">
        <v>55.3</v>
      </c>
      <c r="BI190">
        <v>54.8</v>
      </c>
      <c r="BJ190">
        <v>54.2</v>
      </c>
      <c r="BK190">
        <v>53.6</v>
      </c>
      <c r="BL190">
        <v>54.4</v>
      </c>
      <c r="BN190">
        <v>55.6</v>
      </c>
      <c r="BP190">
        <v>53.5</v>
      </c>
      <c r="BQ190">
        <v>54.3</v>
      </c>
    </row>
    <row r="191" spans="1:69" x14ac:dyDescent="0.35">
      <c r="A191" t="s">
        <v>495</v>
      </c>
      <c r="B191" t="s">
        <v>296</v>
      </c>
      <c r="C191" t="s">
        <v>751</v>
      </c>
      <c r="D191" t="s">
        <v>752</v>
      </c>
      <c r="AD191">
        <v>51.2</v>
      </c>
      <c r="AM191">
        <v>49.3</v>
      </c>
      <c r="AP191">
        <v>57.1</v>
      </c>
      <c r="AQ191">
        <v>59.3</v>
      </c>
      <c r="AR191">
        <v>58.9</v>
      </c>
      <c r="AS191">
        <v>53.2</v>
      </c>
      <c r="AT191">
        <v>55.5</v>
      </c>
      <c r="AU191">
        <v>57.7</v>
      </c>
      <c r="AV191">
        <v>57.7</v>
      </c>
      <c r="AW191">
        <v>54.3</v>
      </c>
      <c r="AX191">
        <v>54.7</v>
      </c>
      <c r="AY191">
        <v>54.5</v>
      </c>
      <c r="AZ191">
        <v>54.1</v>
      </c>
      <c r="BA191">
        <v>51.8</v>
      </c>
      <c r="BB191">
        <v>51.6</v>
      </c>
      <c r="BC191">
        <v>50.3</v>
      </c>
      <c r="BD191">
        <v>49.5</v>
      </c>
      <c r="BE191">
        <v>49.3</v>
      </c>
      <c r="BF191">
        <v>48.9</v>
      </c>
      <c r="BG191">
        <v>48.3</v>
      </c>
      <c r="BH191">
        <v>48.7</v>
      </c>
      <c r="BI191">
        <v>48.8</v>
      </c>
      <c r="BJ191">
        <v>48.4</v>
      </c>
      <c r="BK191">
        <v>47.9</v>
      </c>
      <c r="BL191">
        <v>47.2</v>
      </c>
      <c r="BM191">
        <v>49.1</v>
      </c>
      <c r="BN191">
        <v>46.3</v>
      </c>
      <c r="BO191">
        <v>46.5</v>
      </c>
      <c r="BP191">
        <v>46.6</v>
      </c>
      <c r="BQ191">
        <v>46.2</v>
      </c>
    </row>
    <row r="192" spans="1:69" x14ac:dyDescent="0.35">
      <c r="A192" t="s">
        <v>285</v>
      </c>
      <c r="B192" t="s">
        <v>580</v>
      </c>
      <c r="C192" t="s">
        <v>751</v>
      </c>
      <c r="D192" t="s">
        <v>752</v>
      </c>
      <c r="AD192">
        <v>48.1</v>
      </c>
      <c r="AG192">
        <v>47.8</v>
      </c>
      <c r="AJ192">
        <v>50.5</v>
      </c>
      <c r="AM192">
        <v>49.5</v>
      </c>
      <c r="AP192">
        <v>52.1</v>
      </c>
      <c r="AS192">
        <v>53.7</v>
      </c>
      <c r="AV192">
        <v>52.6</v>
      </c>
      <c r="AY192">
        <v>53.1</v>
      </c>
      <c r="BB192">
        <v>52.5</v>
      </c>
      <c r="BE192">
        <v>52.7</v>
      </c>
      <c r="BH192">
        <v>51</v>
      </c>
      <c r="BK192">
        <v>49.2</v>
      </c>
      <c r="BN192">
        <v>48</v>
      </c>
      <c r="BP192">
        <v>46.9</v>
      </c>
    </row>
    <row r="193" spans="1:69" x14ac:dyDescent="0.35">
      <c r="A193" t="s">
        <v>679</v>
      </c>
      <c r="B193" t="s">
        <v>384</v>
      </c>
      <c r="C193" t="s">
        <v>751</v>
      </c>
      <c r="D193" t="s">
        <v>752</v>
      </c>
    </row>
    <row r="194" spans="1:69" x14ac:dyDescent="0.35">
      <c r="A194" t="s">
        <v>454</v>
      </c>
      <c r="B194" t="s">
        <v>262</v>
      </c>
      <c r="C194" t="s">
        <v>751</v>
      </c>
      <c r="D194" t="s">
        <v>752</v>
      </c>
      <c r="AO194">
        <v>51.4</v>
      </c>
      <c r="BB194">
        <v>47.3</v>
      </c>
    </row>
    <row r="195" spans="1:69" x14ac:dyDescent="0.35">
      <c r="A195" t="s">
        <v>75</v>
      </c>
      <c r="B195" t="s">
        <v>43</v>
      </c>
      <c r="C195" t="s">
        <v>751</v>
      </c>
      <c r="D195" t="s">
        <v>752</v>
      </c>
      <c r="AD195">
        <v>35</v>
      </c>
      <c r="AE195">
        <v>36.299999999999997</v>
      </c>
      <c r="AF195">
        <v>35.4</v>
      </c>
      <c r="AH195">
        <v>36.200000000000003</v>
      </c>
      <c r="AK195">
        <v>37.700000000000003</v>
      </c>
      <c r="AL195">
        <v>35.9</v>
      </c>
      <c r="AN195">
        <v>41.3</v>
      </c>
      <c r="AO195">
        <v>41.1</v>
      </c>
      <c r="AQ195">
        <v>40.700000000000003</v>
      </c>
      <c r="AR195">
        <v>39.6</v>
      </c>
      <c r="AS195">
        <v>41</v>
      </c>
      <c r="AT195">
        <v>40.9</v>
      </c>
      <c r="AU195">
        <v>41.9</v>
      </c>
      <c r="AV195">
        <v>42.4</v>
      </c>
      <c r="AW195">
        <v>43.9</v>
      </c>
      <c r="AX195">
        <v>42.4</v>
      </c>
      <c r="AY195">
        <v>41.7</v>
      </c>
      <c r="AZ195">
        <v>41.4</v>
      </c>
      <c r="BA195">
        <v>40.9</v>
      </c>
      <c r="BB195">
        <v>40.9</v>
      </c>
      <c r="BC195">
        <v>40.700000000000003</v>
      </c>
      <c r="BD195">
        <v>40.6</v>
      </c>
      <c r="BE195">
        <v>40.4</v>
      </c>
      <c r="BF195">
        <v>40.5</v>
      </c>
      <c r="BG195">
        <v>40.299999999999997</v>
      </c>
      <c r="BH195">
        <v>39.299999999999997</v>
      </c>
      <c r="BI195">
        <v>39.4</v>
      </c>
      <c r="BJ195">
        <v>38.200000000000003</v>
      </c>
      <c r="BK195">
        <v>38.6</v>
      </c>
      <c r="BL195">
        <v>37.6</v>
      </c>
      <c r="BM195">
        <v>37.299999999999997</v>
      </c>
      <c r="BN195">
        <v>37.299999999999997</v>
      </c>
      <c r="BO195">
        <v>37.6</v>
      </c>
      <c r="BP195">
        <v>37.299999999999997</v>
      </c>
    </row>
    <row r="196" spans="1:69" x14ac:dyDescent="0.35">
      <c r="A196" t="s">
        <v>237</v>
      </c>
      <c r="B196" t="s">
        <v>294</v>
      </c>
      <c r="C196" t="s">
        <v>751</v>
      </c>
      <c r="D196" t="s">
        <v>752</v>
      </c>
    </row>
    <row r="197" spans="1:69" x14ac:dyDescent="0.35">
      <c r="A197" t="s">
        <v>269</v>
      </c>
      <c r="B197" t="s">
        <v>686</v>
      </c>
      <c r="C197" t="s">
        <v>751</v>
      </c>
      <c r="D197" t="s">
        <v>752</v>
      </c>
    </row>
    <row r="198" spans="1:69" x14ac:dyDescent="0.35">
      <c r="A198" t="s">
        <v>525</v>
      </c>
      <c r="B198" t="s">
        <v>60</v>
      </c>
      <c r="C198" t="s">
        <v>751</v>
      </c>
      <c r="D198" t="s">
        <v>752</v>
      </c>
    </row>
    <row r="199" spans="1:69" x14ac:dyDescent="0.35">
      <c r="A199" t="s">
        <v>434</v>
      </c>
      <c r="B199" t="s">
        <v>192</v>
      </c>
      <c r="C199" t="s">
        <v>751</v>
      </c>
      <c r="D199" t="s">
        <v>752</v>
      </c>
      <c r="AV199">
        <v>45.9</v>
      </c>
      <c r="AW199">
        <v>46.3</v>
      </c>
      <c r="AX199">
        <v>46.1</v>
      </c>
      <c r="AY199">
        <v>45.4</v>
      </c>
      <c r="AZ199">
        <v>44.2</v>
      </c>
      <c r="BA199">
        <v>44.1</v>
      </c>
      <c r="BB199">
        <v>42.5</v>
      </c>
      <c r="BC199">
        <v>43.4</v>
      </c>
      <c r="BD199">
        <v>43.8</v>
      </c>
      <c r="BE199">
        <v>43.2</v>
      </c>
      <c r="BF199">
        <v>43.1</v>
      </c>
      <c r="BG199">
        <v>42.6</v>
      </c>
      <c r="BH199">
        <v>42.7</v>
      </c>
      <c r="BI199">
        <v>42.6</v>
      </c>
      <c r="BJ199">
        <v>41.6</v>
      </c>
      <c r="BK199">
        <v>41.4</v>
      </c>
      <c r="BL199">
        <v>40.9</v>
      </c>
      <c r="BM199">
        <v>42.1</v>
      </c>
      <c r="BN199">
        <v>42.6</v>
      </c>
      <c r="BO199">
        <v>43.9</v>
      </c>
      <c r="BP199">
        <v>41.8</v>
      </c>
    </row>
    <row r="200" spans="1:69" x14ac:dyDescent="0.35">
      <c r="A200" t="s">
        <v>494</v>
      </c>
      <c r="B200" t="s">
        <v>72</v>
      </c>
      <c r="C200" t="s">
        <v>751</v>
      </c>
      <c r="D200" t="s">
        <v>752</v>
      </c>
      <c r="AI200">
        <v>47.1</v>
      </c>
      <c r="AN200">
        <v>61.8</v>
      </c>
      <c r="AP200">
        <v>58.4</v>
      </c>
      <c r="AR200">
        <v>58.6</v>
      </c>
      <c r="AT200">
        <v>58.8</v>
      </c>
      <c r="AU200">
        <v>61</v>
      </c>
      <c r="AV200">
        <v>59.4</v>
      </c>
      <c r="AW200">
        <v>57.3</v>
      </c>
      <c r="AX200">
        <v>56.3</v>
      </c>
      <c r="AY200">
        <v>57.5</v>
      </c>
      <c r="AZ200">
        <v>57.6</v>
      </c>
      <c r="BA200">
        <v>55.7</v>
      </c>
      <c r="BB200">
        <v>53.9</v>
      </c>
      <c r="BC200">
        <v>55.6</v>
      </c>
      <c r="BD200">
        <v>56.7</v>
      </c>
      <c r="BE200">
        <v>52.5</v>
      </c>
      <c r="BF200">
        <v>53.1</v>
      </c>
      <c r="BG200">
        <v>55.6</v>
      </c>
      <c r="BH200">
        <v>52.7</v>
      </c>
      <c r="BI200">
        <v>53.1</v>
      </c>
      <c r="BJ200">
        <v>53.9</v>
      </c>
      <c r="BK200">
        <v>51.5</v>
      </c>
      <c r="BL200">
        <v>51.1</v>
      </c>
      <c r="BM200">
        <v>49.3</v>
      </c>
      <c r="BN200">
        <v>48.9</v>
      </c>
      <c r="BO200">
        <v>50.1</v>
      </c>
      <c r="BP200">
        <v>49.8</v>
      </c>
      <c r="BQ200">
        <v>50.2</v>
      </c>
    </row>
    <row r="201" spans="1:69" x14ac:dyDescent="0.35">
      <c r="A201" t="s">
        <v>87</v>
      </c>
      <c r="B201" t="s">
        <v>199</v>
      </c>
      <c r="C201" t="s">
        <v>751</v>
      </c>
      <c r="D201" t="s">
        <v>752</v>
      </c>
      <c r="AW201">
        <v>41.7</v>
      </c>
      <c r="AX201">
        <v>42.3</v>
      </c>
      <c r="AY201">
        <v>42.1</v>
      </c>
      <c r="AZ201">
        <v>42.9</v>
      </c>
      <c r="BB201">
        <v>42.6</v>
      </c>
      <c r="BC201">
        <v>43.2</v>
      </c>
      <c r="BD201">
        <v>42.5</v>
      </c>
      <c r="BI201">
        <v>41.1</v>
      </c>
      <c r="BP201">
        <v>43</v>
      </c>
    </row>
    <row r="202" spans="1:69" x14ac:dyDescent="0.35">
      <c r="A202" t="s">
        <v>131</v>
      </c>
      <c r="B202" t="s">
        <v>210</v>
      </c>
      <c r="C202" t="s">
        <v>751</v>
      </c>
      <c r="D202" t="s">
        <v>752</v>
      </c>
    </row>
    <row r="203" spans="1:69" x14ac:dyDescent="0.35">
      <c r="A203" t="s">
        <v>592</v>
      </c>
      <c r="B203" t="s">
        <v>280</v>
      </c>
      <c r="C203" t="s">
        <v>751</v>
      </c>
      <c r="D203" t="s">
        <v>752</v>
      </c>
    </row>
    <row r="204" spans="1:69" x14ac:dyDescent="0.35">
      <c r="A204" t="s">
        <v>364</v>
      </c>
      <c r="B204" t="s">
        <v>577</v>
      </c>
      <c r="C204" t="s">
        <v>751</v>
      </c>
      <c r="D204" t="s">
        <v>752</v>
      </c>
    </row>
    <row r="205" spans="1:69" x14ac:dyDescent="0.35">
      <c r="A205" t="s">
        <v>614</v>
      </c>
      <c r="B205" t="s">
        <v>25</v>
      </c>
      <c r="C205" t="s">
        <v>751</v>
      </c>
      <c r="D205" t="s">
        <v>752</v>
      </c>
      <c r="BJ205">
        <v>41.9</v>
      </c>
    </row>
    <row r="206" spans="1:69" x14ac:dyDescent="0.35">
      <c r="A206" t="s">
        <v>554</v>
      </c>
      <c r="B206" t="s">
        <v>333</v>
      </c>
      <c r="C206" t="s">
        <v>751</v>
      </c>
      <c r="D206" t="s">
        <v>752</v>
      </c>
      <c r="AH206">
        <v>33.299999999999997</v>
      </c>
      <c r="AK206">
        <v>34.799999999999997</v>
      </c>
      <c r="AM206">
        <v>37.299999999999997</v>
      </c>
      <c r="AN206">
        <v>38.799999999999997</v>
      </c>
      <c r="AP206">
        <v>38.6</v>
      </c>
      <c r="AQ206">
        <v>39.1</v>
      </c>
      <c r="AR206">
        <v>38</v>
      </c>
      <c r="AS206">
        <v>37.9</v>
      </c>
      <c r="AT206">
        <v>38</v>
      </c>
      <c r="AU206">
        <v>38.5</v>
      </c>
      <c r="AV206">
        <v>38.4</v>
      </c>
      <c r="AW206">
        <v>38.4</v>
      </c>
      <c r="AX206">
        <v>38.4</v>
      </c>
      <c r="AY206">
        <v>45</v>
      </c>
      <c r="AZ206">
        <v>43.3</v>
      </c>
      <c r="BA206">
        <v>42.3</v>
      </c>
      <c r="BB206">
        <v>41.5</v>
      </c>
      <c r="BC206">
        <v>41.1</v>
      </c>
      <c r="BD206">
        <v>41.2</v>
      </c>
      <c r="BE206">
        <v>41.8</v>
      </c>
      <c r="BF206">
        <v>41.6</v>
      </c>
      <c r="BG206">
        <v>40.700000000000003</v>
      </c>
      <c r="BH206">
        <v>40.700000000000003</v>
      </c>
      <c r="BI206">
        <v>39.6</v>
      </c>
      <c r="BJ206">
        <v>41</v>
      </c>
      <c r="BK206">
        <v>41.2</v>
      </c>
      <c r="BL206">
        <v>40.4</v>
      </c>
      <c r="BM206">
        <v>40</v>
      </c>
      <c r="BN206">
        <v>39.9</v>
      </c>
      <c r="BO206">
        <v>38.299999999999997</v>
      </c>
      <c r="BP206">
        <v>36.9</v>
      </c>
    </row>
    <row r="207" spans="1:69" x14ac:dyDescent="0.35">
      <c r="A207" t="s">
        <v>2</v>
      </c>
      <c r="B207" t="s">
        <v>355</v>
      </c>
      <c r="C207" t="s">
        <v>751</v>
      </c>
      <c r="D207" t="s">
        <v>752</v>
      </c>
      <c r="AL207">
        <v>50.6</v>
      </c>
      <c r="AO207">
        <v>51.1</v>
      </c>
      <c r="AP207">
        <v>45.1</v>
      </c>
      <c r="AQ207">
        <v>44.6</v>
      </c>
      <c r="AR207">
        <v>43.8</v>
      </c>
      <c r="AS207">
        <v>43.7</v>
      </c>
      <c r="AT207">
        <v>43.8</v>
      </c>
      <c r="AU207">
        <v>44.2</v>
      </c>
      <c r="AV207">
        <v>46.7</v>
      </c>
      <c r="AW207">
        <v>46.8</v>
      </c>
      <c r="AX207">
        <v>47.7</v>
      </c>
      <c r="AY207">
        <v>47.5</v>
      </c>
      <c r="AZ207">
        <v>48.9</v>
      </c>
      <c r="BA207">
        <v>48.5</v>
      </c>
      <c r="BB207">
        <v>47.1</v>
      </c>
      <c r="BC207">
        <v>46.6</v>
      </c>
      <c r="BD207">
        <v>47</v>
      </c>
      <c r="BE207">
        <v>47.8</v>
      </c>
      <c r="BF207">
        <v>48</v>
      </c>
      <c r="BG207">
        <v>43.4</v>
      </c>
      <c r="BH207">
        <v>42.9</v>
      </c>
      <c r="BI207">
        <v>43.2</v>
      </c>
      <c r="BJ207">
        <v>42.3</v>
      </c>
      <c r="BK207">
        <v>42.3</v>
      </c>
      <c r="BL207">
        <v>42.7</v>
      </c>
      <c r="BM207">
        <v>41.3</v>
      </c>
      <c r="BN207">
        <v>42.4</v>
      </c>
      <c r="BO207">
        <v>41.6</v>
      </c>
      <c r="BP207">
        <v>41</v>
      </c>
    </row>
    <row r="208" spans="1:69" x14ac:dyDescent="0.35">
      <c r="A208" t="s">
        <v>273</v>
      </c>
      <c r="B208" t="s">
        <v>94</v>
      </c>
      <c r="C208" t="s">
        <v>751</v>
      </c>
      <c r="D208" t="s">
        <v>752</v>
      </c>
      <c r="AS208">
        <v>54.9</v>
      </c>
      <c r="AX208">
        <v>58</v>
      </c>
      <c r="BC208">
        <v>54.1</v>
      </c>
      <c r="BF208">
        <v>52.2</v>
      </c>
      <c r="BI208">
        <v>50.8</v>
      </c>
      <c r="BP208">
        <v>47.6</v>
      </c>
    </row>
    <row r="209" spans="1:68" x14ac:dyDescent="0.35">
      <c r="A209" t="s">
        <v>90</v>
      </c>
      <c r="B209" t="s">
        <v>126</v>
      </c>
      <c r="C209" t="s">
        <v>751</v>
      </c>
      <c r="D209" t="s">
        <v>752</v>
      </c>
    </row>
    <row r="210" spans="1:68" x14ac:dyDescent="0.35">
      <c r="A210" t="s">
        <v>480</v>
      </c>
      <c r="B210" t="s">
        <v>249</v>
      </c>
      <c r="C210" t="s">
        <v>751</v>
      </c>
      <c r="D210" t="s">
        <v>752</v>
      </c>
    </row>
    <row r="211" spans="1:68" x14ac:dyDescent="0.35">
      <c r="A211" t="s">
        <v>232</v>
      </c>
      <c r="B211" t="s">
        <v>466</v>
      </c>
      <c r="C211" t="s">
        <v>751</v>
      </c>
      <c r="D211" t="s">
        <v>752</v>
      </c>
      <c r="BB211">
        <v>42.4</v>
      </c>
      <c r="BG211">
        <v>42.4</v>
      </c>
    </row>
    <row r="212" spans="1:68" x14ac:dyDescent="0.35">
      <c r="A212" t="s">
        <v>35</v>
      </c>
      <c r="B212" t="s">
        <v>560</v>
      </c>
      <c r="C212" t="s">
        <v>751</v>
      </c>
      <c r="D212" t="s">
        <v>752</v>
      </c>
      <c r="AJ212">
        <v>58.5</v>
      </c>
      <c r="AM212">
        <v>46.6</v>
      </c>
      <c r="AT212">
        <v>48.4</v>
      </c>
      <c r="AX212">
        <v>45.7</v>
      </c>
      <c r="BD212">
        <v>46.9</v>
      </c>
      <c r="BK212">
        <v>45.9</v>
      </c>
      <c r="BN212">
        <v>43.9</v>
      </c>
    </row>
    <row r="213" spans="1:68" x14ac:dyDescent="0.35">
      <c r="A213" t="s">
        <v>508</v>
      </c>
      <c r="B213" t="s">
        <v>83</v>
      </c>
      <c r="C213" t="s">
        <v>751</v>
      </c>
      <c r="D213" t="s">
        <v>752</v>
      </c>
    </row>
    <row r="214" spans="1:68" x14ac:dyDescent="0.35">
      <c r="A214" t="s">
        <v>101</v>
      </c>
      <c r="B214" t="s">
        <v>316</v>
      </c>
      <c r="C214" t="s">
        <v>751</v>
      </c>
      <c r="D214" t="s">
        <v>752</v>
      </c>
      <c r="AX214">
        <v>52</v>
      </c>
      <c r="BE214">
        <v>44.6</v>
      </c>
    </row>
    <row r="215" spans="1:68" x14ac:dyDescent="0.35">
      <c r="A215" t="s">
        <v>703</v>
      </c>
      <c r="B215" t="s">
        <v>644</v>
      </c>
      <c r="C215" t="s">
        <v>751</v>
      </c>
      <c r="D215" t="s">
        <v>752</v>
      </c>
      <c r="AV215">
        <v>47.7</v>
      </c>
      <c r="BD215">
        <v>42.4</v>
      </c>
      <c r="BK215">
        <v>44.2</v>
      </c>
    </row>
    <row r="216" spans="1:68" x14ac:dyDescent="0.35">
      <c r="A216" t="s">
        <v>573</v>
      </c>
      <c r="B216" t="s">
        <v>95</v>
      </c>
      <c r="C216" t="s">
        <v>751</v>
      </c>
      <c r="D216" t="s">
        <v>752</v>
      </c>
      <c r="AH216">
        <v>51.9</v>
      </c>
      <c r="AJ216">
        <v>57.5</v>
      </c>
      <c r="AN216">
        <v>54.5</v>
      </c>
      <c r="AO216">
        <v>55.5</v>
      </c>
      <c r="AQ216">
        <v>57.4</v>
      </c>
      <c r="AR216">
        <v>55.6</v>
      </c>
      <c r="AS216">
        <v>55.7</v>
      </c>
      <c r="AT216">
        <v>55.4</v>
      </c>
      <c r="AU216">
        <v>55.7</v>
      </c>
      <c r="AV216">
        <v>54.1</v>
      </c>
      <c r="AW216">
        <v>52.3</v>
      </c>
      <c r="AX216">
        <v>53.2</v>
      </c>
      <c r="AY216">
        <v>51.3</v>
      </c>
      <c r="AZ216">
        <v>51.2</v>
      </c>
      <c r="BA216">
        <v>52.4</v>
      </c>
      <c r="BB216">
        <v>51.6</v>
      </c>
      <c r="BC216">
        <v>49.4</v>
      </c>
      <c r="BD216">
        <v>48.7</v>
      </c>
      <c r="BE216">
        <v>48.2</v>
      </c>
      <c r="BF216">
        <v>49.6</v>
      </c>
      <c r="BG216">
        <v>48</v>
      </c>
      <c r="BH216">
        <v>47.2</v>
      </c>
      <c r="BI216">
        <v>46.4</v>
      </c>
      <c r="BJ216">
        <v>44.7</v>
      </c>
      <c r="BK216">
        <v>45.2</v>
      </c>
      <c r="BL216">
        <v>45.6</v>
      </c>
      <c r="BN216">
        <v>45</v>
      </c>
      <c r="BO216">
        <v>44.8</v>
      </c>
      <c r="BP216">
        <v>45.8</v>
      </c>
    </row>
    <row r="217" spans="1:68" x14ac:dyDescent="0.35">
      <c r="A217" t="s">
        <v>457</v>
      </c>
      <c r="B217" t="s">
        <v>519</v>
      </c>
      <c r="C217" t="s">
        <v>751</v>
      </c>
      <c r="D217" t="s">
        <v>752</v>
      </c>
    </row>
    <row r="218" spans="1:68" x14ac:dyDescent="0.35">
      <c r="A218" t="s">
        <v>352</v>
      </c>
      <c r="B218" t="s">
        <v>32</v>
      </c>
      <c r="C218" t="s">
        <v>751</v>
      </c>
      <c r="D218" t="s">
        <v>752</v>
      </c>
    </row>
    <row r="219" spans="1:68" x14ac:dyDescent="0.35">
      <c r="A219" t="s">
        <v>321</v>
      </c>
      <c r="B219" t="s">
        <v>445</v>
      </c>
      <c r="C219" t="s">
        <v>751</v>
      </c>
      <c r="D219" t="s">
        <v>752</v>
      </c>
      <c r="AU219">
        <v>41</v>
      </c>
      <c r="AV219">
        <v>40.9</v>
      </c>
      <c r="AW219">
        <v>43</v>
      </c>
      <c r="AX219">
        <v>43.7</v>
      </c>
      <c r="AY219">
        <v>38.5</v>
      </c>
      <c r="AZ219">
        <v>37.799999999999997</v>
      </c>
      <c r="BA219">
        <v>37</v>
      </c>
      <c r="BB219">
        <v>37.1</v>
      </c>
      <c r="BC219">
        <v>37.9</v>
      </c>
      <c r="BE219">
        <v>44.9</v>
      </c>
      <c r="BF219">
        <v>44.3</v>
      </c>
      <c r="BG219">
        <v>44.8</v>
      </c>
      <c r="BH219">
        <v>44.9</v>
      </c>
      <c r="BI219">
        <v>43.5</v>
      </c>
      <c r="BJ219">
        <v>41.4</v>
      </c>
      <c r="BK219">
        <v>41</v>
      </c>
      <c r="BL219">
        <v>41.1</v>
      </c>
      <c r="BM219">
        <v>41.7</v>
      </c>
      <c r="BN219">
        <v>40.299999999999997</v>
      </c>
      <c r="BO219">
        <v>39.799999999999997</v>
      </c>
    </row>
    <row r="220" spans="1:68" x14ac:dyDescent="0.35">
      <c r="A220" t="s">
        <v>61</v>
      </c>
      <c r="B220" t="s">
        <v>460</v>
      </c>
      <c r="C220" t="s">
        <v>751</v>
      </c>
      <c r="D220" t="s">
        <v>752</v>
      </c>
    </row>
    <row r="221" spans="1:68" x14ac:dyDescent="0.35">
      <c r="A221" t="s">
        <v>288</v>
      </c>
      <c r="B221" t="s">
        <v>64</v>
      </c>
      <c r="C221" t="s">
        <v>751</v>
      </c>
      <c r="D221" t="s">
        <v>752</v>
      </c>
      <c r="BB221">
        <v>50.5</v>
      </c>
      <c r="BI221">
        <v>49.5</v>
      </c>
    </row>
    <row r="222" spans="1:68" x14ac:dyDescent="0.35">
      <c r="A222" t="s">
        <v>313</v>
      </c>
      <c r="B222" t="s">
        <v>187</v>
      </c>
      <c r="C222" t="s">
        <v>751</v>
      </c>
      <c r="D222" t="s">
        <v>752</v>
      </c>
    </row>
    <row r="223" spans="1:68" x14ac:dyDescent="0.35">
      <c r="A223" t="s">
        <v>44</v>
      </c>
      <c r="B223" t="s">
        <v>196</v>
      </c>
      <c r="C223" t="s">
        <v>751</v>
      </c>
      <c r="D223" t="s">
        <v>752</v>
      </c>
    </row>
    <row r="224" spans="1:68" x14ac:dyDescent="0.35">
      <c r="A224" t="s">
        <v>255</v>
      </c>
      <c r="B224" t="s">
        <v>449</v>
      </c>
      <c r="C224" t="s">
        <v>751</v>
      </c>
      <c r="D224" t="s">
        <v>752</v>
      </c>
      <c r="AS224">
        <v>40.200000000000003</v>
      </c>
      <c r="BC224">
        <v>39.5</v>
      </c>
      <c r="BJ224">
        <v>47.9</v>
      </c>
    </row>
    <row r="225" spans="1:69" x14ac:dyDescent="0.35">
      <c r="A225" t="s">
        <v>512</v>
      </c>
      <c r="B225" t="s">
        <v>68</v>
      </c>
      <c r="C225" t="s">
        <v>751</v>
      </c>
      <c r="D225" t="s">
        <v>752</v>
      </c>
      <c r="AR225">
        <v>60.3</v>
      </c>
      <c r="BO225">
        <v>45.6</v>
      </c>
    </row>
    <row r="226" spans="1:69" x14ac:dyDescent="0.35">
      <c r="A226" t="s">
        <v>387</v>
      </c>
      <c r="B226" t="s">
        <v>151</v>
      </c>
      <c r="C226" t="s">
        <v>751</v>
      </c>
      <c r="D226" t="s">
        <v>752</v>
      </c>
      <c r="AK226">
        <v>31.4</v>
      </c>
      <c r="AO226">
        <v>35</v>
      </c>
      <c r="AW226">
        <v>35.9</v>
      </c>
      <c r="AX226">
        <v>38.299999999999997</v>
      </c>
      <c r="AY226">
        <v>35.5</v>
      </c>
      <c r="AZ226">
        <v>34.5</v>
      </c>
      <c r="BA226">
        <v>35.6</v>
      </c>
      <c r="BB226">
        <v>36.1</v>
      </c>
      <c r="BC226">
        <v>36.1</v>
      </c>
      <c r="BD226">
        <v>35.4</v>
      </c>
      <c r="BE226">
        <v>34.9</v>
      </c>
      <c r="BF226">
        <v>36.4</v>
      </c>
      <c r="BG226">
        <v>34.5</v>
      </c>
      <c r="BH226">
        <v>35</v>
      </c>
      <c r="BI226">
        <v>33.9</v>
      </c>
      <c r="BJ226">
        <v>32.6</v>
      </c>
      <c r="BK226">
        <v>33.799999999999997</v>
      </c>
      <c r="BL226">
        <v>32.799999999999997</v>
      </c>
      <c r="BM226">
        <v>33.299999999999997</v>
      </c>
      <c r="BN226">
        <v>33.299999999999997</v>
      </c>
      <c r="BO226">
        <v>32.4</v>
      </c>
      <c r="BP226">
        <v>32.799999999999997</v>
      </c>
    </row>
    <row r="227" spans="1:69" x14ac:dyDescent="0.35">
      <c r="A227" t="s">
        <v>378</v>
      </c>
      <c r="B227" t="s">
        <v>335</v>
      </c>
      <c r="C227" t="s">
        <v>751</v>
      </c>
      <c r="D227" t="s">
        <v>752</v>
      </c>
      <c r="AF227">
        <v>34.200000000000003</v>
      </c>
      <c r="AL227">
        <v>38.700000000000003</v>
      </c>
      <c r="AP227">
        <v>33.9</v>
      </c>
      <c r="AQ227">
        <v>37.700000000000003</v>
      </c>
      <c r="AR227">
        <v>33.9</v>
      </c>
      <c r="AU227">
        <v>37.799999999999997</v>
      </c>
      <c r="AV227">
        <v>39</v>
      </c>
      <c r="AW227">
        <v>34.700000000000003</v>
      </c>
      <c r="AX227">
        <v>34.6</v>
      </c>
      <c r="AY227">
        <v>34.4</v>
      </c>
      <c r="AZ227">
        <v>34.4</v>
      </c>
      <c r="BA227">
        <v>34</v>
      </c>
      <c r="BB227">
        <v>34.700000000000003</v>
      </c>
      <c r="BC227">
        <v>34.799999999999997</v>
      </c>
      <c r="BD227">
        <v>34.799999999999997</v>
      </c>
      <c r="BE227">
        <v>35.200000000000003</v>
      </c>
      <c r="BF227">
        <v>35.6</v>
      </c>
      <c r="BG227">
        <v>35.4</v>
      </c>
      <c r="BH227">
        <v>35.1</v>
      </c>
      <c r="BI227">
        <v>34.700000000000003</v>
      </c>
      <c r="BJ227">
        <v>34.4</v>
      </c>
      <c r="BK227">
        <v>34.9</v>
      </c>
      <c r="BL227">
        <v>34.6</v>
      </c>
      <c r="BM227">
        <v>34.4</v>
      </c>
      <c r="BN227">
        <v>34.6</v>
      </c>
      <c r="BO227">
        <v>34.700000000000003</v>
      </c>
      <c r="BP227">
        <v>34.799999999999997</v>
      </c>
    </row>
    <row r="228" spans="1:69" x14ac:dyDescent="0.35">
      <c r="A228" t="s">
        <v>73</v>
      </c>
      <c r="B228" t="s">
        <v>291</v>
      </c>
      <c r="C228" t="s">
        <v>751</v>
      </c>
      <c r="D228" t="s">
        <v>752</v>
      </c>
      <c r="T228">
        <v>33.9</v>
      </c>
      <c r="Z228">
        <v>32.4</v>
      </c>
      <c r="AF228">
        <v>32.9</v>
      </c>
      <c r="AK228">
        <v>34.200000000000003</v>
      </c>
      <c r="AN228">
        <v>34.1</v>
      </c>
      <c r="AS228">
        <v>36.200000000000003</v>
      </c>
      <c r="AT228">
        <v>36</v>
      </c>
      <c r="AU228">
        <v>35.5</v>
      </c>
      <c r="AV228">
        <v>34.700000000000003</v>
      </c>
      <c r="AW228">
        <v>35.5</v>
      </c>
      <c r="AX228">
        <v>35.6</v>
      </c>
      <c r="AY228">
        <v>35.6</v>
      </c>
      <c r="AZ228">
        <v>36.200000000000003</v>
      </c>
      <c r="BA228">
        <v>36.9</v>
      </c>
      <c r="BB228">
        <v>36.200000000000003</v>
      </c>
      <c r="BC228">
        <v>36.6</v>
      </c>
      <c r="BD228">
        <v>36.299999999999997</v>
      </c>
      <c r="BE228">
        <v>36.4</v>
      </c>
      <c r="BF228">
        <v>37</v>
      </c>
      <c r="BG228">
        <v>37</v>
      </c>
      <c r="BH228">
        <v>37.6</v>
      </c>
      <c r="BI228">
        <v>37.799999999999997</v>
      </c>
      <c r="BJ228">
        <v>37.1</v>
      </c>
      <c r="BK228">
        <v>37.799999999999997</v>
      </c>
      <c r="BL228">
        <v>37.5</v>
      </c>
      <c r="BM228">
        <v>37.200000000000003</v>
      </c>
      <c r="BN228">
        <v>37.700000000000003</v>
      </c>
      <c r="BO228">
        <v>39.1</v>
      </c>
      <c r="BP228">
        <v>37.200000000000003</v>
      </c>
    </row>
    <row r="229" spans="1:69" x14ac:dyDescent="0.35">
      <c r="A229" t="s">
        <v>656</v>
      </c>
      <c r="B229" t="s">
        <v>139</v>
      </c>
      <c r="C229" t="s">
        <v>751</v>
      </c>
      <c r="D229" t="s">
        <v>752</v>
      </c>
      <c r="AM229">
        <v>63.1</v>
      </c>
      <c r="AS229">
        <v>59.5</v>
      </c>
      <c r="BB229">
        <v>56.7</v>
      </c>
      <c r="BI229">
        <v>60.2</v>
      </c>
    </row>
    <row r="230" spans="1:69" x14ac:dyDescent="0.35">
      <c r="A230" t="s">
        <v>368</v>
      </c>
      <c r="B230" t="s">
        <v>418</v>
      </c>
      <c r="C230" t="s">
        <v>751</v>
      </c>
      <c r="D230" t="s">
        <v>752</v>
      </c>
    </row>
    <row r="231" spans="1:69" x14ac:dyDescent="0.35">
      <c r="A231" t="s">
        <v>504</v>
      </c>
      <c r="B231" t="s">
        <v>155</v>
      </c>
      <c r="C231" t="s">
        <v>751</v>
      </c>
      <c r="D231" t="s">
        <v>752</v>
      </c>
      <c r="AR231">
        <v>48.8</v>
      </c>
      <c r="AY231">
        <v>48.8</v>
      </c>
      <c r="BF231">
        <v>53</v>
      </c>
      <c r="BK231">
        <v>39.1</v>
      </c>
    </row>
    <row r="232" spans="1:69" x14ac:dyDescent="0.35">
      <c r="A232" t="s">
        <v>179</v>
      </c>
      <c r="B232" t="s">
        <v>224</v>
      </c>
      <c r="C232" t="s">
        <v>751</v>
      </c>
      <c r="D232" t="s">
        <v>752</v>
      </c>
      <c r="AO232">
        <v>43.4</v>
      </c>
      <c r="AV232">
        <v>45.3</v>
      </c>
      <c r="AY232">
        <v>46.8</v>
      </c>
      <c r="BB232">
        <v>47.2</v>
      </c>
      <c r="BO232">
        <v>35.9</v>
      </c>
    </row>
    <row r="233" spans="1:69" x14ac:dyDescent="0.35">
      <c r="A233" t="s">
        <v>124</v>
      </c>
      <c r="B233" t="s">
        <v>233</v>
      </c>
      <c r="C233" t="s">
        <v>751</v>
      </c>
      <c r="D233" t="s">
        <v>752</v>
      </c>
    </row>
    <row r="234" spans="1:69" x14ac:dyDescent="0.35">
      <c r="A234" t="s">
        <v>609</v>
      </c>
      <c r="B234" t="s">
        <v>582</v>
      </c>
      <c r="C234" t="s">
        <v>751</v>
      </c>
      <c r="D234" t="s">
        <v>752</v>
      </c>
      <c r="AV234">
        <v>46.5</v>
      </c>
      <c r="BD234">
        <v>48.8</v>
      </c>
      <c r="BK234">
        <v>45.2</v>
      </c>
      <c r="BO234">
        <v>44.9</v>
      </c>
    </row>
    <row r="235" spans="1:69" x14ac:dyDescent="0.35">
      <c r="A235" t="s">
        <v>713</v>
      </c>
      <c r="B235" t="s">
        <v>379</v>
      </c>
      <c r="C235" t="s">
        <v>751</v>
      </c>
      <c r="D235" t="s">
        <v>752</v>
      </c>
    </row>
    <row r="236" spans="1:69" x14ac:dyDescent="0.35">
      <c r="A236" t="s">
        <v>489</v>
      </c>
      <c r="B236" t="s">
        <v>513</v>
      </c>
      <c r="C236" t="s">
        <v>751</v>
      </c>
      <c r="D236" t="s">
        <v>752</v>
      </c>
    </row>
    <row r="237" spans="1:69" x14ac:dyDescent="0.35">
      <c r="A237" t="s">
        <v>260</v>
      </c>
      <c r="B237" t="s">
        <v>388</v>
      </c>
      <c r="C237" t="s">
        <v>751</v>
      </c>
      <c r="D237" t="s">
        <v>752</v>
      </c>
      <c r="AY237">
        <v>49.1</v>
      </c>
      <c r="BD237">
        <v>51.6</v>
      </c>
      <c r="BH237">
        <v>48.6</v>
      </c>
      <c r="BK237">
        <v>49.1</v>
      </c>
      <c r="BN237">
        <v>45.2</v>
      </c>
    </row>
    <row r="238" spans="1:69" x14ac:dyDescent="0.35">
      <c r="A238" t="s">
        <v>557</v>
      </c>
      <c r="B238" t="s">
        <v>450</v>
      </c>
      <c r="C238" t="s">
        <v>751</v>
      </c>
      <c r="D238" t="s">
        <v>752</v>
      </c>
      <c r="Z238">
        <v>51.4</v>
      </c>
      <c r="AG238">
        <v>50.7</v>
      </c>
      <c r="AI238">
        <v>52.2</v>
      </c>
      <c r="AK238">
        <v>54.4</v>
      </c>
      <c r="AM238">
        <v>50.4</v>
      </c>
      <c r="AO238">
        <v>49.9</v>
      </c>
      <c r="AQ238">
        <v>48.5</v>
      </c>
      <c r="AR238">
        <v>50.1</v>
      </c>
      <c r="AS238">
        <v>49.7</v>
      </c>
      <c r="AU238">
        <v>48.9</v>
      </c>
      <c r="AW238">
        <v>49.3</v>
      </c>
      <c r="AY238">
        <v>48.4</v>
      </c>
      <c r="AZ238">
        <v>46.7</v>
      </c>
      <c r="BA238">
        <v>47.2</v>
      </c>
      <c r="BB238">
        <v>46.5</v>
      </c>
      <c r="BC238">
        <v>46.5</v>
      </c>
      <c r="BD238">
        <v>45.1</v>
      </c>
      <c r="BE238">
        <v>46.3</v>
      </c>
      <c r="BF238">
        <v>45.1</v>
      </c>
      <c r="BG238">
        <v>44.5</v>
      </c>
      <c r="BH238">
        <v>43.7</v>
      </c>
      <c r="BI238">
        <v>44.4</v>
      </c>
      <c r="BJ238">
        <v>43.9</v>
      </c>
      <c r="BK238">
        <v>44</v>
      </c>
      <c r="BL238">
        <v>42.8</v>
      </c>
      <c r="BM238">
        <v>42.7</v>
      </c>
      <c r="BN238">
        <v>42.7</v>
      </c>
      <c r="BO238">
        <v>42.2</v>
      </c>
      <c r="BP238">
        <v>41.5</v>
      </c>
    </row>
    <row r="239" spans="1:69" x14ac:dyDescent="0.35">
      <c r="A239" t="s">
        <v>47</v>
      </c>
      <c r="B239" t="s">
        <v>49</v>
      </c>
      <c r="C239" t="s">
        <v>751</v>
      </c>
      <c r="D239" t="s">
        <v>752</v>
      </c>
      <c r="AR239">
        <v>38.1</v>
      </c>
      <c r="AV239">
        <v>40.9</v>
      </c>
      <c r="AW239">
        <v>41.9</v>
      </c>
      <c r="AZ239">
        <v>39.700000000000003</v>
      </c>
      <c r="BB239">
        <v>39.299999999999997</v>
      </c>
      <c r="BH239">
        <v>41.7</v>
      </c>
      <c r="BN239">
        <v>40</v>
      </c>
      <c r="BO239">
        <v>46.2</v>
      </c>
      <c r="BP239">
        <v>44.8</v>
      </c>
      <c r="BQ239">
        <v>43.3</v>
      </c>
    </row>
    <row r="240" spans="1:69" x14ac:dyDescent="0.35">
      <c r="A240" t="s">
        <v>524</v>
      </c>
      <c r="B240" t="s">
        <v>267</v>
      </c>
      <c r="C240" t="s">
        <v>751</v>
      </c>
      <c r="D240" t="s">
        <v>752</v>
      </c>
      <c r="AQ240">
        <v>47.4</v>
      </c>
    </row>
    <row r="241" spans="1:69" x14ac:dyDescent="0.35">
      <c r="A241" t="s">
        <v>147</v>
      </c>
      <c r="B241" t="s">
        <v>611</v>
      </c>
      <c r="C241" t="s">
        <v>751</v>
      </c>
      <c r="D241" t="s">
        <v>752</v>
      </c>
    </row>
    <row r="242" spans="1:69" x14ac:dyDescent="0.35">
      <c r="A242" t="s">
        <v>673</v>
      </c>
      <c r="B242" t="s">
        <v>289</v>
      </c>
      <c r="C242" t="s">
        <v>751</v>
      </c>
      <c r="D242" t="s">
        <v>752</v>
      </c>
      <c r="AT242">
        <v>43.5</v>
      </c>
      <c r="AZ242">
        <v>37.5</v>
      </c>
      <c r="BG242">
        <v>38.4</v>
      </c>
    </row>
    <row r="243" spans="1:69" x14ac:dyDescent="0.35">
      <c r="A243" t="s">
        <v>718</v>
      </c>
      <c r="B243" t="s">
        <v>469</v>
      </c>
      <c r="C243" t="s">
        <v>751</v>
      </c>
      <c r="D243" t="s">
        <v>752</v>
      </c>
    </row>
    <row r="244" spans="1:69" x14ac:dyDescent="0.35">
      <c r="A244" t="s">
        <v>646</v>
      </c>
      <c r="B244" t="s">
        <v>624</v>
      </c>
      <c r="C244" t="s">
        <v>751</v>
      </c>
      <c r="D244" t="s">
        <v>752</v>
      </c>
      <c r="AS244">
        <v>44.1</v>
      </c>
      <c r="BB244">
        <v>44.6</v>
      </c>
      <c r="BH244">
        <v>41.7</v>
      </c>
      <c r="BN244">
        <v>36.6</v>
      </c>
    </row>
    <row r="245" spans="1:69" x14ac:dyDescent="0.35">
      <c r="A245" t="s">
        <v>8</v>
      </c>
      <c r="B245" t="s">
        <v>91</v>
      </c>
      <c r="C245" t="s">
        <v>751</v>
      </c>
      <c r="D245" t="s">
        <v>752</v>
      </c>
    </row>
    <row r="246" spans="1:69" x14ac:dyDescent="0.35">
      <c r="A246" t="s">
        <v>240</v>
      </c>
      <c r="B246" t="s">
        <v>505</v>
      </c>
      <c r="C246" t="s">
        <v>751</v>
      </c>
      <c r="D246" t="s">
        <v>752</v>
      </c>
    </row>
    <row r="247" spans="1:69" x14ac:dyDescent="0.35">
      <c r="A247" t="s">
        <v>665</v>
      </c>
      <c r="B247" t="s">
        <v>176</v>
      </c>
      <c r="C247" t="s">
        <v>751</v>
      </c>
      <c r="D247" t="s">
        <v>752</v>
      </c>
      <c r="AG247">
        <v>48</v>
      </c>
      <c r="AK247">
        <v>46.1</v>
      </c>
    </row>
    <row r="248" spans="1:69" x14ac:dyDescent="0.35">
      <c r="A248" t="s">
        <v>214</v>
      </c>
      <c r="B248" t="s">
        <v>21</v>
      </c>
      <c r="C248" t="s">
        <v>751</v>
      </c>
      <c r="D248" t="s">
        <v>752</v>
      </c>
      <c r="AD248">
        <v>49.6</v>
      </c>
      <c r="AI248">
        <v>46.4</v>
      </c>
      <c r="AN248">
        <v>47.9</v>
      </c>
      <c r="AS248">
        <v>47.3</v>
      </c>
      <c r="AX248">
        <v>44.7</v>
      </c>
      <c r="BC248">
        <v>45.3</v>
      </c>
      <c r="BH248">
        <v>40.9</v>
      </c>
      <c r="BN248">
        <v>41.6</v>
      </c>
    </row>
    <row r="249" spans="1:69" x14ac:dyDescent="0.35">
      <c r="A249" t="s">
        <v>121</v>
      </c>
      <c r="B249" t="s">
        <v>432</v>
      </c>
      <c r="C249" t="s">
        <v>751</v>
      </c>
      <c r="D249" t="s">
        <v>752</v>
      </c>
      <c r="AF249">
        <v>47.7</v>
      </c>
      <c r="AM249">
        <v>47.6</v>
      </c>
      <c r="AU249">
        <v>47.7</v>
      </c>
      <c r="AV249">
        <v>48.4</v>
      </c>
      <c r="AW249">
        <v>47</v>
      </c>
      <c r="AX249">
        <v>48.3</v>
      </c>
      <c r="AY249">
        <v>45.6</v>
      </c>
      <c r="AZ249">
        <v>44.7</v>
      </c>
      <c r="BA249">
        <v>45.1</v>
      </c>
      <c r="BB249">
        <v>45.4</v>
      </c>
      <c r="BC249">
        <v>45.2</v>
      </c>
      <c r="BD249">
        <v>46.5</v>
      </c>
      <c r="BE249">
        <v>46.6</v>
      </c>
      <c r="BF249">
        <v>46.6</v>
      </c>
      <c r="BG249">
        <v>47.7</v>
      </c>
      <c r="BH249">
        <v>49.2</v>
      </c>
      <c r="BI249">
        <v>48.3</v>
      </c>
      <c r="BJ249">
        <v>49.4</v>
      </c>
      <c r="BK249">
        <v>48.3</v>
      </c>
      <c r="BL249">
        <v>49.6</v>
      </c>
      <c r="BM249">
        <v>48.8</v>
      </c>
      <c r="BN249">
        <v>50.1</v>
      </c>
      <c r="BO249">
        <v>50.5</v>
      </c>
    </row>
    <row r="250" spans="1:69" x14ac:dyDescent="0.35">
      <c r="A250" t="s">
        <v>443</v>
      </c>
      <c r="B250" t="s">
        <v>98</v>
      </c>
      <c r="C250" t="s">
        <v>751</v>
      </c>
      <c r="D250" t="s">
        <v>752</v>
      </c>
      <c r="BC250">
        <v>46.4</v>
      </c>
    </row>
    <row r="251" spans="1:69" x14ac:dyDescent="0.35">
      <c r="A251" t="s">
        <v>569</v>
      </c>
      <c r="B251" t="s">
        <v>467</v>
      </c>
      <c r="C251" t="s">
        <v>751</v>
      </c>
      <c r="D251" t="s">
        <v>752</v>
      </c>
      <c r="AJ251">
        <v>42.9</v>
      </c>
      <c r="AS251">
        <v>44.7</v>
      </c>
      <c r="AZ251">
        <v>47.2</v>
      </c>
      <c r="BD251">
        <v>45.8</v>
      </c>
      <c r="BK251">
        <v>48.1</v>
      </c>
    </row>
    <row r="252" spans="1:69" x14ac:dyDescent="0.35">
      <c r="A252" t="s">
        <v>694</v>
      </c>
      <c r="B252" t="s">
        <v>161</v>
      </c>
      <c r="C252" t="s">
        <v>751</v>
      </c>
      <c r="D252" t="s">
        <v>752</v>
      </c>
      <c r="AH252">
        <v>49.9</v>
      </c>
      <c r="AK252">
        <v>48.2</v>
      </c>
      <c r="AO252">
        <v>46.5</v>
      </c>
      <c r="AR252">
        <v>49.7</v>
      </c>
      <c r="AU252">
        <v>52.1</v>
      </c>
      <c r="AX252">
        <v>49.8</v>
      </c>
      <c r="BB252">
        <v>51.2</v>
      </c>
      <c r="BE252">
        <v>48.3</v>
      </c>
      <c r="BI252">
        <v>49.8</v>
      </c>
      <c r="BL252">
        <v>49.5</v>
      </c>
    </row>
    <row r="253" spans="1:69" x14ac:dyDescent="0.35">
      <c r="A253" t="s">
        <v>441</v>
      </c>
      <c r="B253" t="s">
        <v>510</v>
      </c>
      <c r="C253" t="s">
        <v>751</v>
      </c>
      <c r="D253" t="s">
        <v>752</v>
      </c>
      <c r="AK253">
        <v>37.799999999999997</v>
      </c>
      <c r="AL253">
        <v>37.799999999999997</v>
      </c>
      <c r="AN253">
        <v>45.9</v>
      </c>
      <c r="AO253">
        <v>42.7</v>
      </c>
      <c r="AR253">
        <v>37.9</v>
      </c>
      <c r="AU253">
        <v>38</v>
      </c>
      <c r="AV253">
        <v>38</v>
      </c>
      <c r="AW253">
        <v>37.9</v>
      </c>
      <c r="AX253">
        <v>38</v>
      </c>
      <c r="AY253">
        <v>38.799999999999997</v>
      </c>
      <c r="AZ253">
        <v>36.6</v>
      </c>
      <c r="BA253">
        <v>36.4</v>
      </c>
      <c r="BB253">
        <v>35.4</v>
      </c>
      <c r="BC253">
        <v>35.200000000000003</v>
      </c>
      <c r="BD253">
        <v>34.9</v>
      </c>
      <c r="BE253">
        <v>35</v>
      </c>
      <c r="BF253">
        <v>35.1</v>
      </c>
      <c r="BG253">
        <v>34.6</v>
      </c>
      <c r="BH253">
        <v>35.6</v>
      </c>
      <c r="BI253">
        <v>35.1</v>
      </c>
      <c r="BJ253">
        <v>36</v>
      </c>
      <c r="BK253">
        <v>36.1</v>
      </c>
      <c r="BL253">
        <v>36.5</v>
      </c>
      <c r="BM253">
        <v>35.9</v>
      </c>
    </row>
    <row r="254" spans="1:69" x14ac:dyDescent="0.35">
      <c r="A254" t="s">
        <v>166</v>
      </c>
      <c r="B254" t="s">
        <v>594</v>
      </c>
      <c r="C254" t="s">
        <v>751</v>
      </c>
      <c r="D254" t="s">
        <v>752</v>
      </c>
    </row>
    <row r="255" spans="1:69" x14ac:dyDescent="0.35">
      <c r="A255" t="s">
        <v>532</v>
      </c>
      <c r="B255" t="s">
        <v>730</v>
      </c>
      <c r="C255" t="s">
        <v>751</v>
      </c>
      <c r="D255" t="s">
        <v>752</v>
      </c>
      <c r="Z255">
        <v>49.2</v>
      </c>
      <c r="AH255">
        <v>48.1</v>
      </c>
      <c r="AK255">
        <v>47.4</v>
      </c>
      <c r="AN255">
        <v>46.8</v>
      </c>
      <c r="AO255">
        <v>46.8</v>
      </c>
      <c r="AP255">
        <v>47.4</v>
      </c>
      <c r="AQ255">
        <v>48.1</v>
      </c>
      <c r="AS255">
        <v>49</v>
      </c>
      <c r="AT255">
        <v>50.4</v>
      </c>
      <c r="AU255">
        <v>50.9</v>
      </c>
      <c r="AV255">
        <v>50.8</v>
      </c>
      <c r="AW255">
        <v>51.2</v>
      </c>
      <c r="AX255">
        <v>50.2</v>
      </c>
      <c r="AY255">
        <v>51.6</v>
      </c>
      <c r="AZ255">
        <v>51.9</v>
      </c>
      <c r="BA255">
        <v>50.8</v>
      </c>
      <c r="BB255">
        <v>51</v>
      </c>
      <c r="BC255">
        <v>50.1</v>
      </c>
      <c r="BD255">
        <v>48</v>
      </c>
      <c r="BE255">
        <v>45.8</v>
      </c>
      <c r="BF255">
        <v>46.4</v>
      </c>
      <c r="BG255">
        <v>46.1</v>
      </c>
      <c r="BH255">
        <v>46.1</v>
      </c>
      <c r="BI255">
        <v>45.8</v>
      </c>
      <c r="BJ255">
        <v>45.7</v>
      </c>
      <c r="BK255">
        <v>45.9</v>
      </c>
      <c r="BL255">
        <v>45.9</v>
      </c>
      <c r="BM255">
        <v>46.2</v>
      </c>
      <c r="BN255">
        <v>46.8</v>
      </c>
      <c r="BO255">
        <v>46.7</v>
      </c>
      <c r="BP255">
        <v>46.9</v>
      </c>
      <c r="BQ255">
        <v>46.1</v>
      </c>
    </row>
    <row r="256" spans="1:69" x14ac:dyDescent="0.35">
      <c r="A256" t="s">
        <v>408</v>
      </c>
      <c r="B256" t="s">
        <v>617</v>
      </c>
      <c r="C256" t="s">
        <v>751</v>
      </c>
      <c r="D256" t="s">
        <v>752</v>
      </c>
      <c r="H256">
        <v>42.6</v>
      </c>
      <c r="I256">
        <v>43.2</v>
      </c>
      <c r="J256">
        <v>42.6</v>
      </c>
      <c r="K256">
        <v>42.8</v>
      </c>
      <c r="L256">
        <v>42.7</v>
      </c>
      <c r="M256">
        <v>42.2</v>
      </c>
      <c r="N256">
        <v>42</v>
      </c>
      <c r="O256">
        <v>42.4</v>
      </c>
      <c r="P256">
        <v>42.8</v>
      </c>
      <c r="Q256">
        <v>42.4</v>
      </c>
      <c r="R256">
        <v>42</v>
      </c>
      <c r="S256">
        <v>41.4</v>
      </c>
      <c r="T256">
        <v>41.6</v>
      </c>
      <c r="U256">
        <v>41.5</v>
      </c>
      <c r="V256">
        <v>41.5</v>
      </c>
      <c r="W256">
        <v>40.799999999999997</v>
      </c>
      <c r="X256">
        <v>40.9</v>
      </c>
      <c r="Y256">
        <v>40.799999999999997</v>
      </c>
      <c r="Z256">
        <v>41.5</v>
      </c>
      <c r="AA256">
        <v>42.2</v>
      </c>
      <c r="AB256">
        <v>42.6</v>
      </c>
      <c r="AC256">
        <v>42.7</v>
      </c>
      <c r="AD256">
        <v>43</v>
      </c>
      <c r="AE256">
        <v>42.8</v>
      </c>
      <c r="AF256">
        <v>42.5</v>
      </c>
      <c r="AG256">
        <v>43.1</v>
      </c>
      <c r="AH256">
        <v>43.6</v>
      </c>
      <c r="AI256">
        <v>43.6</v>
      </c>
      <c r="AJ256">
        <v>43.4</v>
      </c>
      <c r="AK256">
        <v>43.7</v>
      </c>
      <c r="AL256">
        <v>45.4</v>
      </c>
      <c r="AM256">
        <v>45.3</v>
      </c>
      <c r="AN256">
        <v>45.2</v>
      </c>
      <c r="AO256">
        <v>45.6</v>
      </c>
      <c r="AP256">
        <v>45.9</v>
      </c>
      <c r="AQ256">
        <v>45.3</v>
      </c>
      <c r="AR256">
        <v>45.3</v>
      </c>
      <c r="AS256">
        <v>45.6</v>
      </c>
      <c r="AT256">
        <v>45.9</v>
      </c>
      <c r="AU256">
        <v>45.6</v>
      </c>
      <c r="AV256">
        <v>45.9</v>
      </c>
      <c r="AW256">
        <v>45.8</v>
      </c>
      <c r="AX256">
        <v>46.5</v>
      </c>
      <c r="AY256">
        <v>46.8</v>
      </c>
      <c r="AZ256">
        <v>46.2</v>
      </c>
      <c r="BA256">
        <v>46.2</v>
      </c>
      <c r="BB256">
        <v>46.1</v>
      </c>
      <c r="BC256">
        <v>45.4</v>
      </c>
      <c r="BD256">
        <v>46.3</v>
      </c>
      <c r="BE256">
        <v>46.2</v>
      </c>
      <c r="BF256">
        <v>46.1</v>
      </c>
      <c r="BG256">
        <v>47</v>
      </c>
      <c r="BH256">
        <v>46.7</v>
      </c>
      <c r="BI256">
        <v>46.5</v>
      </c>
      <c r="BJ256">
        <v>46.4</v>
      </c>
      <c r="BK256">
        <v>46.9</v>
      </c>
      <c r="BL256">
        <v>47</v>
      </c>
      <c r="BM256">
        <v>45.5</v>
      </c>
      <c r="BN256">
        <v>45.7</v>
      </c>
      <c r="BO256">
        <v>46.8</v>
      </c>
      <c r="BP256">
        <v>46.8</v>
      </c>
    </row>
    <row r="257" spans="1:69" x14ac:dyDescent="0.35">
      <c r="A257" t="s">
        <v>315</v>
      </c>
      <c r="B257" t="s">
        <v>158</v>
      </c>
      <c r="C257" t="s">
        <v>751</v>
      </c>
      <c r="D257" t="s">
        <v>752</v>
      </c>
      <c r="AQ257">
        <v>48.9</v>
      </c>
      <c r="AS257">
        <v>43.6</v>
      </c>
      <c r="AU257">
        <v>42</v>
      </c>
      <c r="AV257">
        <v>43.4</v>
      </c>
      <c r="BN257">
        <v>40.200000000000003</v>
      </c>
      <c r="BO257">
        <v>38.6</v>
      </c>
      <c r="BP257">
        <v>41.3</v>
      </c>
      <c r="BQ257">
        <v>41.5</v>
      </c>
    </row>
    <row r="258" spans="1:69" x14ac:dyDescent="0.35">
      <c r="A258" t="s">
        <v>55</v>
      </c>
      <c r="B258" t="s">
        <v>104</v>
      </c>
      <c r="C258" t="s">
        <v>751</v>
      </c>
      <c r="D258" t="s">
        <v>752</v>
      </c>
    </row>
    <row r="259" spans="1:69" x14ac:dyDescent="0.35">
      <c r="A259" t="s">
        <v>81</v>
      </c>
      <c r="B259" t="s">
        <v>324</v>
      </c>
      <c r="C259" t="s">
        <v>751</v>
      </c>
      <c r="D259" t="s">
        <v>752</v>
      </c>
      <c r="Z259">
        <v>59.9</v>
      </c>
      <c r="AF259">
        <v>58</v>
      </c>
      <c r="AH259">
        <v>48.7</v>
      </c>
      <c r="AK259">
        <v>47.7</v>
      </c>
      <c r="AN259">
        <v>51.9</v>
      </c>
      <c r="AQ259">
        <v>52.5</v>
      </c>
      <c r="AR259">
        <v>52.3</v>
      </c>
      <c r="AT259">
        <v>51.9</v>
      </c>
      <c r="AU259">
        <v>53.1</v>
      </c>
      <c r="AV259">
        <v>52</v>
      </c>
      <c r="AW259">
        <v>51.5</v>
      </c>
      <c r="AX259">
        <v>52.9</v>
      </c>
      <c r="AY259">
        <v>49.5</v>
      </c>
    </row>
    <row r="260" spans="1:69" x14ac:dyDescent="0.35">
      <c r="A260" t="s">
        <v>332</v>
      </c>
      <c r="B260" t="s">
        <v>595</v>
      </c>
      <c r="C260" t="s">
        <v>751</v>
      </c>
      <c r="D260" t="s">
        <v>752</v>
      </c>
    </row>
    <row r="261" spans="1:69" x14ac:dyDescent="0.35">
      <c r="A261" t="s">
        <v>436</v>
      </c>
      <c r="B261" t="s">
        <v>138</v>
      </c>
      <c r="C261" t="s">
        <v>751</v>
      </c>
      <c r="D261" t="s">
        <v>752</v>
      </c>
    </row>
    <row r="262" spans="1:69" x14ac:dyDescent="0.35">
      <c r="A262" t="s">
        <v>399</v>
      </c>
      <c r="B262" t="s">
        <v>636</v>
      </c>
      <c r="C262" t="s">
        <v>751</v>
      </c>
      <c r="D262" t="s">
        <v>752</v>
      </c>
      <c r="AK262">
        <v>44.1</v>
      </c>
      <c r="AP262">
        <v>44.2</v>
      </c>
      <c r="AU262">
        <v>45.4</v>
      </c>
      <c r="AW262">
        <v>44.5</v>
      </c>
      <c r="AY262">
        <v>43.2</v>
      </c>
      <c r="BA262">
        <v>43.5</v>
      </c>
      <c r="BC262">
        <v>46.3</v>
      </c>
      <c r="BE262">
        <v>43</v>
      </c>
      <c r="BG262">
        <v>42.2</v>
      </c>
      <c r="BI262">
        <v>42.5</v>
      </c>
      <c r="BK262">
        <v>42.9</v>
      </c>
      <c r="BM262">
        <v>43.9</v>
      </c>
      <c r="BO262">
        <v>43.2</v>
      </c>
    </row>
    <row r="263" spans="1:69" x14ac:dyDescent="0.35">
      <c r="A263" t="s">
        <v>633</v>
      </c>
      <c r="B263" t="s">
        <v>125</v>
      </c>
      <c r="C263" t="s">
        <v>751</v>
      </c>
      <c r="D263" t="s">
        <v>752</v>
      </c>
      <c r="BC263">
        <v>44.5</v>
      </c>
      <c r="BL263">
        <v>39.9</v>
      </c>
    </row>
    <row r="264" spans="1:69" x14ac:dyDescent="0.35">
      <c r="A264" t="s">
        <v>591</v>
      </c>
      <c r="B264" t="s">
        <v>717</v>
      </c>
      <c r="C264" t="s">
        <v>751</v>
      </c>
      <c r="D264" t="s">
        <v>752</v>
      </c>
    </row>
    <row r="265" spans="1:69" x14ac:dyDescent="0.35">
      <c r="A265" t="s">
        <v>185</v>
      </c>
      <c r="B265" t="s">
        <v>491</v>
      </c>
      <c r="C265" t="s">
        <v>751</v>
      </c>
      <c r="D265" t="s">
        <v>752</v>
      </c>
      <c r="AU265">
        <v>47.8</v>
      </c>
      <c r="BA265">
        <v>49.2</v>
      </c>
      <c r="BF265">
        <v>46.4</v>
      </c>
    </row>
    <row r="266" spans="1:69" x14ac:dyDescent="0.35">
      <c r="A266" t="s">
        <v>442</v>
      </c>
      <c r="B266" t="s">
        <v>218</v>
      </c>
      <c r="C266" t="s">
        <v>751</v>
      </c>
      <c r="D266" t="s">
        <v>752</v>
      </c>
      <c r="AV266">
        <v>38</v>
      </c>
      <c r="AX266">
        <v>39.700000000000003</v>
      </c>
      <c r="AY266">
        <v>39.1</v>
      </c>
      <c r="BB266">
        <v>40.200000000000003</v>
      </c>
      <c r="BC266">
        <v>41.5</v>
      </c>
      <c r="BD266">
        <v>37.1</v>
      </c>
      <c r="BE266">
        <v>37.9</v>
      </c>
      <c r="BF266">
        <v>36.200000000000003</v>
      </c>
      <c r="BG266">
        <v>36.5</v>
      </c>
      <c r="BH266">
        <v>36.1</v>
      </c>
      <c r="BI266">
        <v>36.299999999999997</v>
      </c>
      <c r="BJ266">
        <v>47.8</v>
      </c>
      <c r="BK266">
        <v>47.6</v>
      </c>
      <c r="BL266">
        <v>44.8</v>
      </c>
      <c r="BM266">
        <v>60.1</v>
      </c>
      <c r="BN266">
        <v>51.1</v>
      </c>
      <c r="BO266">
        <v>42.4</v>
      </c>
    </row>
    <row r="267" spans="1:69" x14ac:dyDescent="0.35">
      <c r="A267" t="s">
        <v>700</v>
      </c>
      <c r="B267" t="s">
        <v>16</v>
      </c>
      <c r="C267" t="s">
        <v>751</v>
      </c>
      <c r="D267" t="s">
        <v>752</v>
      </c>
      <c r="AQ267">
        <v>42.4</v>
      </c>
      <c r="AX267">
        <v>43.2</v>
      </c>
      <c r="BG267">
        <v>44.7</v>
      </c>
    </row>
    <row r="268" spans="1:69" x14ac:dyDescent="0.35">
      <c r="A268" t="s">
        <v>493</v>
      </c>
      <c r="B268" t="s">
        <v>397</v>
      </c>
      <c r="C268" t="s">
        <v>751</v>
      </c>
      <c r="D268" t="s">
        <v>752</v>
      </c>
      <c r="AL268">
        <v>64.3</v>
      </c>
      <c r="AS268">
        <v>62.7</v>
      </c>
      <c r="AX268">
        <v>71</v>
      </c>
      <c r="BA268">
        <v>68.7</v>
      </c>
      <c r="BC268">
        <v>68.900000000000006</v>
      </c>
      <c r="BG268">
        <v>68.2</v>
      </c>
    </row>
    <row r="269" spans="1:69" x14ac:dyDescent="0.35">
      <c r="A269" t="s">
        <v>9</v>
      </c>
      <c r="B269" t="s">
        <v>437</v>
      </c>
      <c r="C269" t="s">
        <v>751</v>
      </c>
      <c r="D269" t="s">
        <v>752</v>
      </c>
      <c r="AJ269">
        <v>61.4</v>
      </c>
      <c r="AL269">
        <v>56.6</v>
      </c>
      <c r="AO269">
        <v>53.6</v>
      </c>
      <c r="AQ269">
        <v>54.2</v>
      </c>
      <c r="AU269">
        <v>48.8</v>
      </c>
      <c r="AW269">
        <v>59</v>
      </c>
      <c r="AY269">
        <v>59.4</v>
      </c>
      <c r="BC269">
        <v>57.5</v>
      </c>
      <c r="BH269">
        <v>60.2</v>
      </c>
      <c r="BO269">
        <v>56.4</v>
      </c>
    </row>
    <row r="270" spans="1:69" x14ac:dyDescent="0.35">
      <c r="A270" t="s">
        <v>741</v>
      </c>
      <c r="B270" t="s">
        <v>350</v>
      </c>
      <c r="C270" t="s">
        <v>751</v>
      </c>
      <c r="D270" t="s">
        <v>752</v>
      </c>
      <c r="BD270">
        <v>49.7</v>
      </c>
      <c r="BJ270">
        <v>51.1</v>
      </c>
      <c r="BL270">
        <v>56.1</v>
      </c>
    </row>
  </sheetData>
  <pageMargins left="0.7" right="0.7" top="0.75" bottom="0.75" header="0.3" footer="0.3"/>
  <headerFooter alignWithMargins="0">
    <oddFooter>&amp;L_x000D_&amp;1#&amp;"Aptos"&amp;10&amp;K000000 LUT Group Confidential - Other information (3Y)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84CFD-2CDC-4FB2-826A-CAAD850EC1C2}">
  <dimension ref="A1:BQ270"/>
  <sheetViews>
    <sheetView workbookViewId="0"/>
  </sheetViews>
  <sheetFormatPr defaultRowHeight="14.5" x14ac:dyDescent="0.35"/>
  <cols>
    <col min="1" max="1" width="60.1796875" bestFit="1" customWidth="1"/>
    <col min="2" max="2" width="25.6328125" bestFit="1" customWidth="1"/>
    <col min="3" max="3" width="28.36328125" bestFit="1" customWidth="1"/>
    <col min="4" max="4" width="13.1796875" bestFit="1" customWidth="1"/>
    <col min="5" max="69" width="5" bestFit="1" customWidth="1"/>
  </cols>
  <sheetData>
    <row r="1" spans="1:69" x14ac:dyDescent="0.35">
      <c r="A1" t="s">
        <v>642</v>
      </c>
      <c r="B1" t="s">
        <v>413</v>
      </c>
    </row>
    <row r="2" spans="1:69" x14ac:dyDescent="0.35">
      <c r="A2" t="s">
        <v>66</v>
      </c>
      <c r="B2" s="2">
        <v>46007</v>
      </c>
    </row>
    <row r="4" spans="1:69" x14ac:dyDescent="0.35">
      <c r="A4" t="s">
        <v>720</v>
      </c>
      <c r="B4" t="s">
        <v>487</v>
      </c>
      <c r="C4" t="s">
        <v>231</v>
      </c>
      <c r="D4" t="s">
        <v>728</v>
      </c>
      <c r="E4" t="s">
        <v>658</v>
      </c>
      <c r="F4" t="s">
        <v>136</v>
      </c>
      <c r="G4" t="s">
        <v>193</v>
      </c>
      <c r="H4" t="s">
        <v>261</v>
      </c>
      <c r="I4" t="s">
        <v>323</v>
      </c>
      <c r="J4" t="s">
        <v>548</v>
      </c>
      <c r="K4" t="s">
        <v>602</v>
      </c>
      <c r="L4" t="s">
        <v>661</v>
      </c>
      <c r="M4" t="s">
        <v>712</v>
      </c>
      <c r="N4" t="s">
        <v>195</v>
      </c>
      <c r="O4" t="s">
        <v>727</v>
      </c>
      <c r="P4" t="s">
        <v>38</v>
      </c>
      <c r="Q4" t="s">
        <v>281</v>
      </c>
      <c r="R4" t="s">
        <v>337</v>
      </c>
      <c r="S4" t="s">
        <v>391</v>
      </c>
      <c r="T4" t="s">
        <v>447</v>
      </c>
      <c r="U4" t="s">
        <v>678</v>
      </c>
      <c r="V4" t="s">
        <v>733</v>
      </c>
      <c r="W4" t="s">
        <v>45</v>
      </c>
      <c r="X4" t="s">
        <v>116</v>
      </c>
      <c r="Y4" t="s">
        <v>62</v>
      </c>
      <c r="Z4" t="s">
        <v>133</v>
      </c>
      <c r="AA4" t="s">
        <v>186</v>
      </c>
      <c r="AB4" t="s">
        <v>403</v>
      </c>
      <c r="AC4" t="s">
        <v>464</v>
      </c>
      <c r="AD4" t="s">
        <v>544</v>
      </c>
      <c r="AE4" t="s">
        <v>598</v>
      </c>
      <c r="AF4" t="s">
        <v>67</v>
      </c>
      <c r="AG4" t="s">
        <v>137</v>
      </c>
      <c r="AH4" t="s">
        <v>194</v>
      </c>
      <c r="AI4" t="s">
        <v>148</v>
      </c>
      <c r="AJ4" t="s">
        <v>204</v>
      </c>
      <c r="AK4" t="s">
        <v>275</v>
      </c>
      <c r="AL4" t="s">
        <v>334</v>
      </c>
      <c r="AM4" t="s">
        <v>558</v>
      </c>
      <c r="AN4" t="s">
        <v>610</v>
      </c>
      <c r="AO4" t="s">
        <v>676</v>
      </c>
      <c r="AP4" t="s">
        <v>729</v>
      </c>
      <c r="AQ4" t="s">
        <v>211</v>
      </c>
      <c r="AR4" t="s">
        <v>282</v>
      </c>
      <c r="AS4" t="s">
        <v>579</v>
      </c>
      <c r="AT4" t="s">
        <v>631</v>
      </c>
      <c r="AU4" t="s">
        <v>107</v>
      </c>
      <c r="AV4" t="s">
        <v>173</v>
      </c>
      <c r="AW4" t="s">
        <v>236</v>
      </c>
      <c r="AX4" t="s">
        <v>308</v>
      </c>
      <c r="AY4" t="s">
        <v>523</v>
      </c>
      <c r="AZ4" t="s">
        <v>584</v>
      </c>
      <c r="BA4" t="s">
        <v>638</v>
      </c>
      <c r="BB4" t="s">
        <v>110</v>
      </c>
      <c r="BC4" t="s">
        <v>647</v>
      </c>
      <c r="BD4" t="s">
        <v>701</v>
      </c>
      <c r="BE4" t="s">
        <v>19</v>
      </c>
      <c r="BF4" t="s">
        <v>252</v>
      </c>
      <c r="BG4" t="s">
        <v>319</v>
      </c>
      <c r="BH4" t="s">
        <v>371</v>
      </c>
      <c r="BI4" t="s">
        <v>428</v>
      </c>
      <c r="BJ4" t="s">
        <v>652</v>
      </c>
      <c r="BK4" t="s">
        <v>705</v>
      </c>
      <c r="BL4" t="s">
        <v>23</v>
      </c>
      <c r="BM4" t="s">
        <v>719</v>
      </c>
      <c r="BN4" t="s">
        <v>34</v>
      </c>
      <c r="BO4" t="s">
        <v>103</v>
      </c>
      <c r="BP4" t="s">
        <v>171</v>
      </c>
      <c r="BQ4" t="s">
        <v>385</v>
      </c>
    </row>
    <row r="5" spans="1:69" x14ac:dyDescent="0.35">
      <c r="A5" t="s">
        <v>529</v>
      </c>
      <c r="B5" t="s">
        <v>12</v>
      </c>
      <c r="C5" t="s">
        <v>753</v>
      </c>
      <c r="D5" t="s">
        <v>754</v>
      </c>
    </row>
    <row r="6" spans="1:69" x14ac:dyDescent="0.35">
      <c r="A6" t="s">
        <v>542</v>
      </c>
      <c r="B6" t="s">
        <v>511</v>
      </c>
      <c r="C6" t="s">
        <v>753</v>
      </c>
      <c r="D6" t="s">
        <v>754</v>
      </c>
    </row>
    <row r="7" spans="1:69" x14ac:dyDescent="0.35">
      <c r="A7" t="s">
        <v>336</v>
      </c>
      <c r="B7" t="s">
        <v>628</v>
      </c>
      <c r="C7" t="s">
        <v>753</v>
      </c>
      <c r="D7" t="s">
        <v>754</v>
      </c>
    </row>
    <row r="8" spans="1:69" x14ac:dyDescent="0.35">
      <c r="A8" t="s">
        <v>706</v>
      </c>
      <c r="B8" t="s">
        <v>177</v>
      </c>
      <c r="C8" t="s">
        <v>753</v>
      </c>
      <c r="D8" t="s">
        <v>754</v>
      </c>
    </row>
    <row r="9" spans="1:69" x14ac:dyDescent="0.35">
      <c r="A9" t="s">
        <v>326</v>
      </c>
      <c r="B9" t="s">
        <v>18</v>
      </c>
      <c r="C9" t="s">
        <v>753</v>
      </c>
      <c r="D9" t="s">
        <v>754</v>
      </c>
      <c r="AS9">
        <v>40.200000000000003</v>
      </c>
      <c r="BA9">
        <v>32.299999999999997</v>
      </c>
      <c r="BK9">
        <v>39.6</v>
      </c>
    </row>
    <row r="10" spans="1:69" x14ac:dyDescent="0.35">
      <c r="A10" t="s">
        <v>207</v>
      </c>
      <c r="B10" t="s">
        <v>462</v>
      </c>
      <c r="C10" t="s">
        <v>753</v>
      </c>
      <c r="D10" t="s">
        <v>754</v>
      </c>
      <c r="AO10">
        <v>20.7</v>
      </c>
      <c r="AU10">
        <v>25.3</v>
      </c>
      <c r="AX10">
        <v>24.3</v>
      </c>
      <c r="BA10">
        <v>24.4</v>
      </c>
      <c r="BE10">
        <v>22.9</v>
      </c>
      <c r="BG10">
        <v>25.5</v>
      </c>
      <c r="BH10">
        <v>24.8</v>
      </c>
      <c r="BI10">
        <v>25</v>
      </c>
      <c r="BJ10">
        <v>24.6</v>
      </c>
      <c r="BK10">
        <v>22.7</v>
      </c>
      <c r="BL10">
        <v>23.6</v>
      </c>
      <c r="BM10">
        <v>22.8</v>
      </c>
    </row>
    <row r="11" spans="1:69" x14ac:dyDescent="0.35">
      <c r="A11" t="s">
        <v>351</v>
      </c>
      <c r="B11" t="s">
        <v>738</v>
      </c>
      <c r="C11" t="s">
        <v>753</v>
      </c>
      <c r="D11" t="s">
        <v>754</v>
      </c>
    </row>
    <row r="12" spans="1:69" x14ac:dyDescent="0.35">
      <c r="A12" t="s">
        <v>115</v>
      </c>
      <c r="B12" t="s">
        <v>618</v>
      </c>
      <c r="C12" t="s">
        <v>753</v>
      </c>
      <c r="D12" t="s">
        <v>754</v>
      </c>
    </row>
    <row r="13" spans="1:69" x14ac:dyDescent="0.35">
      <c r="A13" t="s">
        <v>46</v>
      </c>
      <c r="B13" t="s">
        <v>217</v>
      </c>
      <c r="C13" t="s">
        <v>753</v>
      </c>
      <c r="D13" t="s">
        <v>754</v>
      </c>
      <c r="BF13">
        <v>21.4</v>
      </c>
      <c r="BK13">
        <v>20.5</v>
      </c>
    </row>
    <row r="14" spans="1:69" x14ac:dyDescent="0.35">
      <c r="A14" t="s">
        <v>318</v>
      </c>
      <c r="B14" t="s">
        <v>500</v>
      </c>
      <c r="C14" t="s">
        <v>753</v>
      </c>
      <c r="D14" t="s">
        <v>754</v>
      </c>
      <c r="Y14">
        <v>30.2</v>
      </c>
      <c r="AE14">
        <v>32.200000000000003</v>
      </c>
      <c r="AF14">
        <v>34.200000000000003</v>
      </c>
      <c r="AJ14">
        <v>36.6</v>
      </c>
      <c r="AK14">
        <v>34.299999999999997</v>
      </c>
      <c r="AL14">
        <v>33.200000000000003</v>
      </c>
      <c r="AM14">
        <v>34.4</v>
      </c>
      <c r="AN14">
        <v>37</v>
      </c>
      <c r="AO14">
        <v>36.9</v>
      </c>
      <c r="AP14">
        <v>36.4</v>
      </c>
      <c r="AQ14">
        <v>38</v>
      </c>
      <c r="AR14">
        <v>37</v>
      </c>
      <c r="AS14">
        <v>37.700000000000003</v>
      </c>
      <c r="AT14">
        <v>39.5</v>
      </c>
      <c r="AU14">
        <v>40.5</v>
      </c>
      <c r="AV14">
        <v>37.700000000000003</v>
      </c>
      <c r="AW14">
        <v>35.299999999999997</v>
      </c>
      <c r="AX14">
        <v>35</v>
      </c>
      <c r="AY14">
        <v>33.799999999999997</v>
      </c>
      <c r="AZ14">
        <v>33.700000000000003</v>
      </c>
      <c r="BA14">
        <v>32.5</v>
      </c>
      <c r="BB14">
        <v>31.3</v>
      </c>
      <c r="BC14">
        <v>31.8</v>
      </c>
      <c r="BD14">
        <v>31</v>
      </c>
      <c r="BE14">
        <v>29.8</v>
      </c>
      <c r="BF14">
        <v>29.5</v>
      </c>
      <c r="BG14">
        <v>30.1</v>
      </c>
      <c r="BI14">
        <v>30.7</v>
      </c>
      <c r="BJ14">
        <v>30</v>
      </c>
      <c r="BK14">
        <v>30.1</v>
      </c>
      <c r="BL14">
        <v>31.3</v>
      </c>
      <c r="BM14">
        <v>30.6</v>
      </c>
      <c r="BN14">
        <v>31.2</v>
      </c>
      <c r="BO14">
        <v>29.8</v>
      </c>
      <c r="BP14">
        <v>31</v>
      </c>
      <c r="BQ14">
        <v>31.2</v>
      </c>
    </row>
    <row r="15" spans="1:69" x14ac:dyDescent="0.35">
      <c r="A15" t="s">
        <v>89</v>
      </c>
      <c r="B15" t="s">
        <v>293</v>
      </c>
      <c r="C15" t="s">
        <v>753</v>
      </c>
      <c r="D15" t="s">
        <v>754</v>
      </c>
      <c r="AO15">
        <v>35.200000000000003</v>
      </c>
      <c r="AR15">
        <v>29.6</v>
      </c>
      <c r="AT15">
        <v>29.1</v>
      </c>
      <c r="AU15">
        <v>29</v>
      </c>
      <c r="AV15">
        <v>28.2</v>
      </c>
      <c r="AW15">
        <v>31.7</v>
      </c>
      <c r="AX15">
        <v>30.8</v>
      </c>
      <c r="AY15">
        <v>24.4</v>
      </c>
      <c r="AZ15">
        <v>25.1</v>
      </c>
      <c r="BA15">
        <v>23.7</v>
      </c>
      <c r="BB15">
        <v>22.9</v>
      </c>
      <c r="BC15">
        <v>25</v>
      </c>
      <c r="BD15">
        <v>24</v>
      </c>
      <c r="BE15">
        <v>24.5</v>
      </c>
      <c r="BF15">
        <v>24.7</v>
      </c>
      <c r="BG15">
        <v>25.7</v>
      </c>
      <c r="BH15">
        <v>26.7</v>
      </c>
      <c r="BI15">
        <v>25.3</v>
      </c>
      <c r="BJ15">
        <v>28.4</v>
      </c>
      <c r="BK15">
        <v>29.2</v>
      </c>
      <c r="BL15">
        <v>25.2</v>
      </c>
      <c r="BM15">
        <v>21.5</v>
      </c>
      <c r="BN15">
        <v>23.6</v>
      </c>
      <c r="BO15">
        <v>23</v>
      </c>
      <c r="BP15">
        <v>22.9</v>
      </c>
    </row>
    <row r="16" spans="1:69" x14ac:dyDescent="0.35">
      <c r="A16" t="s">
        <v>112</v>
      </c>
      <c r="B16" t="s">
        <v>360</v>
      </c>
      <c r="C16" t="s">
        <v>753</v>
      </c>
      <c r="D16" t="s">
        <v>754</v>
      </c>
    </row>
    <row r="17" spans="1:68" x14ac:dyDescent="0.35">
      <c r="A17" t="s">
        <v>417</v>
      </c>
      <c r="B17" t="s">
        <v>499</v>
      </c>
      <c r="C17" t="s">
        <v>753</v>
      </c>
      <c r="D17" t="s">
        <v>754</v>
      </c>
    </row>
    <row r="18" spans="1:68" x14ac:dyDescent="0.35">
      <c r="A18" t="s">
        <v>439</v>
      </c>
      <c r="B18" t="s">
        <v>309</v>
      </c>
      <c r="C18" t="s">
        <v>753</v>
      </c>
      <c r="D18" t="s">
        <v>754</v>
      </c>
      <c r="Z18">
        <v>22.9</v>
      </c>
      <c r="AD18">
        <v>24.3</v>
      </c>
      <c r="AH18">
        <v>24.2</v>
      </c>
      <c r="AN18">
        <v>24.2</v>
      </c>
      <c r="AT18">
        <v>24.7</v>
      </c>
      <c r="AV18">
        <v>24.7</v>
      </c>
      <c r="AW18">
        <v>24.9</v>
      </c>
      <c r="BA18">
        <v>27.4</v>
      </c>
      <c r="BC18">
        <v>26.5</v>
      </c>
      <c r="BG18">
        <v>26.6</v>
      </c>
      <c r="BI18">
        <v>25.5</v>
      </c>
      <c r="BK18">
        <v>26.2</v>
      </c>
      <c r="BM18">
        <v>25.5</v>
      </c>
    </row>
    <row r="19" spans="1:68" x14ac:dyDescent="0.35">
      <c r="A19" t="s">
        <v>63</v>
      </c>
      <c r="B19" t="s">
        <v>361</v>
      </c>
      <c r="C19" t="s">
        <v>753</v>
      </c>
      <c r="D19" t="s">
        <v>754</v>
      </c>
      <c r="AM19">
        <v>23.6</v>
      </c>
      <c r="AN19">
        <v>23</v>
      </c>
      <c r="AO19">
        <v>22.8</v>
      </c>
      <c r="AP19">
        <v>22.4</v>
      </c>
      <c r="AQ19">
        <v>24.6</v>
      </c>
      <c r="AR19">
        <v>23.4</v>
      </c>
      <c r="AS19">
        <v>22.6</v>
      </c>
      <c r="AV19">
        <v>23.5</v>
      </c>
      <c r="AW19">
        <v>23.8</v>
      </c>
      <c r="AX19">
        <v>22.8</v>
      </c>
      <c r="AY19">
        <v>23.7</v>
      </c>
      <c r="AZ19">
        <v>23.8</v>
      </c>
      <c r="BA19">
        <v>24.1</v>
      </c>
      <c r="BB19">
        <v>24.7</v>
      </c>
      <c r="BC19">
        <v>23.6</v>
      </c>
      <c r="BD19">
        <v>23.7</v>
      </c>
      <c r="BE19">
        <v>23.4</v>
      </c>
      <c r="BF19">
        <v>24.3</v>
      </c>
      <c r="BG19">
        <v>24.1</v>
      </c>
      <c r="BH19">
        <v>23.8</v>
      </c>
      <c r="BI19">
        <v>23.8</v>
      </c>
      <c r="BJ19">
        <v>23</v>
      </c>
      <c r="BK19">
        <v>23.9</v>
      </c>
      <c r="BL19">
        <v>23.2</v>
      </c>
      <c r="BM19">
        <v>23.1</v>
      </c>
      <c r="BN19">
        <v>23.8</v>
      </c>
      <c r="BO19">
        <v>24.6</v>
      </c>
      <c r="BP19">
        <v>24.8</v>
      </c>
    </row>
    <row r="20" spans="1:68" x14ac:dyDescent="0.35">
      <c r="A20" t="s">
        <v>537</v>
      </c>
      <c r="B20" t="s">
        <v>528</v>
      </c>
      <c r="C20" t="s">
        <v>753</v>
      </c>
      <c r="D20" t="s">
        <v>754</v>
      </c>
      <c r="AN20">
        <v>26.8</v>
      </c>
      <c r="AT20">
        <v>29.5</v>
      </c>
      <c r="AU20">
        <v>23.2</v>
      </c>
      <c r="AV20">
        <v>23.6</v>
      </c>
      <c r="AW20">
        <v>24.4</v>
      </c>
      <c r="AX20">
        <v>24.2</v>
      </c>
    </row>
    <row r="21" spans="1:68" x14ac:dyDescent="0.35">
      <c r="A21" t="s">
        <v>477</v>
      </c>
      <c r="B21" t="s">
        <v>550</v>
      </c>
      <c r="C21" t="s">
        <v>753</v>
      </c>
      <c r="D21" t="s">
        <v>754</v>
      </c>
      <c r="AK21">
        <v>26.6</v>
      </c>
      <c r="AQ21">
        <v>32.5</v>
      </c>
      <c r="AY21">
        <v>28</v>
      </c>
      <c r="BF21">
        <v>31</v>
      </c>
      <c r="BM21">
        <v>29.9</v>
      </c>
    </row>
    <row r="22" spans="1:68" x14ac:dyDescent="0.35">
      <c r="A22" t="s">
        <v>643</v>
      </c>
      <c r="B22" t="s">
        <v>48</v>
      </c>
      <c r="C22" t="s">
        <v>753</v>
      </c>
      <c r="D22" t="s">
        <v>754</v>
      </c>
      <c r="AD22">
        <v>20.3</v>
      </c>
      <c r="AG22">
        <v>20.7</v>
      </c>
      <c r="AK22">
        <v>19.8</v>
      </c>
      <c r="AN22">
        <v>22.5</v>
      </c>
      <c r="AP22">
        <v>21.2</v>
      </c>
      <c r="AS22">
        <v>28</v>
      </c>
      <c r="AV22">
        <v>22.2</v>
      </c>
      <c r="AW22">
        <v>25.1</v>
      </c>
      <c r="AX22">
        <v>23.9</v>
      </c>
      <c r="AY22">
        <v>22.4</v>
      </c>
      <c r="AZ22">
        <v>23.5</v>
      </c>
      <c r="BA22">
        <v>22.7</v>
      </c>
      <c r="BB22">
        <v>22.7</v>
      </c>
      <c r="BC22">
        <v>22.7</v>
      </c>
      <c r="BD22">
        <v>22.3</v>
      </c>
      <c r="BE22">
        <v>21.9</v>
      </c>
      <c r="BF22">
        <v>21.8</v>
      </c>
      <c r="BG22">
        <v>22.4</v>
      </c>
      <c r="BH22">
        <v>22.2</v>
      </c>
      <c r="BI22">
        <v>22.2</v>
      </c>
      <c r="BJ22">
        <v>21.9</v>
      </c>
      <c r="BK22">
        <v>22.2</v>
      </c>
      <c r="BL22">
        <v>22.3</v>
      </c>
      <c r="BM22">
        <v>21.4</v>
      </c>
      <c r="BN22">
        <v>21.9</v>
      </c>
      <c r="BO22">
        <v>22.2</v>
      </c>
      <c r="BP22">
        <v>22.2</v>
      </c>
    </row>
    <row r="23" spans="1:68" x14ac:dyDescent="0.35">
      <c r="A23" t="s">
        <v>629</v>
      </c>
      <c r="B23" t="s">
        <v>343</v>
      </c>
      <c r="C23" t="s">
        <v>753</v>
      </c>
      <c r="D23" t="s">
        <v>754</v>
      </c>
      <c r="AV23">
        <v>31.1</v>
      </c>
      <c r="BD23">
        <v>34.5</v>
      </c>
      <c r="BH23">
        <v>37.6</v>
      </c>
      <c r="BK23">
        <v>30</v>
      </c>
      <c r="BN23">
        <v>27.2</v>
      </c>
    </row>
    <row r="24" spans="1:68" x14ac:dyDescent="0.35">
      <c r="A24" t="s">
        <v>120</v>
      </c>
      <c r="B24" t="s">
        <v>463</v>
      </c>
      <c r="C24" t="s">
        <v>753</v>
      </c>
      <c r="D24" t="s">
        <v>754</v>
      </c>
      <c r="AM24">
        <v>39.4</v>
      </c>
      <c r="AQ24">
        <v>42.7</v>
      </c>
      <c r="AV24">
        <v>33.799999999999997</v>
      </c>
      <c r="BB24">
        <v>32</v>
      </c>
      <c r="BG24">
        <v>29.6</v>
      </c>
      <c r="BK24">
        <v>35.299999999999997</v>
      </c>
      <c r="BN24">
        <v>30.2</v>
      </c>
    </row>
    <row r="25" spans="1:68" x14ac:dyDescent="0.35">
      <c r="A25" t="s">
        <v>39</v>
      </c>
      <c r="B25" t="s">
        <v>152</v>
      </c>
      <c r="C25" t="s">
        <v>753</v>
      </c>
      <c r="D25" t="s">
        <v>754</v>
      </c>
      <c r="AB25">
        <v>21.9</v>
      </c>
      <c r="AD25">
        <v>23.4</v>
      </c>
      <c r="AG25">
        <v>24.6</v>
      </c>
      <c r="AJ25">
        <v>23.3</v>
      </c>
      <c r="AN25">
        <v>28.1</v>
      </c>
      <c r="AS25">
        <v>27.9</v>
      </c>
      <c r="AX25">
        <v>28</v>
      </c>
      <c r="BC25">
        <v>26.9</v>
      </c>
      <c r="BI25">
        <v>26.8</v>
      </c>
      <c r="BO25">
        <v>25.5</v>
      </c>
    </row>
    <row r="26" spans="1:68" x14ac:dyDescent="0.35">
      <c r="A26" t="s">
        <v>608</v>
      </c>
      <c r="B26" t="s">
        <v>154</v>
      </c>
      <c r="C26" t="s">
        <v>753</v>
      </c>
      <c r="D26" t="s">
        <v>754</v>
      </c>
      <c r="AH26">
        <v>20</v>
      </c>
      <c r="AK26">
        <v>24.7</v>
      </c>
      <c r="AM26">
        <v>21</v>
      </c>
      <c r="AN26">
        <v>26.3</v>
      </c>
      <c r="AP26">
        <v>22.8</v>
      </c>
      <c r="AT26">
        <v>24.9</v>
      </c>
      <c r="AV26">
        <v>23.6</v>
      </c>
      <c r="AY26">
        <v>26.6</v>
      </c>
      <c r="AZ26">
        <v>27.9</v>
      </c>
      <c r="BA26">
        <v>25.7</v>
      </c>
      <c r="BB26">
        <v>25.7</v>
      </c>
      <c r="BC26">
        <v>26.9</v>
      </c>
      <c r="BD26">
        <v>26</v>
      </c>
      <c r="BE26">
        <v>27.4</v>
      </c>
      <c r="BF26">
        <v>27.6</v>
      </c>
      <c r="BG26">
        <v>28.8</v>
      </c>
      <c r="BH26">
        <v>28.7</v>
      </c>
      <c r="BI26">
        <v>31.4</v>
      </c>
      <c r="BJ26">
        <v>31.9</v>
      </c>
      <c r="BK26">
        <v>32.6</v>
      </c>
      <c r="BL26">
        <v>31.4</v>
      </c>
      <c r="BM26">
        <v>32.6</v>
      </c>
      <c r="BN26">
        <v>29.9</v>
      </c>
      <c r="BO26">
        <v>30.1</v>
      </c>
      <c r="BP26">
        <v>31.1</v>
      </c>
    </row>
    <row r="27" spans="1:68" x14ac:dyDescent="0.35">
      <c r="A27" t="s">
        <v>372</v>
      </c>
      <c r="B27" t="s">
        <v>71</v>
      </c>
      <c r="C27" t="s">
        <v>753</v>
      </c>
      <c r="D27" t="s">
        <v>754</v>
      </c>
    </row>
    <row r="28" spans="1:68" x14ac:dyDescent="0.35">
      <c r="A28" t="s">
        <v>169</v>
      </c>
      <c r="B28" t="s">
        <v>302</v>
      </c>
      <c r="C28" t="s">
        <v>753</v>
      </c>
      <c r="D28" t="s">
        <v>754</v>
      </c>
    </row>
    <row r="29" spans="1:68" x14ac:dyDescent="0.35">
      <c r="A29" t="s">
        <v>398</v>
      </c>
      <c r="B29" t="s">
        <v>556</v>
      </c>
      <c r="C29" t="s">
        <v>753</v>
      </c>
      <c r="D29" t="s">
        <v>754</v>
      </c>
      <c r="AT29">
        <v>24.7</v>
      </c>
      <c r="AW29">
        <v>26.4</v>
      </c>
      <c r="AZ29">
        <v>25.1</v>
      </c>
      <c r="BD29">
        <v>25.1</v>
      </c>
    </row>
    <row r="30" spans="1:68" x14ac:dyDescent="0.35">
      <c r="A30" t="s">
        <v>590</v>
      </c>
      <c r="B30" t="s">
        <v>226</v>
      </c>
      <c r="C30" t="s">
        <v>753</v>
      </c>
      <c r="D30" t="s">
        <v>754</v>
      </c>
      <c r="AL30">
        <v>19.399999999999999</v>
      </c>
      <c r="AN30">
        <v>22.6</v>
      </c>
      <c r="AQ30">
        <v>24.9</v>
      </c>
      <c r="AR30">
        <v>24</v>
      </c>
      <c r="AS30">
        <v>24</v>
      </c>
      <c r="AT30">
        <v>24</v>
      </c>
      <c r="AU30">
        <v>24</v>
      </c>
      <c r="AV30">
        <v>22.6</v>
      </c>
      <c r="AW30">
        <v>21.3</v>
      </c>
      <c r="AX30">
        <v>21.8</v>
      </c>
      <c r="AY30">
        <v>22.4</v>
      </c>
      <c r="AZ30">
        <v>23.6</v>
      </c>
      <c r="BA30">
        <v>22.3</v>
      </c>
      <c r="BB30">
        <v>22.6</v>
      </c>
      <c r="BC30">
        <v>22.8</v>
      </c>
      <c r="BD30">
        <v>21.9</v>
      </c>
      <c r="BE30">
        <v>21.8</v>
      </c>
      <c r="BF30">
        <v>22.1</v>
      </c>
      <c r="BG30">
        <v>22.6</v>
      </c>
      <c r="BH30">
        <v>21.2</v>
      </c>
      <c r="BI30">
        <v>21.3</v>
      </c>
      <c r="BJ30">
        <v>21.3</v>
      </c>
      <c r="BK30">
        <v>21.4</v>
      </c>
      <c r="BL30">
        <v>21.3</v>
      </c>
      <c r="BM30">
        <v>20.7</v>
      </c>
    </row>
    <row r="31" spans="1:68" x14ac:dyDescent="0.35">
      <c r="A31" t="s">
        <v>322</v>
      </c>
      <c r="B31" t="s">
        <v>299</v>
      </c>
      <c r="C31" t="s">
        <v>753</v>
      </c>
      <c r="D31" t="s">
        <v>754</v>
      </c>
      <c r="AL31">
        <v>51.1</v>
      </c>
      <c r="AM31">
        <v>52.5</v>
      </c>
      <c r="AN31">
        <v>44.1</v>
      </c>
      <c r="AO31">
        <v>46.5</v>
      </c>
      <c r="AP31">
        <v>50.3</v>
      </c>
      <c r="AQ31">
        <v>43.7</v>
      </c>
      <c r="AR31">
        <v>42.4</v>
      </c>
      <c r="BK31">
        <v>30</v>
      </c>
    </row>
    <row r="32" spans="1:68" x14ac:dyDescent="0.35">
      <c r="A32" t="s">
        <v>380</v>
      </c>
      <c r="B32" t="s">
        <v>639</v>
      </c>
      <c r="C32" t="s">
        <v>753</v>
      </c>
      <c r="D32" t="s">
        <v>754</v>
      </c>
    </row>
    <row r="33" spans="1:68" x14ac:dyDescent="0.35">
      <c r="A33" t="s">
        <v>56</v>
      </c>
      <c r="B33" t="s">
        <v>518</v>
      </c>
      <c r="C33" t="s">
        <v>753</v>
      </c>
      <c r="D33" t="s">
        <v>754</v>
      </c>
      <c r="AI33">
        <v>31.7</v>
      </c>
      <c r="AK33">
        <v>39.200000000000003</v>
      </c>
      <c r="AP33">
        <v>45.4</v>
      </c>
      <c r="AR33">
        <v>42.6</v>
      </c>
      <c r="AS33">
        <v>47.8</v>
      </c>
      <c r="AT33">
        <v>44.1</v>
      </c>
      <c r="AU33">
        <v>46.6</v>
      </c>
      <c r="AW33">
        <v>43.9</v>
      </c>
      <c r="AX33">
        <v>45.3</v>
      </c>
      <c r="AY33">
        <v>43.6</v>
      </c>
      <c r="AZ33">
        <v>41.8</v>
      </c>
      <c r="BA33">
        <v>38.5</v>
      </c>
      <c r="BB33">
        <v>36.9</v>
      </c>
      <c r="BD33">
        <v>33.700000000000003</v>
      </c>
      <c r="BE33">
        <v>33.700000000000003</v>
      </c>
      <c r="BF33">
        <v>35.200000000000003</v>
      </c>
      <c r="BG33">
        <v>36</v>
      </c>
      <c r="BH33">
        <v>34.799999999999997</v>
      </c>
      <c r="BI33">
        <v>32.4</v>
      </c>
      <c r="BJ33">
        <v>32</v>
      </c>
      <c r="BK33">
        <v>30.6</v>
      </c>
      <c r="BL33">
        <v>30.8</v>
      </c>
      <c r="BM33">
        <v>32.6</v>
      </c>
      <c r="BN33">
        <v>30.3</v>
      </c>
      <c r="BO33">
        <v>30.4</v>
      </c>
      <c r="BP33">
        <v>31.3</v>
      </c>
    </row>
    <row r="34" spans="1:68" x14ac:dyDescent="0.35">
      <c r="A34" t="s">
        <v>593</v>
      </c>
      <c r="B34" t="s">
        <v>341</v>
      </c>
      <c r="C34" t="s">
        <v>753</v>
      </c>
      <c r="D34" t="s">
        <v>754</v>
      </c>
      <c r="Z34">
        <v>45.9</v>
      </c>
      <c r="AA34">
        <v>46.2</v>
      </c>
      <c r="AB34">
        <v>46.8</v>
      </c>
      <c r="AC34">
        <v>46.5</v>
      </c>
      <c r="AD34">
        <v>42.5</v>
      </c>
      <c r="AE34">
        <v>46.6</v>
      </c>
      <c r="AF34">
        <v>47.4</v>
      </c>
      <c r="AG34">
        <v>49.2</v>
      </c>
      <c r="AH34">
        <v>51.1</v>
      </c>
      <c r="AI34">
        <v>48.1</v>
      </c>
      <c r="AK34">
        <v>39.700000000000003</v>
      </c>
      <c r="AL34">
        <v>48.4</v>
      </c>
      <c r="AN34">
        <v>47.5</v>
      </c>
      <c r="AO34">
        <v>47.3</v>
      </c>
      <c r="AP34">
        <v>47.4</v>
      </c>
      <c r="AQ34">
        <v>47.6</v>
      </c>
      <c r="AR34">
        <v>47</v>
      </c>
      <c r="AT34">
        <v>46.1</v>
      </c>
      <c r="AU34">
        <v>46.1</v>
      </c>
      <c r="AV34">
        <v>45.4</v>
      </c>
      <c r="AW34">
        <v>44.5</v>
      </c>
      <c r="AX34">
        <v>44.6</v>
      </c>
      <c r="AY34">
        <v>44.1</v>
      </c>
      <c r="AZ34">
        <v>43.2</v>
      </c>
      <c r="BA34">
        <v>42.5</v>
      </c>
      <c r="BB34">
        <v>42.2</v>
      </c>
      <c r="BD34">
        <v>41.7</v>
      </c>
      <c r="BE34">
        <v>42.4</v>
      </c>
      <c r="BF34">
        <v>41.7</v>
      </c>
      <c r="BG34">
        <v>41</v>
      </c>
      <c r="BH34">
        <v>40.9</v>
      </c>
      <c r="BI34">
        <v>42.1</v>
      </c>
      <c r="BJ34">
        <v>42</v>
      </c>
      <c r="BK34">
        <v>42.5</v>
      </c>
      <c r="BL34">
        <v>42</v>
      </c>
      <c r="BM34">
        <v>39.5</v>
      </c>
      <c r="BN34">
        <v>41.6</v>
      </c>
      <c r="BO34">
        <v>41</v>
      </c>
      <c r="BP34">
        <v>40.799999999999997</v>
      </c>
    </row>
    <row r="35" spans="1:68" x14ac:dyDescent="0.35">
      <c r="A35" t="s">
        <v>563</v>
      </c>
      <c r="B35" t="s">
        <v>395</v>
      </c>
      <c r="C35" t="s">
        <v>753</v>
      </c>
      <c r="D35" t="s">
        <v>754</v>
      </c>
      <c r="BI35">
        <v>25.8</v>
      </c>
    </row>
    <row r="36" spans="1:68" x14ac:dyDescent="0.35">
      <c r="A36" t="s">
        <v>435</v>
      </c>
      <c r="B36" t="s">
        <v>129</v>
      </c>
      <c r="C36" t="s">
        <v>753</v>
      </c>
      <c r="D36" t="s">
        <v>754</v>
      </c>
    </row>
    <row r="37" spans="1:68" x14ac:dyDescent="0.35">
      <c r="A37" t="s">
        <v>572</v>
      </c>
      <c r="B37" t="s">
        <v>122</v>
      </c>
      <c r="C37" t="s">
        <v>753</v>
      </c>
      <c r="D37" t="s">
        <v>754</v>
      </c>
      <c r="AV37">
        <v>32.200000000000003</v>
      </c>
      <c r="AZ37">
        <v>29.4</v>
      </c>
      <c r="BE37">
        <v>30.7</v>
      </c>
      <c r="BJ37">
        <v>27.9</v>
      </c>
      <c r="BO37">
        <v>22.7</v>
      </c>
    </row>
    <row r="38" spans="1:68" x14ac:dyDescent="0.35">
      <c r="A38" t="s">
        <v>51</v>
      </c>
      <c r="B38" t="s">
        <v>402</v>
      </c>
      <c r="C38" t="s">
        <v>753</v>
      </c>
      <c r="D38" t="s">
        <v>754</v>
      </c>
      <c r="AD38">
        <v>42.9</v>
      </c>
      <c r="AL38">
        <v>50.4</v>
      </c>
      <c r="AU38">
        <v>50</v>
      </c>
      <c r="BB38">
        <v>46.5</v>
      </c>
      <c r="BH38">
        <v>42.9</v>
      </c>
    </row>
    <row r="39" spans="1:68" x14ac:dyDescent="0.35">
      <c r="A39" t="s">
        <v>188</v>
      </c>
      <c r="B39" t="s">
        <v>492</v>
      </c>
      <c r="C39" t="s">
        <v>753</v>
      </c>
      <c r="D39" t="s">
        <v>754</v>
      </c>
      <c r="AK39">
        <v>47.2</v>
      </c>
      <c r="BA39">
        <v>46.2</v>
      </c>
      <c r="BN39">
        <v>33.1</v>
      </c>
    </row>
    <row r="40" spans="1:68" x14ac:dyDescent="0.35">
      <c r="A40" t="s">
        <v>203</v>
      </c>
      <c r="B40" t="s">
        <v>564</v>
      </c>
      <c r="C40" t="s">
        <v>753</v>
      </c>
      <c r="D40" t="s">
        <v>754</v>
      </c>
      <c r="P40">
        <v>26.6</v>
      </c>
      <c r="R40">
        <v>25.1</v>
      </c>
      <c r="T40">
        <v>24.5</v>
      </c>
      <c r="V40">
        <v>24.1</v>
      </c>
      <c r="X40">
        <v>24</v>
      </c>
      <c r="Z40">
        <v>23.9</v>
      </c>
      <c r="AA40">
        <v>24.1</v>
      </c>
      <c r="AC40">
        <v>24.6</v>
      </c>
      <c r="AD40">
        <v>24.5</v>
      </c>
      <c r="AE40">
        <v>23.3</v>
      </c>
      <c r="AF40">
        <v>23.4</v>
      </c>
      <c r="AG40">
        <v>23.1</v>
      </c>
      <c r="AH40">
        <v>22.8</v>
      </c>
      <c r="AI40">
        <v>23.1</v>
      </c>
      <c r="AJ40">
        <v>23.3</v>
      </c>
      <c r="AK40">
        <v>23.2</v>
      </c>
      <c r="AL40">
        <v>23.2</v>
      </c>
      <c r="AM40">
        <v>22.9</v>
      </c>
      <c r="AN40">
        <v>23.2</v>
      </c>
      <c r="AO40">
        <v>24.5</v>
      </c>
      <c r="AP40">
        <v>25</v>
      </c>
      <c r="AQ40">
        <v>25.1</v>
      </c>
      <c r="AR40">
        <v>24.7</v>
      </c>
      <c r="AS40">
        <v>25.2</v>
      </c>
      <c r="AT40">
        <v>25.2</v>
      </c>
      <c r="AU40">
        <v>25.1</v>
      </c>
      <c r="AV40">
        <v>25.3</v>
      </c>
      <c r="AW40">
        <v>25.2</v>
      </c>
      <c r="AX40">
        <v>25.2</v>
      </c>
      <c r="AY40">
        <v>25.7</v>
      </c>
      <c r="AZ40">
        <v>25.6</v>
      </c>
      <c r="BA40">
        <v>25.5</v>
      </c>
      <c r="BB40">
        <v>25.4</v>
      </c>
      <c r="BC40">
        <v>25.3</v>
      </c>
      <c r="BD40">
        <v>24.6</v>
      </c>
      <c r="BE40">
        <v>24.8</v>
      </c>
      <c r="BF40">
        <v>24.7</v>
      </c>
      <c r="BG40">
        <v>24.7</v>
      </c>
      <c r="BH40">
        <v>25.1</v>
      </c>
      <c r="BI40">
        <v>24.6</v>
      </c>
      <c r="BJ40">
        <v>24.9</v>
      </c>
      <c r="BK40">
        <v>24.4</v>
      </c>
      <c r="BL40">
        <v>24</v>
      </c>
      <c r="BM40">
        <v>23.4</v>
      </c>
      <c r="BN40">
        <v>24.1</v>
      </c>
    </row>
    <row r="41" spans="1:68" x14ac:dyDescent="0.35">
      <c r="A41" t="s">
        <v>444</v>
      </c>
      <c r="B41" t="s">
        <v>239</v>
      </c>
      <c r="C41" t="s">
        <v>753</v>
      </c>
      <c r="D41" t="s">
        <v>754</v>
      </c>
    </row>
    <row r="42" spans="1:68" x14ac:dyDescent="0.35">
      <c r="A42" t="s">
        <v>191</v>
      </c>
      <c r="B42" t="s">
        <v>648</v>
      </c>
      <c r="C42" t="s">
        <v>753</v>
      </c>
      <c r="D42" t="s">
        <v>754</v>
      </c>
      <c r="AA42">
        <v>28.2</v>
      </c>
      <c r="AK42">
        <v>26</v>
      </c>
      <c r="AS42">
        <v>25.5</v>
      </c>
      <c r="AU42">
        <v>23.7</v>
      </c>
      <c r="AW42">
        <v>23.6</v>
      </c>
      <c r="AY42">
        <v>26</v>
      </c>
      <c r="AZ42">
        <v>26.7</v>
      </c>
      <c r="BA42">
        <v>26.3</v>
      </c>
      <c r="BB42">
        <v>25.6</v>
      </c>
      <c r="BC42">
        <v>25.4</v>
      </c>
      <c r="BD42">
        <v>24.6</v>
      </c>
      <c r="BE42">
        <v>25</v>
      </c>
      <c r="BF42">
        <v>25.5</v>
      </c>
      <c r="BG42">
        <v>25.5</v>
      </c>
      <c r="BH42">
        <v>25.2</v>
      </c>
      <c r="BI42">
        <v>25.8</v>
      </c>
      <c r="BJ42">
        <v>25.5</v>
      </c>
      <c r="BK42">
        <v>25.8</v>
      </c>
      <c r="BL42">
        <v>26.6</v>
      </c>
      <c r="BM42">
        <v>26.4</v>
      </c>
      <c r="BN42">
        <v>26.6</v>
      </c>
      <c r="BO42">
        <v>26.6</v>
      </c>
    </row>
    <row r="43" spans="1:68" x14ac:dyDescent="0.35">
      <c r="A43" t="s">
        <v>396</v>
      </c>
      <c r="B43" t="s">
        <v>320</v>
      </c>
      <c r="C43" t="s">
        <v>753</v>
      </c>
      <c r="D43" t="s">
        <v>754</v>
      </c>
    </row>
    <row r="44" spans="1:68" x14ac:dyDescent="0.35">
      <c r="A44" t="s">
        <v>167</v>
      </c>
      <c r="B44" t="s">
        <v>655</v>
      </c>
      <c r="C44" t="s">
        <v>753</v>
      </c>
      <c r="D44" t="s">
        <v>754</v>
      </c>
      <c r="AF44">
        <v>45.4</v>
      </c>
      <c r="AI44">
        <v>47</v>
      </c>
      <c r="AK44">
        <v>45.2</v>
      </c>
      <c r="AM44">
        <v>45.9</v>
      </c>
      <c r="AO44">
        <v>44.4</v>
      </c>
      <c r="AQ44">
        <v>45</v>
      </c>
      <c r="AS44">
        <v>42.6</v>
      </c>
      <c r="AV44">
        <v>41.4</v>
      </c>
      <c r="AY44">
        <v>38.200000000000003</v>
      </c>
      <c r="BB44">
        <v>38.4</v>
      </c>
      <c r="BD44">
        <v>38</v>
      </c>
      <c r="BF44">
        <v>38.200000000000003</v>
      </c>
      <c r="BH44">
        <v>36.799999999999997</v>
      </c>
      <c r="BJ44">
        <v>36.9</v>
      </c>
      <c r="BM44">
        <v>37.299999999999997</v>
      </c>
      <c r="BO44">
        <v>34.5</v>
      </c>
    </row>
    <row r="45" spans="1:68" x14ac:dyDescent="0.35">
      <c r="A45" t="s">
        <v>506</v>
      </c>
      <c r="B45" t="s">
        <v>189</v>
      </c>
      <c r="C45" t="s">
        <v>753</v>
      </c>
      <c r="D45" t="s">
        <v>754</v>
      </c>
      <c r="Z45">
        <v>21.7</v>
      </c>
      <c r="AC45">
        <v>21.3</v>
      </c>
      <c r="AF45">
        <v>22.4</v>
      </c>
      <c r="AI45">
        <v>25.8</v>
      </c>
      <c r="AL45">
        <v>26.6</v>
      </c>
      <c r="AO45">
        <v>27.3</v>
      </c>
      <c r="AR45">
        <v>29.4</v>
      </c>
      <c r="AU45">
        <v>31.4</v>
      </c>
      <c r="AX45">
        <v>30.9</v>
      </c>
      <c r="BA45">
        <v>32</v>
      </c>
      <c r="BC45">
        <v>32.6</v>
      </c>
      <c r="BD45">
        <v>31.8</v>
      </c>
      <c r="BE45">
        <v>31.5</v>
      </c>
      <c r="BF45">
        <v>30.3</v>
      </c>
      <c r="BG45">
        <v>29.7</v>
      </c>
      <c r="BH45">
        <v>29.4</v>
      </c>
      <c r="BI45">
        <v>29.3</v>
      </c>
      <c r="BJ45">
        <v>29.9</v>
      </c>
      <c r="BK45">
        <v>29.4</v>
      </c>
      <c r="BL45">
        <v>29.5</v>
      </c>
      <c r="BM45">
        <v>29.4</v>
      </c>
      <c r="BN45">
        <v>28.2</v>
      </c>
      <c r="BO45">
        <v>28.4</v>
      </c>
    </row>
    <row r="46" spans="1:68" x14ac:dyDescent="0.35">
      <c r="A46" t="s">
        <v>688</v>
      </c>
      <c r="B46" t="s">
        <v>338</v>
      </c>
      <c r="C46" t="s">
        <v>753</v>
      </c>
      <c r="D46" t="s">
        <v>754</v>
      </c>
      <c r="AD46">
        <v>35.6</v>
      </c>
      <c r="AE46">
        <v>29.4</v>
      </c>
      <c r="AF46">
        <v>32</v>
      </c>
      <c r="AG46">
        <v>28.3</v>
      </c>
      <c r="AK46">
        <v>29.5</v>
      </c>
      <c r="AN46">
        <v>32.700000000000003</v>
      </c>
      <c r="AQ46">
        <v>30.1</v>
      </c>
      <c r="AU46">
        <v>31.3</v>
      </c>
      <c r="BA46">
        <v>32.6</v>
      </c>
      <c r="BH46">
        <v>31.9</v>
      </c>
      <c r="BK46">
        <v>29</v>
      </c>
      <c r="BN46">
        <v>27.8</v>
      </c>
    </row>
    <row r="47" spans="1:68" x14ac:dyDescent="0.35">
      <c r="A47" t="s">
        <v>742</v>
      </c>
      <c r="B47" t="s">
        <v>79</v>
      </c>
      <c r="C47" t="s">
        <v>753</v>
      </c>
      <c r="D47" t="s">
        <v>754</v>
      </c>
      <c r="AO47">
        <v>36.1</v>
      </c>
      <c r="AT47">
        <v>33.6</v>
      </c>
      <c r="AZ47">
        <v>33</v>
      </c>
      <c r="BG47">
        <v>35</v>
      </c>
      <c r="BN47">
        <v>31.1</v>
      </c>
    </row>
    <row r="48" spans="1:68" x14ac:dyDescent="0.35">
      <c r="A48" t="s">
        <v>498</v>
      </c>
      <c r="B48" t="s">
        <v>230</v>
      </c>
      <c r="C48" t="s">
        <v>753</v>
      </c>
      <c r="D48" t="s">
        <v>754</v>
      </c>
      <c r="AW48">
        <v>32.299999999999997</v>
      </c>
      <c r="BE48">
        <v>32</v>
      </c>
      <c r="BM48">
        <v>35.700000000000003</v>
      </c>
    </row>
    <row r="49" spans="1:69" x14ac:dyDescent="0.35">
      <c r="A49" t="s">
        <v>394</v>
      </c>
      <c r="B49" t="s">
        <v>411</v>
      </c>
      <c r="C49" t="s">
        <v>753</v>
      </c>
      <c r="D49" t="s">
        <v>754</v>
      </c>
      <c r="AX49">
        <v>36.799999999999997</v>
      </c>
      <c r="BD49">
        <v>37.9</v>
      </c>
    </row>
    <row r="50" spans="1:69" x14ac:dyDescent="0.35">
      <c r="A50" t="s">
        <v>559</v>
      </c>
      <c r="B50" t="s">
        <v>305</v>
      </c>
      <c r="C50" t="s">
        <v>753</v>
      </c>
      <c r="D50" t="s">
        <v>754</v>
      </c>
      <c r="Y50">
        <v>42.3</v>
      </c>
      <c r="AG50">
        <v>41.2</v>
      </c>
      <c r="AH50">
        <v>41.4</v>
      </c>
      <c r="AJ50">
        <v>39.5</v>
      </c>
      <c r="AK50">
        <v>40.4</v>
      </c>
      <c r="AO50">
        <v>45.6</v>
      </c>
      <c r="AR50">
        <v>46.8</v>
      </c>
      <c r="AS50">
        <v>46.9</v>
      </c>
      <c r="AT50">
        <v>46.3</v>
      </c>
      <c r="AU50">
        <v>45.2</v>
      </c>
      <c r="AV50">
        <v>42.8</v>
      </c>
      <c r="AW50">
        <v>44.5</v>
      </c>
      <c r="AX50">
        <v>43.2</v>
      </c>
      <c r="BA50">
        <v>43.7</v>
      </c>
      <c r="BB50">
        <v>42.9</v>
      </c>
      <c r="BC50">
        <v>43.4</v>
      </c>
      <c r="BD50">
        <v>42.4</v>
      </c>
      <c r="BE50">
        <v>41.3</v>
      </c>
      <c r="BF50">
        <v>41.4</v>
      </c>
      <c r="BG50">
        <v>41.4</v>
      </c>
      <c r="BH50">
        <v>39.9</v>
      </c>
      <c r="BI50">
        <v>39.799999999999997</v>
      </c>
      <c r="BJ50">
        <v>39</v>
      </c>
      <c r="BK50">
        <v>39.700000000000003</v>
      </c>
      <c r="BL50">
        <v>40.299999999999997</v>
      </c>
      <c r="BM50">
        <v>41.8</v>
      </c>
      <c r="BN50">
        <v>43.7</v>
      </c>
      <c r="BO50">
        <v>43.5</v>
      </c>
      <c r="BP50">
        <v>42.7</v>
      </c>
    </row>
    <row r="51" spans="1:69" x14ac:dyDescent="0.35">
      <c r="A51" t="s">
        <v>362</v>
      </c>
      <c r="B51" t="s">
        <v>358</v>
      </c>
      <c r="C51" t="s">
        <v>753</v>
      </c>
      <c r="D51" t="s">
        <v>754</v>
      </c>
      <c r="AW51">
        <v>48.1</v>
      </c>
      <c r="BG51">
        <v>33.6</v>
      </c>
    </row>
    <row r="52" spans="1:69" x14ac:dyDescent="0.35">
      <c r="A52" t="s">
        <v>496</v>
      </c>
      <c r="B52" t="s">
        <v>568</v>
      </c>
      <c r="C52" t="s">
        <v>753</v>
      </c>
      <c r="D52" t="s">
        <v>754</v>
      </c>
      <c r="AT52">
        <v>42.6</v>
      </c>
      <c r="AZ52">
        <v>37.1</v>
      </c>
      <c r="BH52">
        <v>32.299999999999997</v>
      </c>
    </row>
    <row r="53" spans="1:69" x14ac:dyDescent="0.35">
      <c r="A53" t="s">
        <v>346</v>
      </c>
      <c r="B53" t="s">
        <v>11</v>
      </c>
      <c r="C53" t="s">
        <v>753</v>
      </c>
      <c r="D53" t="s">
        <v>754</v>
      </c>
      <c r="Z53">
        <v>33.700000000000003</v>
      </c>
      <c r="AE53">
        <v>23.1</v>
      </c>
      <c r="AH53">
        <v>33.200000000000003</v>
      </c>
      <c r="AI53">
        <v>33</v>
      </c>
      <c r="AJ53">
        <v>34.299999999999997</v>
      </c>
      <c r="AK53">
        <v>33.700000000000003</v>
      </c>
      <c r="AL53">
        <v>33.700000000000003</v>
      </c>
      <c r="AM53">
        <v>35.200000000000003</v>
      </c>
      <c r="AN53">
        <v>33.799999999999997</v>
      </c>
      <c r="AO53">
        <v>34.299999999999997</v>
      </c>
      <c r="AP53">
        <v>33.799999999999997</v>
      </c>
      <c r="AQ53">
        <v>34</v>
      </c>
      <c r="AR53">
        <v>35.9</v>
      </c>
      <c r="AS53">
        <v>35.700000000000003</v>
      </c>
      <c r="AT53">
        <v>39.700000000000003</v>
      </c>
      <c r="AU53">
        <v>40.4</v>
      </c>
      <c r="AV53">
        <v>37</v>
      </c>
      <c r="AW53">
        <v>36.6</v>
      </c>
      <c r="AX53">
        <v>35.9</v>
      </c>
      <c r="AY53">
        <v>38.299999999999997</v>
      </c>
      <c r="AZ53">
        <v>38.9</v>
      </c>
      <c r="BA53">
        <v>37.700000000000003</v>
      </c>
      <c r="BB53">
        <v>39.4</v>
      </c>
      <c r="BC53">
        <v>36.799999999999997</v>
      </c>
      <c r="BD53">
        <v>36.9</v>
      </c>
      <c r="BE53">
        <v>36.6</v>
      </c>
      <c r="BF53">
        <v>37</v>
      </c>
      <c r="BG53">
        <v>36.9</v>
      </c>
      <c r="BH53">
        <v>36.799999999999997</v>
      </c>
      <c r="BI53">
        <v>37.299999999999997</v>
      </c>
      <c r="BJ53">
        <v>37</v>
      </c>
      <c r="BK53">
        <v>36.299999999999997</v>
      </c>
      <c r="BL53">
        <v>36.700000000000003</v>
      </c>
      <c r="BM53">
        <v>37</v>
      </c>
      <c r="BN53">
        <v>37.200000000000003</v>
      </c>
      <c r="BO53">
        <v>35.700000000000003</v>
      </c>
      <c r="BP53">
        <v>35.1</v>
      </c>
      <c r="BQ53">
        <v>34.200000000000003</v>
      </c>
    </row>
    <row r="54" spans="1:69" x14ac:dyDescent="0.35">
      <c r="A54" t="s">
        <v>347</v>
      </c>
      <c r="B54" t="s">
        <v>300</v>
      </c>
      <c r="C54" t="s">
        <v>753</v>
      </c>
      <c r="D54" t="s">
        <v>754</v>
      </c>
    </row>
    <row r="55" spans="1:69" x14ac:dyDescent="0.35">
      <c r="A55" t="s">
        <v>99</v>
      </c>
      <c r="B55" t="s">
        <v>257</v>
      </c>
      <c r="C55" t="s">
        <v>753</v>
      </c>
      <c r="D55" t="s">
        <v>754</v>
      </c>
    </row>
    <row r="56" spans="1:69" x14ac:dyDescent="0.35">
      <c r="A56" t="s">
        <v>375</v>
      </c>
      <c r="B56" t="s">
        <v>100</v>
      </c>
      <c r="C56" t="s">
        <v>753</v>
      </c>
      <c r="D56" t="s">
        <v>754</v>
      </c>
    </row>
    <row r="57" spans="1:69" x14ac:dyDescent="0.35">
      <c r="A57" t="s">
        <v>482</v>
      </c>
      <c r="B57" t="s">
        <v>651</v>
      </c>
      <c r="C57" t="s">
        <v>753</v>
      </c>
      <c r="D57" t="s">
        <v>754</v>
      </c>
    </row>
    <row r="58" spans="1:69" x14ac:dyDescent="0.35">
      <c r="A58" t="s">
        <v>448</v>
      </c>
      <c r="B58" t="s">
        <v>258</v>
      </c>
      <c r="C58" t="s">
        <v>753</v>
      </c>
      <c r="D58" t="s">
        <v>754</v>
      </c>
      <c r="AW58">
        <v>24.3</v>
      </c>
      <c r="AX58">
        <v>24.9</v>
      </c>
      <c r="AY58">
        <v>26</v>
      </c>
      <c r="AZ58">
        <v>25.5</v>
      </c>
      <c r="BA58">
        <v>26.2</v>
      </c>
      <c r="BB58">
        <v>26.2</v>
      </c>
      <c r="BC58">
        <v>25.7</v>
      </c>
      <c r="BD58">
        <v>26.7</v>
      </c>
      <c r="BE58">
        <v>28</v>
      </c>
      <c r="BF58">
        <v>30.9</v>
      </c>
      <c r="BG58">
        <v>28.8</v>
      </c>
      <c r="BH58">
        <v>27.5</v>
      </c>
      <c r="BI58">
        <v>26.8</v>
      </c>
      <c r="BJ58">
        <v>25.5</v>
      </c>
      <c r="BK58">
        <v>27.2</v>
      </c>
      <c r="BL58">
        <v>25.5</v>
      </c>
      <c r="BM58">
        <v>26.3</v>
      </c>
      <c r="BN58">
        <v>25.7</v>
      </c>
      <c r="BO58">
        <v>26.2</v>
      </c>
      <c r="BP58">
        <v>26.3</v>
      </c>
    </row>
    <row r="59" spans="1:69" x14ac:dyDescent="0.35">
      <c r="A59" t="s">
        <v>354</v>
      </c>
      <c r="B59" t="s">
        <v>668</v>
      </c>
      <c r="C59" t="s">
        <v>753</v>
      </c>
      <c r="D59" t="s">
        <v>754</v>
      </c>
      <c r="AK59">
        <v>19.2</v>
      </c>
      <c r="AL59">
        <v>23.7</v>
      </c>
      <c r="AO59">
        <v>21.8</v>
      </c>
      <c r="AU59">
        <v>22.2</v>
      </c>
      <c r="AW59">
        <v>23.1</v>
      </c>
      <c r="AX59">
        <v>22.9</v>
      </c>
      <c r="AY59">
        <v>22.6</v>
      </c>
      <c r="AZ59">
        <v>22.3</v>
      </c>
      <c r="BA59">
        <v>22.9</v>
      </c>
      <c r="BB59">
        <v>22.4</v>
      </c>
      <c r="BC59">
        <v>22.4</v>
      </c>
      <c r="BD59">
        <v>22.2</v>
      </c>
      <c r="BE59">
        <v>22.2</v>
      </c>
      <c r="BF59">
        <v>22.6</v>
      </c>
      <c r="BG59">
        <v>22.1</v>
      </c>
      <c r="BH59">
        <v>22.1</v>
      </c>
      <c r="BI59">
        <v>21.9</v>
      </c>
      <c r="BJ59">
        <v>21.4</v>
      </c>
      <c r="BK59">
        <v>21.5</v>
      </c>
      <c r="BL59">
        <v>21.5</v>
      </c>
      <c r="BM59">
        <v>22.5</v>
      </c>
      <c r="BN59">
        <v>22.2</v>
      </c>
      <c r="BO59">
        <v>21.8</v>
      </c>
      <c r="BP59">
        <v>21.5</v>
      </c>
    </row>
    <row r="60" spans="1:69" x14ac:dyDescent="0.35">
      <c r="A60" t="s">
        <v>485</v>
      </c>
      <c r="B60" t="s">
        <v>488</v>
      </c>
      <c r="C60" t="s">
        <v>753</v>
      </c>
      <c r="D60" t="s">
        <v>754</v>
      </c>
      <c r="AJ60">
        <v>22.8</v>
      </c>
      <c r="AK60">
        <v>22.7</v>
      </c>
      <c r="AL60">
        <v>22.5</v>
      </c>
      <c r="AM60">
        <v>22.6</v>
      </c>
      <c r="AN60">
        <v>22.4</v>
      </c>
      <c r="AO60">
        <v>22</v>
      </c>
      <c r="AP60">
        <v>22</v>
      </c>
      <c r="AQ60">
        <v>22</v>
      </c>
      <c r="AR60">
        <v>22.7</v>
      </c>
      <c r="AS60">
        <v>22.6</v>
      </c>
      <c r="AT60">
        <v>23.6</v>
      </c>
      <c r="AU60">
        <v>23.3</v>
      </c>
      <c r="AV60">
        <v>23.5</v>
      </c>
      <c r="AW60">
        <v>23.7</v>
      </c>
      <c r="AX60">
        <v>24.9</v>
      </c>
      <c r="AY60">
        <v>24.3</v>
      </c>
      <c r="AZ60">
        <v>24.7</v>
      </c>
      <c r="BA60">
        <v>24.2</v>
      </c>
      <c r="BB60">
        <v>23.6</v>
      </c>
      <c r="BC60">
        <v>23.7</v>
      </c>
      <c r="BD60">
        <v>24.1</v>
      </c>
      <c r="BE60">
        <v>24</v>
      </c>
      <c r="BF60">
        <v>24.5</v>
      </c>
      <c r="BG60">
        <v>23.6</v>
      </c>
      <c r="BH60">
        <v>24.6</v>
      </c>
      <c r="BI60">
        <v>24.2</v>
      </c>
      <c r="BJ60">
        <v>24.2</v>
      </c>
      <c r="BK60">
        <v>24.9</v>
      </c>
      <c r="BL60">
        <v>24.7</v>
      </c>
      <c r="BM60">
        <v>25</v>
      </c>
    </row>
    <row r="61" spans="1:69" x14ac:dyDescent="0.35">
      <c r="A61" t="s">
        <v>22</v>
      </c>
      <c r="B61" t="s">
        <v>250</v>
      </c>
      <c r="C61" t="s">
        <v>753</v>
      </c>
      <c r="D61" t="s">
        <v>754</v>
      </c>
      <c r="AU61">
        <v>30.8</v>
      </c>
      <c r="BE61">
        <v>34.4</v>
      </c>
      <c r="BF61">
        <v>34</v>
      </c>
      <c r="BJ61">
        <v>32.299999999999997</v>
      </c>
    </row>
    <row r="62" spans="1:69" x14ac:dyDescent="0.35">
      <c r="A62" t="s">
        <v>690</v>
      </c>
      <c r="B62" t="s">
        <v>265</v>
      </c>
      <c r="C62" t="s">
        <v>753</v>
      </c>
      <c r="D62" t="s">
        <v>754</v>
      </c>
    </row>
    <row r="63" spans="1:69" x14ac:dyDescent="0.35">
      <c r="A63" t="s">
        <v>312</v>
      </c>
      <c r="B63" t="s">
        <v>531</v>
      </c>
      <c r="C63" t="s">
        <v>753</v>
      </c>
      <c r="D63" t="s">
        <v>754</v>
      </c>
      <c r="AF63">
        <v>21.2</v>
      </c>
      <c r="AK63">
        <v>20.2</v>
      </c>
      <c r="AN63">
        <v>19.399999999999999</v>
      </c>
      <c r="AS63">
        <v>19.8</v>
      </c>
      <c r="AV63">
        <v>21.4</v>
      </c>
      <c r="AW63">
        <v>20.6</v>
      </c>
      <c r="AX63">
        <v>21</v>
      </c>
      <c r="AY63">
        <v>21.7</v>
      </c>
      <c r="AZ63">
        <v>22.1</v>
      </c>
      <c r="BA63">
        <v>21</v>
      </c>
      <c r="BB63">
        <v>21.8</v>
      </c>
      <c r="BC63">
        <v>22.5</v>
      </c>
      <c r="BD63">
        <v>22.7</v>
      </c>
      <c r="BE63">
        <v>23.1</v>
      </c>
      <c r="BF63">
        <v>23.7</v>
      </c>
      <c r="BG63">
        <v>23.6</v>
      </c>
      <c r="BH63">
        <v>23.8</v>
      </c>
      <c r="BI63">
        <v>23.7</v>
      </c>
      <c r="BJ63">
        <v>24</v>
      </c>
      <c r="BK63">
        <v>23.5</v>
      </c>
      <c r="BL63">
        <v>23.5</v>
      </c>
      <c r="BM63">
        <v>22.9</v>
      </c>
      <c r="BN63">
        <v>23.8</v>
      </c>
      <c r="BO63">
        <v>24.5</v>
      </c>
      <c r="BP63">
        <v>25.5</v>
      </c>
    </row>
    <row r="64" spans="1:69" x14ac:dyDescent="0.35">
      <c r="A64" t="s">
        <v>422</v>
      </c>
      <c r="B64" t="s">
        <v>715</v>
      </c>
      <c r="C64" t="s">
        <v>753</v>
      </c>
      <c r="D64" t="s">
        <v>754</v>
      </c>
      <c r="AE64">
        <v>36.1</v>
      </c>
      <c r="AH64">
        <v>39.799999999999997</v>
      </c>
      <c r="AK64">
        <v>41.6</v>
      </c>
      <c r="AO64">
        <v>36.5</v>
      </c>
      <c r="AP64">
        <v>37.9</v>
      </c>
      <c r="AS64">
        <v>40.200000000000003</v>
      </c>
      <c r="AT64">
        <v>39.200000000000003</v>
      </c>
      <c r="AU64">
        <v>38.299999999999997</v>
      </c>
      <c r="AV64">
        <v>41.7</v>
      </c>
      <c r="AW64">
        <v>41.7</v>
      </c>
      <c r="AX64">
        <v>39</v>
      </c>
      <c r="AY64">
        <v>41.2</v>
      </c>
      <c r="AZ64">
        <v>38.6</v>
      </c>
      <c r="BA64">
        <v>37.799999999999997</v>
      </c>
      <c r="BB64">
        <v>38.700000000000003</v>
      </c>
      <c r="BC64">
        <v>36.5</v>
      </c>
      <c r="BD64">
        <v>37.5</v>
      </c>
      <c r="BE64">
        <v>36</v>
      </c>
      <c r="BF64">
        <v>37.9</v>
      </c>
      <c r="BG64">
        <v>33.4</v>
      </c>
      <c r="BH64">
        <v>34.799999999999997</v>
      </c>
      <c r="BI64">
        <v>35.4</v>
      </c>
      <c r="BJ64">
        <v>33.5</v>
      </c>
      <c r="BK64">
        <v>35.1</v>
      </c>
      <c r="BL64">
        <v>33.1</v>
      </c>
      <c r="BM64">
        <v>30.4</v>
      </c>
      <c r="BN64">
        <v>30.2</v>
      </c>
      <c r="BO64">
        <v>28.3</v>
      </c>
      <c r="BP64">
        <v>29.1</v>
      </c>
      <c r="BQ64">
        <v>29.5</v>
      </c>
    </row>
    <row r="65" spans="1:69" x14ac:dyDescent="0.35">
      <c r="A65" t="s">
        <v>689</v>
      </c>
      <c r="B65" t="s">
        <v>31</v>
      </c>
      <c r="C65" t="s">
        <v>753</v>
      </c>
      <c r="D65" t="s">
        <v>754</v>
      </c>
      <c r="AG65">
        <v>29.6</v>
      </c>
      <c r="AN65">
        <v>26.9</v>
      </c>
      <c r="BD65">
        <v>22.9</v>
      </c>
    </row>
    <row r="66" spans="1:69" x14ac:dyDescent="0.35">
      <c r="A66" t="s">
        <v>213</v>
      </c>
      <c r="B66" t="s">
        <v>241</v>
      </c>
      <c r="C66" t="s">
        <v>753</v>
      </c>
      <c r="D66" t="s">
        <v>754</v>
      </c>
    </row>
    <row r="67" spans="1:69" x14ac:dyDescent="0.35">
      <c r="A67" t="s">
        <v>693</v>
      </c>
      <c r="B67" t="s">
        <v>363</v>
      </c>
      <c r="C67" t="s">
        <v>753</v>
      </c>
      <c r="D67" t="s">
        <v>754</v>
      </c>
    </row>
    <row r="68" spans="1:69" x14ac:dyDescent="0.35">
      <c r="A68" t="s">
        <v>490</v>
      </c>
      <c r="B68" t="s">
        <v>586</v>
      </c>
      <c r="C68" t="s">
        <v>753</v>
      </c>
      <c r="D68" t="s">
        <v>754</v>
      </c>
    </row>
    <row r="69" spans="1:69" x14ac:dyDescent="0.35">
      <c r="A69" t="s">
        <v>279</v>
      </c>
      <c r="B69" t="s">
        <v>328</v>
      </c>
      <c r="C69" t="s">
        <v>753</v>
      </c>
      <c r="D69" t="s">
        <v>754</v>
      </c>
    </row>
    <row r="70" spans="1:69" x14ac:dyDescent="0.35">
      <c r="A70" t="s">
        <v>400</v>
      </c>
      <c r="B70" t="s">
        <v>585</v>
      </c>
      <c r="C70" t="s">
        <v>753</v>
      </c>
      <c r="D70" t="s">
        <v>754</v>
      </c>
    </row>
    <row r="71" spans="1:69" x14ac:dyDescent="0.35">
      <c r="A71" t="s">
        <v>251</v>
      </c>
      <c r="B71" t="s">
        <v>111</v>
      </c>
      <c r="C71" t="s">
        <v>753</v>
      </c>
      <c r="D71" t="s">
        <v>754</v>
      </c>
      <c r="AF71">
        <v>38.4</v>
      </c>
      <c r="AM71">
        <v>42.5</v>
      </c>
      <c r="AN71">
        <v>40</v>
      </c>
      <c r="AQ71">
        <v>37.799999999999997</v>
      </c>
      <c r="AR71">
        <v>47.8</v>
      </c>
      <c r="AS71">
        <v>45.9</v>
      </c>
      <c r="AV71">
        <v>42</v>
      </c>
      <c r="AW71">
        <v>42.4</v>
      </c>
      <c r="AX71">
        <v>41.1</v>
      </c>
      <c r="AY71">
        <v>41.1</v>
      </c>
      <c r="AZ71">
        <v>42</v>
      </c>
      <c r="BA71">
        <v>38.1</v>
      </c>
      <c r="BB71">
        <v>37.1</v>
      </c>
      <c r="BC71">
        <v>37.5</v>
      </c>
      <c r="BD71">
        <v>34.1</v>
      </c>
      <c r="BE71">
        <v>34.6</v>
      </c>
      <c r="BF71">
        <v>35.700000000000003</v>
      </c>
      <c r="BG71">
        <v>34.4</v>
      </c>
      <c r="BH71">
        <v>34.9</v>
      </c>
      <c r="BI71">
        <v>34.299999999999997</v>
      </c>
      <c r="BJ71">
        <v>33.799999999999997</v>
      </c>
      <c r="BK71">
        <v>34.4</v>
      </c>
      <c r="BL71">
        <v>34.5</v>
      </c>
      <c r="BM71">
        <v>36</v>
      </c>
      <c r="BN71">
        <v>34.700000000000003</v>
      </c>
      <c r="BO71">
        <v>34.299999999999997</v>
      </c>
      <c r="BP71">
        <v>33.200000000000003</v>
      </c>
      <c r="BQ71">
        <v>33.4</v>
      </c>
    </row>
    <row r="72" spans="1:69" x14ac:dyDescent="0.35">
      <c r="A72" t="s">
        <v>263</v>
      </c>
      <c r="B72" t="s">
        <v>672</v>
      </c>
      <c r="C72" t="s">
        <v>753</v>
      </c>
      <c r="D72" t="s">
        <v>754</v>
      </c>
      <c r="AI72">
        <v>26.7</v>
      </c>
      <c r="AN72">
        <v>26.1</v>
      </c>
      <c r="AR72">
        <v>26.4</v>
      </c>
      <c r="AW72">
        <v>27.4</v>
      </c>
      <c r="BA72">
        <v>27</v>
      </c>
      <c r="BC72">
        <v>26.1</v>
      </c>
      <c r="BE72">
        <v>24.7</v>
      </c>
      <c r="BH72">
        <v>27.8</v>
      </c>
      <c r="BJ72">
        <v>26.9</v>
      </c>
      <c r="BL72">
        <v>27.5</v>
      </c>
      <c r="BN72">
        <v>24.6</v>
      </c>
    </row>
    <row r="73" spans="1:69" x14ac:dyDescent="0.35">
      <c r="A73" t="s">
        <v>144</v>
      </c>
      <c r="B73" t="s">
        <v>410</v>
      </c>
      <c r="C73" t="s">
        <v>753</v>
      </c>
      <c r="D73" t="s">
        <v>754</v>
      </c>
    </row>
    <row r="74" spans="1:69" x14ac:dyDescent="0.35">
      <c r="A74" t="s">
        <v>725</v>
      </c>
      <c r="B74" t="s">
        <v>172</v>
      </c>
      <c r="C74" t="s">
        <v>753</v>
      </c>
      <c r="D74" t="s">
        <v>754</v>
      </c>
    </row>
    <row r="75" spans="1:69" x14ac:dyDescent="0.35">
      <c r="A75" t="s">
        <v>82</v>
      </c>
      <c r="B75" t="s">
        <v>256</v>
      </c>
      <c r="C75" t="s">
        <v>753</v>
      </c>
      <c r="D75" t="s">
        <v>754</v>
      </c>
      <c r="Y75">
        <v>25.9</v>
      </c>
      <c r="AD75">
        <v>26.4</v>
      </c>
      <c r="AI75">
        <v>24.5</v>
      </c>
      <c r="AL75">
        <v>26.2</v>
      </c>
      <c r="AM75">
        <v>25.6</v>
      </c>
      <c r="AN75">
        <v>26.5</v>
      </c>
      <c r="AO75">
        <v>26.3</v>
      </c>
      <c r="AP75">
        <v>25.9</v>
      </c>
      <c r="AQ75">
        <v>25.5</v>
      </c>
      <c r="AR75">
        <v>25.4</v>
      </c>
      <c r="AS75">
        <v>25.4</v>
      </c>
      <c r="AV75">
        <v>24</v>
      </c>
      <c r="AW75">
        <v>24.8</v>
      </c>
      <c r="AX75">
        <v>24.3</v>
      </c>
      <c r="AY75">
        <v>24.9</v>
      </c>
      <c r="AZ75">
        <v>25.6</v>
      </c>
      <c r="BA75">
        <v>25.6</v>
      </c>
      <c r="BB75">
        <v>25.9</v>
      </c>
      <c r="BC75">
        <v>26</v>
      </c>
      <c r="BD75">
        <v>25.9</v>
      </c>
      <c r="BE75">
        <v>25.8</v>
      </c>
      <c r="BF75">
        <v>25.9</v>
      </c>
      <c r="BG75">
        <v>26</v>
      </c>
      <c r="BH75">
        <v>26.2</v>
      </c>
      <c r="BI75">
        <v>25.8</v>
      </c>
      <c r="BJ75">
        <v>25.4</v>
      </c>
      <c r="BK75">
        <v>25.3</v>
      </c>
      <c r="BL75">
        <v>24.9</v>
      </c>
      <c r="BM75">
        <v>25</v>
      </c>
      <c r="BN75">
        <v>24.7</v>
      </c>
      <c r="BO75">
        <v>24.8</v>
      </c>
      <c r="BP75">
        <v>24.5</v>
      </c>
    </row>
    <row r="76" spans="1:69" x14ac:dyDescent="0.35">
      <c r="A76" t="s">
        <v>516</v>
      </c>
      <c r="B76" t="s">
        <v>657</v>
      </c>
      <c r="C76" t="s">
        <v>753</v>
      </c>
      <c r="D76" t="s">
        <v>754</v>
      </c>
      <c r="AL76">
        <v>31.3</v>
      </c>
      <c r="AN76">
        <v>22.7</v>
      </c>
      <c r="AQ76">
        <v>29.8</v>
      </c>
      <c r="AS76">
        <v>27.6</v>
      </c>
      <c r="AT76">
        <v>27.9</v>
      </c>
      <c r="AU76">
        <v>27.3</v>
      </c>
      <c r="AV76">
        <v>28.4</v>
      </c>
      <c r="AW76">
        <v>25.9</v>
      </c>
      <c r="AX76">
        <v>26.1</v>
      </c>
      <c r="AY76">
        <v>26.8</v>
      </c>
      <c r="AZ76">
        <v>24</v>
      </c>
      <c r="BA76">
        <v>24.9</v>
      </c>
      <c r="BB76">
        <v>24.4</v>
      </c>
      <c r="BC76">
        <v>24.3</v>
      </c>
      <c r="BD76">
        <v>24.7</v>
      </c>
      <c r="BE76">
        <v>25.2</v>
      </c>
      <c r="BF76">
        <v>26.6</v>
      </c>
      <c r="BG76">
        <v>26.3</v>
      </c>
      <c r="BH76">
        <v>24.4</v>
      </c>
      <c r="BI76">
        <v>23.1</v>
      </c>
      <c r="BJ76">
        <v>22.5</v>
      </c>
      <c r="BK76">
        <v>22.4</v>
      </c>
      <c r="BL76">
        <v>23.3</v>
      </c>
      <c r="BM76">
        <v>23.5</v>
      </c>
      <c r="BN76">
        <v>24.3</v>
      </c>
      <c r="BO76">
        <v>24.4</v>
      </c>
      <c r="BP76">
        <v>23.7</v>
      </c>
    </row>
    <row r="77" spans="1:69" x14ac:dyDescent="0.35">
      <c r="A77" t="s">
        <v>159</v>
      </c>
      <c r="B77" t="s">
        <v>102</v>
      </c>
      <c r="C77" t="s">
        <v>753</v>
      </c>
      <c r="D77" t="s">
        <v>754</v>
      </c>
      <c r="AN77">
        <v>38</v>
      </c>
      <c r="AR77">
        <v>25.5</v>
      </c>
      <c r="AW77">
        <v>25.6</v>
      </c>
      <c r="BC77">
        <v>27.4</v>
      </c>
      <c r="BH77">
        <v>28.5</v>
      </c>
      <c r="BN77">
        <v>24.8</v>
      </c>
    </row>
    <row r="78" spans="1:69" x14ac:dyDescent="0.35">
      <c r="A78" t="s">
        <v>42</v>
      </c>
      <c r="B78" t="s">
        <v>704</v>
      </c>
      <c r="C78" t="s">
        <v>753</v>
      </c>
      <c r="D78" t="s">
        <v>754</v>
      </c>
    </row>
    <row r="79" spans="1:69" x14ac:dyDescent="0.35">
      <c r="A79" t="s">
        <v>222</v>
      </c>
      <c r="B79" t="s">
        <v>359</v>
      </c>
      <c r="C79" t="s">
        <v>753</v>
      </c>
      <c r="D79" t="s">
        <v>754</v>
      </c>
    </row>
    <row r="80" spans="1:69" x14ac:dyDescent="0.35">
      <c r="A80" t="s">
        <v>54</v>
      </c>
      <c r="B80" t="s">
        <v>27</v>
      </c>
      <c r="C80" t="s">
        <v>753</v>
      </c>
      <c r="D80" t="s">
        <v>754</v>
      </c>
      <c r="AF80">
        <v>18.8</v>
      </c>
      <c r="AJ80">
        <v>19.3</v>
      </c>
      <c r="AN80">
        <v>20.2</v>
      </c>
      <c r="AS80">
        <v>22.4</v>
      </c>
      <c r="AV80">
        <v>23</v>
      </c>
      <c r="AW80">
        <v>23.2</v>
      </c>
      <c r="AX80">
        <v>23</v>
      </c>
      <c r="AY80">
        <v>23</v>
      </c>
      <c r="AZ80">
        <v>23.3</v>
      </c>
      <c r="BA80">
        <v>22.9</v>
      </c>
      <c r="BB80">
        <v>22.6</v>
      </c>
      <c r="BC80">
        <v>22.5</v>
      </c>
      <c r="BD80">
        <v>22.8</v>
      </c>
      <c r="BE80">
        <v>22.3</v>
      </c>
      <c r="BF80">
        <v>22.2</v>
      </c>
      <c r="BG80">
        <v>22</v>
      </c>
      <c r="BH80">
        <v>22.4</v>
      </c>
      <c r="BI80">
        <v>22.4</v>
      </c>
      <c r="BJ80">
        <v>22.6</v>
      </c>
      <c r="BK80">
        <v>22.6</v>
      </c>
      <c r="BL80">
        <v>23</v>
      </c>
      <c r="BM80">
        <v>22.6</v>
      </c>
      <c r="BN80">
        <v>22.9</v>
      </c>
      <c r="BO80">
        <v>23.1</v>
      </c>
      <c r="BP80">
        <v>22.5</v>
      </c>
    </row>
    <row r="81" spans="1:69" x14ac:dyDescent="0.35">
      <c r="A81" t="s">
        <v>149</v>
      </c>
      <c r="B81" t="s">
        <v>392</v>
      </c>
      <c r="C81" t="s">
        <v>753</v>
      </c>
      <c r="D81" t="s">
        <v>754</v>
      </c>
      <c r="AU81">
        <v>29.6</v>
      </c>
      <c r="BA81">
        <v>32.9</v>
      </c>
      <c r="BF81">
        <v>29.7</v>
      </c>
      <c r="BL81">
        <v>24.2</v>
      </c>
    </row>
    <row r="82" spans="1:69" x14ac:dyDescent="0.35">
      <c r="A82" t="s">
        <v>381</v>
      </c>
      <c r="B82" t="s">
        <v>626</v>
      </c>
      <c r="C82" t="s">
        <v>753</v>
      </c>
      <c r="D82" t="s">
        <v>754</v>
      </c>
      <c r="O82">
        <v>28.2</v>
      </c>
      <c r="T82">
        <v>27.5</v>
      </c>
      <c r="X82">
        <v>26.2</v>
      </c>
      <c r="AC82">
        <v>25.7</v>
      </c>
      <c r="AI82">
        <v>24.8</v>
      </c>
      <c r="AO82">
        <v>24</v>
      </c>
      <c r="AP82">
        <v>24</v>
      </c>
      <c r="AQ82">
        <v>24.1</v>
      </c>
      <c r="AR82">
        <v>24.9</v>
      </c>
      <c r="AS82">
        <v>25</v>
      </c>
      <c r="AT82">
        <v>25</v>
      </c>
      <c r="AU82">
        <v>24.6</v>
      </c>
      <c r="AV82">
        <v>25.2</v>
      </c>
      <c r="AW82">
        <v>24.5</v>
      </c>
      <c r="AX82">
        <v>23.9</v>
      </c>
      <c r="AY82">
        <v>23.5</v>
      </c>
      <c r="AZ82">
        <v>26.2</v>
      </c>
      <c r="BA82">
        <v>26.7</v>
      </c>
      <c r="BB82">
        <v>26.1</v>
      </c>
      <c r="BC82">
        <v>27.1</v>
      </c>
      <c r="BD82">
        <v>26.9</v>
      </c>
      <c r="BE82">
        <v>26.9</v>
      </c>
      <c r="BF82">
        <v>26.4</v>
      </c>
      <c r="BG82">
        <v>26.1</v>
      </c>
      <c r="BH82">
        <v>26.6</v>
      </c>
      <c r="BI82">
        <v>25.9</v>
      </c>
      <c r="BJ82">
        <v>25.8</v>
      </c>
      <c r="BK82">
        <v>26.7</v>
      </c>
      <c r="BL82">
        <v>24.8</v>
      </c>
      <c r="BM82">
        <v>24.5</v>
      </c>
      <c r="BN82">
        <v>24.9</v>
      </c>
      <c r="BO82">
        <v>24.6</v>
      </c>
      <c r="BP82">
        <v>25</v>
      </c>
    </row>
    <row r="83" spans="1:69" x14ac:dyDescent="0.35">
      <c r="A83" t="s">
        <v>345</v>
      </c>
      <c r="B83" t="s">
        <v>473</v>
      </c>
      <c r="C83" t="s">
        <v>753</v>
      </c>
      <c r="D83" t="s">
        <v>754</v>
      </c>
    </row>
    <row r="84" spans="1:69" x14ac:dyDescent="0.35">
      <c r="A84" t="s">
        <v>389</v>
      </c>
      <c r="B84" t="s">
        <v>286</v>
      </c>
      <c r="C84" t="s">
        <v>753</v>
      </c>
      <c r="D84" t="s">
        <v>754</v>
      </c>
      <c r="AX84">
        <v>32.4</v>
      </c>
      <c r="BF84">
        <v>29.7</v>
      </c>
    </row>
    <row r="85" spans="1:69" x14ac:dyDescent="0.35">
      <c r="A85" t="s">
        <v>501</v>
      </c>
      <c r="B85" t="s">
        <v>373</v>
      </c>
      <c r="C85" t="s">
        <v>753</v>
      </c>
      <c r="D85" t="s">
        <v>754</v>
      </c>
      <c r="AX85">
        <v>33.1</v>
      </c>
      <c r="BJ85">
        <v>27.7</v>
      </c>
    </row>
    <row r="86" spans="1:69" x14ac:dyDescent="0.35">
      <c r="A86" t="s">
        <v>669</v>
      </c>
      <c r="B86" t="s">
        <v>587</v>
      </c>
      <c r="C86" t="s">
        <v>753</v>
      </c>
      <c r="D86" t="s">
        <v>754</v>
      </c>
      <c r="M86">
        <v>21.9</v>
      </c>
      <c r="N86">
        <v>22.7</v>
      </c>
      <c r="O86">
        <v>22.7</v>
      </c>
      <c r="P86">
        <v>23.4</v>
      </c>
      <c r="Q86">
        <v>22.5</v>
      </c>
      <c r="R86">
        <v>22.9</v>
      </c>
      <c r="S86">
        <v>23.1</v>
      </c>
      <c r="T86">
        <v>22.2</v>
      </c>
      <c r="U86">
        <v>21.8</v>
      </c>
      <c r="V86">
        <v>21.6</v>
      </c>
      <c r="W86">
        <v>21.5</v>
      </c>
      <c r="X86">
        <v>21.6</v>
      </c>
      <c r="Y86">
        <v>22.5</v>
      </c>
      <c r="Z86">
        <v>23.3</v>
      </c>
      <c r="AA86">
        <v>23.3</v>
      </c>
      <c r="AB86">
        <v>23.2</v>
      </c>
      <c r="AC86">
        <v>22.8</v>
      </c>
      <c r="AD86">
        <v>23.4</v>
      </c>
      <c r="AE86">
        <v>24.9</v>
      </c>
      <c r="AF86">
        <v>26.3</v>
      </c>
      <c r="AG86">
        <v>26.5</v>
      </c>
      <c r="AH86">
        <v>25.2</v>
      </c>
      <c r="AI86">
        <v>27.1</v>
      </c>
      <c r="AJ86">
        <v>26.3</v>
      </c>
      <c r="AK86">
        <v>26.1</v>
      </c>
      <c r="AL86">
        <v>26.4</v>
      </c>
      <c r="AM86">
        <v>27.4</v>
      </c>
      <c r="AN86">
        <v>26.9</v>
      </c>
      <c r="AO86">
        <v>26.8</v>
      </c>
      <c r="AP86">
        <v>27.2</v>
      </c>
      <c r="AQ86">
        <v>28.1</v>
      </c>
      <c r="AR86">
        <v>28.3</v>
      </c>
      <c r="AS86">
        <v>30.8</v>
      </c>
      <c r="AT86">
        <v>28.9</v>
      </c>
      <c r="AU86">
        <v>27.3</v>
      </c>
      <c r="AV86">
        <v>26.9</v>
      </c>
      <c r="AW86">
        <v>26.9</v>
      </c>
      <c r="AX86">
        <v>27.4</v>
      </c>
      <c r="AY86">
        <v>27.9</v>
      </c>
      <c r="AZ86">
        <v>26.1</v>
      </c>
      <c r="BA86">
        <v>27.2</v>
      </c>
      <c r="BB86">
        <v>27</v>
      </c>
      <c r="BC86">
        <v>26</v>
      </c>
      <c r="BD86">
        <v>25.5</v>
      </c>
      <c r="BE86">
        <v>25.3</v>
      </c>
      <c r="BF86">
        <v>24.9</v>
      </c>
      <c r="BG86">
        <v>25.2</v>
      </c>
      <c r="BH86">
        <v>25.3</v>
      </c>
      <c r="BI86">
        <v>25.1</v>
      </c>
      <c r="BJ86">
        <v>24.5</v>
      </c>
      <c r="BK86">
        <v>25.4</v>
      </c>
      <c r="BL86">
        <v>24.7</v>
      </c>
      <c r="BM86">
        <v>24.6</v>
      </c>
      <c r="BN86">
        <v>24.6</v>
      </c>
    </row>
    <row r="87" spans="1:69" x14ac:dyDescent="0.35">
      <c r="A87" t="s">
        <v>620</v>
      </c>
      <c r="B87" t="s">
        <v>468</v>
      </c>
      <c r="C87" t="s">
        <v>753</v>
      </c>
      <c r="D87" t="s">
        <v>754</v>
      </c>
      <c r="AO87">
        <v>27.9</v>
      </c>
      <c r="AP87">
        <v>29.9</v>
      </c>
      <c r="AQ87">
        <v>31.2</v>
      </c>
      <c r="AR87">
        <v>29.9</v>
      </c>
      <c r="AS87">
        <v>30.3</v>
      </c>
      <c r="AT87">
        <v>30</v>
      </c>
      <c r="AU87">
        <v>28.2</v>
      </c>
      <c r="AV87">
        <v>27.1</v>
      </c>
      <c r="AW87">
        <v>26.7</v>
      </c>
      <c r="AX87">
        <v>27.7</v>
      </c>
      <c r="AY87">
        <v>27.5</v>
      </c>
      <c r="AZ87">
        <v>28.9</v>
      </c>
      <c r="BA87">
        <v>29.1</v>
      </c>
      <c r="BB87">
        <v>28.9</v>
      </c>
      <c r="BC87">
        <v>29.5</v>
      </c>
      <c r="BD87">
        <v>29.8</v>
      </c>
      <c r="BE87">
        <v>29.3</v>
      </c>
      <c r="BF87">
        <v>29.1</v>
      </c>
      <c r="BG87">
        <v>28.6</v>
      </c>
      <c r="BH87">
        <v>27.8</v>
      </c>
      <c r="BI87">
        <v>28.1</v>
      </c>
      <c r="BJ87">
        <v>28.9</v>
      </c>
      <c r="BK87">
        <v>27.5</v>
      </c>
      <c r="BL87">
        <v>27.6</v>
      </c>
      <c r="BM87">
        <v>26.2</v>
      </c>
      <c r="BN87">
        <v>26.2</v>
      </c>
      <c r="BO87">
        <v>25.2</v>
      </c>
      <c r="BP87">
        <v>26.9</v>
      </c>
      <c r="BQ87">
        <v>26.2</v>
      </c>
    </row>
    <row r="88" spans="1:69" x14ac:dyDescent="0.35">
      <c r="A88" t="s">
        <v>170</v>
      </c>
      <c r="B88" t="s">
        <v>551</v>
      </c>
      <c r="C88" t="s">
        <v>753</v>
      </c>
      <c r="D88" t="s">
        <v>754</v>
      </c>
      <c r="AF88">
        <v>27.3</v>
      </c>
      <c r="AG88">
        <v>28.1</v>
      </c>
      <c r="AJ88">
        <v>30.1</v>
      </c>
      <c r="AQ88">
        <v>29.6</v>
      </c>
      <c r="AX88">
        <v>32.700000000000003</v>
      </c>
      <c r="BE88">
        <v>31.7</v>
      </c>
      <c r="BI88">
        <v>32.200000000000003</v>
      </c>
    </row>
    <row r="89" spans="1:69" x14ac:dyDescent="0.35">
      <c r="A89" t="s">
        <v>132</v>
      </c>
      <c r="B89" t="s">
        <v>683</v>
      </c>
      <c r="C89" t="s">
        <v>753</v>
      </c>
      <c r="D89" t="s">
        <v>754</v>
      </c>
    </row>
    <row r="90" spans="1:69" x14ac:dyDescent="0.35">
      <c r="A90" t="s">
        <v>576</v>
      </c>
      <c r="B90" t="s">
        <v>571</v>
      </c>
      <c r="C90" t="s">
        <v>753</v>
      </c>
      <c r="D90" t="s">
        <v>754</v>
      </c>
      <c r="AJ90">
        <v>31.4</v>
      </c>
      <c r="AM90">
        <v>36</v>
      </c>
      <c r="AU90">
        <v>34</v>
      </c>
      <c r="AZ90">
        <v>30.1</v>
      </c>
      <c r="BE90">
        <v>26.4</v>
      </c>
      <c r="BK90">
        <v>23.1</v>
      </c>
    </row>
    <row r="91" spans="1:69" x14ac:dyDescent="0.35">
      <c r="A91" t="s">
        <v>26</v>
      </c>
      <c r="B91" t="s">
        <v>86</v>
      </c>
      <c r="C91" t="s">
        <v>753</v>
      </c>
      <c r="D91" t="s">
        <v>754</v>
      </c>
      <c r="AQ91">
        <v>37.6</v>
      </c>
      <c r="AV91">
        <v>36.700000000000003</v>
      </c>
      <c r="BC91">
        <v>34.9</v>
      </c>
      <c r="BH91">
        <v>28.7</v>
      </c>
      <c r="BM91">
        <v>30.5</v>
      </c>
    </row>
    <row r="92" spans="1:69" x14ac:dyDescent="0.35">
      <c r="A92" t="s">
        <v>581</v>
      </c>
      <c r="B92" t="s">
        <v>163</v>
      </c>
      <c r="C92" t="s">
        <v>753</v>
      </c>
      <c r="D92" t="s">
        <v>754</v>
      </c>
      <c r="AJ92">
        <v>42.2</v>
      </c>
      <c r="AL92">
        <v>34.4</v>
      </c>
      <c r="AU92">
        <v>28</v>
      </c>
      <c r="BC92">
        <v>42</v>
      </c>
      <c r="BK92">
        <v>27.6</v>
      </c>
      <c r="BN92">
        <v>26.1</v>
      </c>
    </row>
    <row r="93" spans="1:69" x14ac:dyDescent="0.35">
      <c r="A93" t="s">
        <v>645</v>
      </c>
      <c r="B93" t="s">
        <v>234</v>
      </c>
      <c r="C93" t="s">
        <v>753</v>
      </c>
      <c r="D93" t="s">
        <v>754</v>
      </c>
      <c r="BO93">
        <v>29.1</v>
      </c>
    </row>
    <row r="94" spans="1:69" x14ac:dyDescent="0.35">
      <c r="A94" t="s">
        <v>691</v>
      </c>
      <c r="B94" t="s">
        <v>545</v>
      </c>
      <c r="C94" t="s">
        <v>753</v>
      </c>
      <c r="D94" t="s">
        <v>754</v>
      </c>
      <c r="AN94">
        <v>26.9</v>
      </c>
      <c r="AS94">
        <v>25.5</v>
      </c>
      <c r="AU94">
        <v>26.7</v>
      </c>
      <c r="AV94">
        <v>24.6</v>
      </c>
      <c r="AW94">
        <v>25.5</v>
      </c>
      <c r="AX94">
        <v>26.3</v>
      </c>
      <c r="AY94">
        <v>26.7</v>
      </c>
      <c r="AZ94">
        <v>26</v>
      </c>
      <c r="BA94">
        <v>26</v>
      </c>
      <c r="BB94">
        <v>26</v>
      </c>
      <c r="BC94">
        <v>25.6</v>
      </c>
      <c r="BD94">
        <v>25.6</v>
      </c>
      <c r="BE94">
        <v>26.6</v>
      </c>
      <c r="BF94">
        <v>26.4</v>
      </c>
      <c r="BG94">
        <v>26.1</v>
      </c>
      <c r="BH94">
        <v>26.2</v>
      </c>
      <c r="BI94">
        <v>25.9</v>
      </c>
      <c r="BJ94">
        <v>25.9</v>
      </c>
      <c r="BK94">
        <v>24.9</v>
      </c>
      <c r="BL94">
        <v>24.9</v>
      </c>
      <c r="BM94">
        <v>25.2</v>
      </c>
      <c r="BN94">
        <v>24.8</v>
      </c>
      <c r="BO94">
        <v>25.7</v>
      </c>
      <c r="BP94">
        <v>26</v>
      </c>
    </row>
    <row r="95" spans="1:69" x14ac:dyDescent="0.35">
      <c r="A95" t="s">
        <v>76</v>
      </c>
      <c r="B95" t="s">
        <v>599</v>
      </c>
      <c r="C95" t="s">
        <v>753</v>
      </c>
      <c r="D95" t="s">
        <v>754</v>
      </c>
      <c r="BK95">
        <v>33.700000000000003</v>
      </c>
    </row>
    <row r="96" spans="1:69" x14ac:dyDescent="0.35">
      <c r="A96" t="s">
        <v>526</v>
      </c>
      <c r="B96" t="s">
        <v>663</v>
      </c>
      <c r="C96" t="s">
        <v>753</v>
      </c>
      <c r="D96" t="s">
        <v>754</v>
      </c>
    </row>
    <row r="97" spans="1:69" x14ac:dyDescent="0.35">
      <c r="A97" t="s">
        <v>268</v>
      </c>
      <c r="B97" t="s">
        <v>140</v>
      </c>
      <c r="C97" t="s">
        <v>753</v>
      </c>
      <c r="D97" t="s">
        <v>754</v>
      </c>
      <c r="AE97">
        <v>41.5</v>
      </c>
      <c r="AH97">
        <v>45.7</v>
      </c>
      <c r="AQ97">
        <v>37</v>
      </c>
      <c r="AS97">
        <v>43.9</v>
      </c>
      <c r="AY97">
        <v>43</v>
      </c>
      <c r="BG97">
        <v>38</v>
      </c>
      <c r="BP97">
        <v>34.1</v>
      </c>
    </row>
    <row r="98" spans="1:69" x14ac:dyDescent="0.35">
      <c r="A98" t="s">
        <v>735</v>
      </c>
      <c r="B98" t="s">
        <v>41</v>
      </c>
      <c r="C98" t="s">
        <v>753</v>
      </c>
      <c r="D98" t="s">
        <v>754</v>
      </c>
    </row>
    <row r="99" spans="1:69" x14ac:dyDescent="0.35">
      <c r="A99" t="s">
        <v>365</v>
      </c>
      <c r="B99" t="s">
        <v>533</v>
      </c>
      <c r="C99" t="s">
        <v>753</v>
      </c>
      <c r="D99" t="s">
        <v>754</v>
      </c>
      <c r="AK99">
        <v>28.5</v>
      </c>
      <c r="AQ99">
        <v>34.4</v>
      </c>
    </row>
    <row r="100" spans="1:69" x14ac:dyDescent="0.35">
      <c r="A100" t="s">
        <v>353</v>
      </c>
      <c r="B100" t="s">
        <v>534</v>
      </c>
      <c r="C100" t="s">
        <v>753</v>
      </c>
      <c r="D100" t="s">
        <v>754</v>
      </c>
    </row>
    <row r="101" spans="1:69" x14ac:dyDescent="0.35">
      <c r="A101" t="s">
        <v>274</v>
      </c>
      <c r="B101" t="s">
        <v>342</v>
      </c>
      <c r="C101" t="s">
        <v>753</v>
      </c>
      <c r="D101" t="s">
        <v>754</v>
      </c>
    </row>
    <row r="102" spans="1:69" x14ac:dyDescent="0.35">
      <c r="A102" t="s">
        <v>552</v>
      </c>
      <c r="B102" t="s">
        <v>65</v>
      </c>
      <c r="C102" t="s">
        <v>753</v>
      </c>
      <c r="D102" t="s">
        <v>754</v>
      </c>
      <c r="AH102">
        <v>42.9</v>
      </c>
      <c r="AI102">
        <v>43.6</v>
      </c>
      <c r="AJ102">
        <v>40.799999999999997</v>
      </c>
      <c r="AK102">
        <v>41.4</v>
      </c>
      <c r="AL102">
        <v>42.8</v>
      </c>
      <c r="AM102">
        <v>43.5</v>
      </c>
      <c r="AN102">
        <v>43.8</v>
      </c>
      <c r="AO102">
        <v>43.7</v>
      </c>
      <c r="AP102">
        <v>41.4</v>
      </c>
      <c r="AQ102">
        <v>44.6</v>
      </c>
      <c r="AR102">
        <v>41.8</v>
      </c>
      <c r="AT102">
        <v>41.6</v>
      </c>
      <c r="AU102">
        <v>42.7</v>
      </c>
      <c r="AV102">
        <v>45</v>
      </c>
      <c r="AW102">
        <v>44.9</v>
      </c>
      <c r="AX102">
        <v>46.1</v>
      </c>
      <c r="AY102">
        <v>44</v>
      </c>
      <c r="AZ102">
        <v>43.1</v>
      </c>
      <c r="BA102">
        <v>43</v>
      </c>
      <c r="BB102">
        <v>38.4</v>
      </c>
      <c r="BC102">
        <v>40.200000000000003</v>
      </c>
      <c r="BD102">
        <v>39.700000000000003</v>
      </c>
      <c r="BE102">
        <v>40.4</v>
      </c>
      <c r="BF102">
        <v>36.9</v>
      </c>
      <c r="BG102">
        <v>37.4</v>
      </c>
      <c r="BH102">
        <v>36.6</v>
      </c>
      <c r="BI102">
        <v>36</v>
      </c>
      <c r="BJ102">
        <v>36.6</v>
      </c>
      <c r="BK102">
        <v>35.299999999999997</v>
      </c>
      <c r="BL102">
        <v>34.6</v>
      </c>
      <c r="BP102">
        <v>33</v>
      </c>
      <c r="BQ102">
        <v>32.299999999999997</v>
      </c>
    </row>
    <row r="103" spans="1:69" x14ac:dyDescent="0.35">
      <c r="A103" t="s">
        <v>684</v>
      </c>
      <c r="B103" t="s">
        <v>160</v>
      </c>
      <c r="C103" t="s">
        <v>753</v>
      </c>
      <c r="D103" t="s">
        <v>754</v>
      </c>
    </row>
    <row r="104" spans="1:69" x14ac:dyDescent="0.35">
      <c r="A104" t="s">
        <v>521</v>
      </c>
      <c r="B104" t="s">
        <v>625</v>
      </c>
      <c r="C104" t="s">
        <v>753</v>
      </c>
      <c r="D104" t="s">
        <v>754</v>
      </c>
      <c r="AG104">
        <v>19.5</v>
      </c>
      <c r="AQ104">
        <v>22.5</v>
      </c>
      <c r="AR104">
        <v>22.9</v>
      </c>
      <c r="AS104">
        <v>25.1</v>
      </c>
      <c r="AT104">
        <v>24.6</v>
      </c>
      <c r="AW104">
        <v>23.6</v>
      </c>
      <c r="BA104">
        <v>27.9</v>
      </c>
      <c r="BB104">
        <v>24.2</v>
      </c>
      <c r="BC104">
        <v>23.9</v>
      </c>
      <c r="BD104">
        <v>23.7</v>
      </c>
      <c r="BE104">
        <v>23.9</v>
      </c>
      <c r="BF104">
        <v>23.7</v>
      </c>
      <c r="BG104">
        <v>24</v>
      </c>
      <c r="BH104">
        <v>23.2</v>
      </c>
      <c r="BI104">
        <v>23.2</v>
      </c>
      <c r="BJ104">
        <v>22.8</v>
      </c>
      <c r="BK104">
        <v>22.7</v>
      </c>
      <c r="BL104">
        <v>22.2</v>
      </c>
      <c r="BM104">
        <v>22.3</v>
      </c>
      <c r="BN104">
        <v>22.3</v>
      </c>
      <c r="BO104">
        <v>23</v>
      </c>
      <c r="BP104">
        <v>23.3</v>
      </c>
    </row>
    <row r="105" spans="1:69" x14ac:dyDescent="0.35">
      <c r="A105" t="s">
        <v>5</v>
      </c>
      <c r="B105" t="s">
        <v>93</v>
      </c>
      <c r="C105" t="s">
        <v>753</v>
      </c>
      <c r="D105" t="s">
        <v>754</v>
      </c>
      <c r="AT105">
        <v>47.7</v>
      </c>
      <c r="BE105">
        <v>31.2</v>
      </c>
    </row>
    <row r="106" spans="1:69" x14ac:dyDescent="0.35">
      <c r="A106" t="s">
        <v>53</v>
      </c>
      <c r="B106" t="s">
        <v>637</v>
      </c>
      <c r="C106" t="s">
        <v>753</v>
      </c>
      <c r="D106" t="s">
        <v>754</v>
      </c>
      <c r="AF106">
        <v>19</v>
      </c>
      <c r="AH106">
        <v>21.6</v>
      </c>
      <c r="AJ106">
        <v>23.5</v>
      </c>
      <c r="AL106">
        <v>24.4</v>
      </c>
      <c r="AM106">
        <v>25.9</v>
      </c>
      <c r="AQ106">
        <v>21.9</v>
      </c>
      <c r="AR106">
        <v>24.3</v>
      </c>
      <c r="AS106">
        <v>22.8</v>
      </c>
      <c r="AT106">
        <v>22.1</v>
      </c>
      <c r="AU106">
        <v>22.2</v>
      </c>
      <c r="AV106">
        <v>24.6</v>
      </c>
      <c r="AW106">
        <v>24.2</v>
      </c>
      <c r="AX106">
        <v>28.1</v>
      </c>
      <c r="AY106">
        <v>22.8</v>
      </c>
      <c r="AZ106">
        <v>22.3</v>
      </c>
      <c r="BA106">
        <v>22.1</v>
      </c>
      <c r="BB106">
        <v>21.5</v>
      </c>
      <c r="BC106">
        <v>23.1</v>
      </c>
      <c r="BD106">
        <v>23.2</v>
      </c>
      <c r="BE106">
        <v>23.9</v>
      </c>
      <c r="BF106">
        <v>24.4</v>
      </c>
      <c r="BG106">
        <v>24</v>
      </c>
      <c r="BH106">
        <v>23.8</v>
      </c>
      <c r="BI106">
        <v>23.8</v>
      </c>
      <c r="BJ106">
        <v>23.9</v>
      </c>
    </row>
    <row r="107" spans="1:69" x14ac:dyDescent="0.35">
      <c r="A107" t="s">
        <v>716</v>
      </c>
      <c r="B107" t="s">
        <v>145</v>
      </c>
      <c r="C107" t="s">
        <v>753</v>
      </c>
      <c r="D107" t="s">
        <v>754</v>
      </c>
    </row>
    <row r="108" spans="1:69" x14ac:dyDescent="0.35">
      <c r="A108" t="s">
        <v>80</v>
      </c>
      <c r="B108" t="s">
        <v>278</v>
      </c>
      <c r="C108" t="s">
        <v>753</v>
      </c>
      <c r="D108" t="s">
        <v>754</v>
      </c>
    </row>
    <row r="109" spans="1:69" x14ac:dyDescent="0.35">
      <c r="A109" t="s">
        <v>737</v>
      </c>
      <c r="B109" t="s">
        <v>549</v>
      </c>
      <c r="C109" t="s">
        <v>753</v>
      </c>
      <c r="D109" t="s">
        <v>754</v>
      </c>
    </row>
    <row r="110" spans="1:69" x14ac:dyDescent="0.35">
      <c r="A110" t="s">
        <v>503</v>
      </c>
      <c r="B110" t="s">
        <v>1</v>
      </c>
      <c r="C110" t="s">
        <v>753</v>
      </c>
      <c r="D110" t="s">
        <v>754</v>
      </c>
    </row>
    <row r="111" spans="1:69" x14ac:dyDescent="0.35">
      <c r="A111" t="s">
        <v>472</v>
      </c>
      <c r="B111" t="s">
        <v>479</v>
      </c>
      <c r="C111" t="s">
        <v>753</v>
      </c>
      <c r="D111" t="s">
        <v>754</v>
      </c>
      <c r="AC111">
        <v>26.2</v>
      </c>
      <c r="AF111">
        <v>25.5</v>
      </c>
      <c r="AI111">
        <v>26.1</v>
      </c>
      <c r="AL111">
        <v>26.8</v>
      </c>
      <c r="AO111">
        <v>28.6</v>
      </c>
      <c r="AQ111">
        <v>25.9</v>
      </c>
      <c r="AR111">
        <v>26.4</v>
      </c>
      <c r="AS111">
        <v>25.6</v>
      </c>
      <c r="AT111">
        <v>26.3</v>
      </c>
      <c r="AU111">
        <v>25.9</v>
      </c>
      <c r="AV111">
        <v>24.6</v>
      </c>
      <c r="AW111">
        <v>25.3</v>
      </c>
      <c r="AX111">
        <v>25.1</v>
      </c>
      <c r="AY111">
        <v>26.1</v>
      </c>
      <c r="AZ111">
        <v>27.3</v>
      </c>
      <c r="BA111">
        <v>26.9</v>
      </c>
      <c r="BB111">
        <v>27.8</v>
      </c>
      <c r="BC111">
        <v>27.8</v>
      </c>
      <c r="BD111">
        <v>30.9</v>
      </c>
      <c r="BE111">
        <v>30.5</v>
      </c>
      <c r="BF111">
        <v>31.5</v>
      </c>
      <c r="BG111">
        <v>31.5</v>
      </c>
      <c r="BH111">
        <v>31.5</v>
      </c>
      <c r="BI111">
        <v>29.4</v>
      </c>
      <c r="BJ111">
        <v>28.6</v>
      </c>
      <c r="BK111">
        <v>28.5</v>
      </c>
      <c r="BL111">
        <v>27.8</v>
      </c>
      <c r="BM111">
        <v>27.9</v>
      </c>
      <c r="BN111">
        <v>28.3</v>
      </c>
      <c r="BO111">
        <v>29</v>
      </c>
      <c r="BP111">
        <v>29.9</v>
      </c>
      <c r="BQ111">
        <v>28.8</v>
      </c>
    </row>
    <row r="112" spans="1:69" x14ac:dyDescent="0.35">
      <c r="A112" t="s">
        <v>731</v>
      </c>
      <c r="B112" t="s">
        <v>675</v>
      </c>
      <c r="C112" t="s">
        <v>753</v>
      </c>
      <c r="D112" t="s">
        <v>754</v>
      </c>
    </row>
    <row r="113" spans="1:68" x14ac:dyDescent="0.35">
      <c r="A113" t="s">
        <v>303</v>
      </c>
      <c r="B113" t="s">
        <v>117</v>
      </c>
      <c r="C113" t="s">
        <v>753</v>
      </c>
      <c r="D113" t="s">
        <v>754</v>
      </c>
    </row>
    <row r="114" spans="1:68" x14ac:dyDescent="0.35">
      <c r="A114" t="s">
        <v>208</v>
      </c>
      <c r="B114" t="s">
        <v>596</v>
      </c>
      <c r="C114" t="s">
        <v>753</v>
      </c>
      <c r="D114" t="s">
        <v>754</v>
      </c>
      <c r="V114">
        <v>25.2</v>
      </c>
      <c r="AB114">
        <v>22.8</v>
      </c>
      <c r="AF114">
        <v>23.6</v>
      </c>
      <c r="AL114">
        <v>22.6</v>
      </c>
      <c r="AW114">
        <v>24.1</v>
      </c>
      <c r="BB114">
        <v>24.2</v>
      </c>
      <c r="BD114">
        <v>24.8</v>
      </c>
      <c r="BO114">
        <v>22.1</v>
      </c>
    </row>
    <row r="115" spans="1:68" x14ac:dyDescent="0.35">
      <c r="A115" t="s">
        <v>520</v>
      </c>
      <c r="B115" t="s">
        <v>376</v>
      </c>
      <c r="C115" t="s">
        <v>753</v>
      </c>
      <c r="D115" t="s">
        <v>754</v>
      </c>
    </row>
    <row r="116" spans="1:68" x14ac:dyDescent="0.35">
      <c r="A116" t="s">
        <v>106</v>
      </c>
      <c r="B116" t="s">
        <v>58</v>
      </c>
      <c r="C116" t="s">
        <v>753</v>
      </c>
      <c r="D116" t="s">
        <v>754</v>
      </c>
      <c r="AF116">
        <v>26.8</v>
      </c>
      <c r="AM116">
        <v>28.6</v>
      </c>
      <c r="AN116">
        <v>28.2</v>
      </c>
      <c r="AO116">
        <v>27.3</v>
      </c>
      <c r="AS116">
        <v>25.7</v>
      </c>
      <c r="AU116">
        <v>24.6</v>
      </c>
      <c r="AV116">
        <v>25.9</v>
      </c>
      <c r="AW116">
        <v>26.6</v>
      </c>
      <c r="AX116">
        <v>26.9</v>
      </c>
      <c r="AY116">
        <v>25.6</v>
      </c>
      <c r="AZ116">
        <v>25.5</v>
      </c>
      <c r="BA116">
        <v>24.6</v>
      </c>
      <c r="BB116">
        <v>25.6</v>
      </c>
      <c r="BC116">
        <v>24.9</v>
      </c>
      <c r="BD116">
        <v>25.5</v>
      </c>
      <c r="BE116">
        <v>25.9</v>
      </c>
      <c r="BF116">
        <v>26.1</v>
      </c>
      <c r="BG116">
        <v>24.9</v>
      </c>
      <c r="BH116">
        <v>25.4</v>
      </c>
      <c r="BI116">
        <v>25.9</v>
      </c>
      <c r="BJ116">
        <v>25.4</v>
      </c>
      <c r="BK116">
        <v>25.1</v>
      </c>
      <c r="BL116">
        <v>24.6</v>
      </c>
      <c r="BM116">
        <v>23.8</v>
      </c>
      <c r="BN116">
        <v>24.1</v>
      </c>
      <c r="BO116">
        <v>24.5</v>
      </c>
      <c r="BP116">
        <v>24.1</v>
      </c>
    </row>
    <row r="117" spans="1:68" x14ac:dyDescent="0.35">
      <c r="A117" t="s">
        <v>420</v>
      </c>
      <c r="B117" t="s">
        <v>182</v>
      </c>
      <c r="C117" t="s">
        <v>753</v>
      </c>
      <c r="D117" t="s">
        <v>754</v>
      </c>
      <c r="AE117">
        <v>36.9</v>
      </c>
      <c r="AI117">
        <v>33.5</v>
      </c>
      <c r="AM117">
        <v>33.299999999999997</v>
      </c>
      <c r="AQ117">
        <v>33.700000000000003</v>
      </c>
      <c r="AX117">
        <v>33.299999999999997</v>
      </c>
      <c r="AY117">
        <v>34</v>
      </c>
      <c r="BB117">
        <v>31.3</v>
      </c>
      <c r="BD117">
        <v>26.7</v>
      </c>
      <c r="BE117">
        <v>26.9</v>
      </c>
      <c r="BF117">
        <v>26.7</v>
      </c>
      <c r="BG117">
        <v>27.1</v>
      </c>
      <c r="BH117">
        <v>27.6</v>
      </c>
      <c r="BI117">
        <v>28.1</v>
      </c>
      <c r="BJ117">
        <v>28.3</v>
      </c>
      <c r="BK117">
        <v>29.1</v>
      </c>
      <c r="BL117">
        <v>28.3</v>
      </c>
      <c r="BM117">
        <v>27.6</v>
      </c>
      <c r="BN117">
        <v>27.2</v>
      </c>
      <c r="BO117">
        <v>26.8</v>
      </c>
      <c r="BP117">
        <v>28.2</v>
      </c>
    </row>
    <row r="118" spans="1:68" x14ac:dyDescent="0.35">
      <c r="A118" t="s">
        <v>0</v>
      </c>
      <c r="B118" t="s">
        <v>539</v>
      </c>
      <c r="C118" t="s">
        <v>753</v>
      </c>
      <c r="D118" t="s">
        <v>754</v>
      </c>
      <c r="AY118">
        <v>23.6</v>
      </c>
      <c r="BE118">
        <v>23.7</v>
      </c>
      <c r="BP118">
        <v>24.2</v>
      </c>
    </row>
    <row r="119" spans="1:68" x14ac:dyDescent="0.35">
      <c r="A119" t="s">
        <v>29</v>
      </c>
      <c r="B119" t="s">
        <v>146</v>
      </c>
      <c r="C119" t="s">
        <v>753</v>
      </c>
      <c r="D119" t="s">
        <v>754</v>
      </c>
      <c r="AV119">
        <v>22.6</v>
      </c>
      <c r="AW119">
        <v>23.7</v>
      </c>
      <c r="AX119">
        <v>24.3</v>
      </c>
      <c r="AY119">
        <v>25.4</v>
      </c>
      <c r="AZ119">
        <v>24.8</v>
      </c>
      <c r="BA119">
        <v>27.1</v>
      </c>
      <c r="BB119">
        <v>24</v>
      </c>
      <c r="BC119">
        <v>22</v>
      </c>
      <c r="BD119">
        <v>22.1</v>
      </c>
      <c r="BE119">
        <v>22.1</v>
      </c>
      <c r="BF119">
        <v>21.3</v>
      </c>
      <c r="BG119">
        <v>23.5</v>
      </c>
      <c r="BH119">
        <v>22.5</v>
      </c>
      <c r="BI119">
        <v>22.8</v>
      </c>
      <c r="BJ119">
        <v>22</v>
      </c>
      <c r="BK119">
        <v>21.7</v>
      </c>
      <c r="BL119">
        <v>22.4</v>
      </c>
    </row>
    <row r="120" spans="1:68" x14ac:dyDescent="0.35">
      <c r="A120" t="s">
        <v>486</v>
      </c>
      <c r="B120" t="s">
        <v>671</v>
      </c>
      <c r="C120" t="s">
        <v>753</v>
      </c>
      <c r="D120" t="s">
        <v>754</v>
      </c>
      <c r="X120">
        <v>26.2</v>
      </c>
      <c r="AE120">
        <v>26.4</v>
      </c>
      <c r="AK120">
        <v>26.5</v>
      </c>
      <c r="AP120">
        <v>27.7</v>
      </c>
      <c r="AT120">
        <v>28.3</v>
      </c>
      <c r="AU120">
        <v>28.3</v>
      </c>
      <c r="AV120">
        <v>29</v>
      </c>
      <c r="AW120">
        <v>28.9</v>
      </c>
      <c r="AX120">
        <v>30</v>
      </c>
      <c r="AY120">
        <v>29.2</v>
      </c>
      <c r="AZ120">
        <v>29</v>
      </c>
      <c r="BA120">
        <v>29.5</v>
      </c>
      <c r="BB120">
        <v>30.1</v>
      </c>
      <c r="BC120">
        <v>30.7</v>
      </c>
      <c r="BD120">
        <v>29</v>
      </c>
      <c r="BE120">
        <v>29.1</v>
      </c>
      <c r="BF120">
        <v>28.2</v>
      </c>
      <c r="BG120">
        <v>27.8</v>
      </c>
      <c r="BH120">
        <v>28.1</v>
      </c>
      <c r="BI120">
        <v>27.3</v>
      </c>
      <c r="BJ120">
        <v>26.5</v>
      </c>
      <c r="BK120">
        <v>27.2</v>
      </c>
      <c r="BL120">
        <v>26.7</v>
      </c>
      <c r="BM120">
        <v>26.2</v>
      </c>
      <c r="BN120">
        <v>26.6</v>
      </c>
    </row>
    <row r="121" spans="1:68" x14ac:dyDescent="0.35">
      <c r="A121" t="s">
        <v>175</v>
      </c>
      <c r="B121" t="s">
        <v>565</v>
      </c>
      <c r="C121" t="s">
        <v>753</v>
      </c>
      <c r="D121" t="s">
        <v>754</v>
      </c>
      <c r="V121">
        <v>25.5</v>
      </c>
      <c r="W121">
        <v>25</v>
      </c>
      <c r="X121">
        <v>24.8</v>
      </c>
      <c r="Y121">
        <v>25</v>
      </c>
      <c r="Z121">
        <v>24.1</v>
      </c>
      <c r="AA121">
        <v>22.2</v>
      </c>
      <c r="AB121">
        <v>22.4</v>
      </c>
      <c r="AC121">
        <v>23.5</v>
      </c>
      <c r="AE121">
        <v>23.2</v>
      </c>
      <c r="AF121">
        <v>24.6</v>
      </c>
      <c r="AH121">
        <v>24.3</v>
      </c>
      <c r="AJ121">
        <v>23.2</v>
      </c>
      <c r="AL121">
        <v>25.3</v>
      </c>
      <c r="AN121">
        <v>25.7</v>
      </c>
      <c r="AQ121">
        <v>27.2</v>
      </c>
      <c r="AS121">
        <v>26</v>
      </c>
      <c r="AU121">
        <v>25.4</v>
      </c>
      <c r="AV121">
        <v>26.7</v>
      </c>
      <c r="AW121">
        <v>26.3</v>
      </c>
      <c r="AX121">
        <v>25.5</v>
      </c>
      <c r="AY121">
        <v>25.6</v>
      </c>
      <c r="AZ121">
        <v>24.9</v>
      </c>
      <c r="BA121">
        <v>25.7</v>
      </c>
      <c r="BB121">
        <v>25.4</v>
      </c>
      <c r="BC121">
        <v>26.2</v>
      </c>
      <c r="BD121">
        <v>26.4</v>
      </c>
      <c r="BE121">
        <v>26.4</v>
      </c>
      <c r="BF121">
        <v>25.9</v>
      </c>
      <c r="BG121">
        <v>25.5</v>
      </c>
      <c r="BH121">
        <v>25.8</v>
      </c>
      <c r="BI121">
        <v>26</v>
      </c>
      <c r="BJ121">
        <v>26.7</v>
      </c>
      <c r="BK121">
        <v>25.9</v>
      </c>
      <c r="BL121">
        <v>25.8</v>
      </c>
      <c r="BM121">
        <v>26.1</v>
      </c>
      <c r="BN121">
        <v>26.2</v>
      </c>
      <c r="BO121">
        <v>25.3</v>
      </c>
      <c r="BP121">
        <v>25.8</v>
      </c>
    </row>
    <row r="122" spans="1:68" x14ac:dyDescent="0.35">
      <c r="A122" t="s">
        <v>127</v>
      </c>
      <c r="B122" t="s">
        <v>702</v>
      </c>
      <c r="C122" t="s">
        <v>753</v>
      </c>
      <c r="D122" t="s">
        <v>754</v>
      </c>
      <c r="AG122">
        <v>33.700000000000003</v>
      </c>
      <c r="AI122">
        <v>32</v>
      </c>
      <c r="AL122">
        <v>27.4</v>
      </c>
      <c r="AO122">
        <v>32.700000000000003</v>
      </c>
      <c r="AR122">
        <v>35</v>
      </c>
      <c r="AU122">
        <v>38</v>
      </c>
      <c r="AW122">
        <v>35.700000000000003</v>
      </c>
      <c r="BK122">
        <v>27.4</v>
      </c>
      <c r="BN122">
        <v>29.6</v>
      </c>
    </row>
    <row r="123" spans="1:68" x14ac:dyDescent="0.35">
      <c r="A123" t="s">
        <v>575</v>
      </c>
      <c r="B123" t="s">
        <v>311</v>
      </c>
      <c r="C123" t="s">
        <v>753</v>
      </c>
      <c r="D123" t="s">
        <v>754</v>
      </c>
      <c r="AE123">
        <v>28.1</v>
      </c>
      <c r="AK123">
        <v>34.700000000000003</v>
      </c>
      <c r="AP123">
        <v>29.8</v>
      </c>
      <c r="AU123">
        <v>29.5</v>
      </c>
      <c r="AY123">
        <v>27.5</v>
      </c>
      <c r="BA123">
        <v>26.6</v>
      </c>
      <c r="BC123">
        <v>27.4</v>
      </c>
    </row>
    <row r="124" spans="1:68" x14ac:dyDescent="0.35">
      <c r="A124" t="s">
        <v>734</v>
      </c>
      <c r="B124" t="s">
        <v>566</v>
      </c>
      <c r="C124" t="s">
        <v>753</v>
      </c>
      <c r="D124" t="s">
        <v>754</v>
      </c>
      <c r="BA124">
        <v>25.4</v>
      </c>
      <c r="BB124">
        <v>24.5</v>
      </c>
      <c r="BC124">
        <v>23.5</v>
      </c>
      <c r="BD124">
        <v>24.4</v>
      </c>
      <c r="BE124">
        <v>24.1</v>
      </c>
      <c r="BF124">
        <v>23.3</v>
      </c>
      <c r="BG124">
        <v>23.5</v>
      </c>
      <c r="BH124">
        <v>23.5</v>
      </c>
      <c r="BI124">
        <v>23.3</v>
      </c>
      <c r="BJ124">
        <v>23.9</v>
      </c>
      <c r="BK124">
        <v>24.1</v>
      </c>
      <c r="BL124">
        <v>24.3</v>
      </c>
      <c r="BM124">
        <v>23.9</v>
      </c>
    </row>
    <row r="125" spans="1:68" x14ac:dyDescent="0.35">
      <c r="A125" t="s">
        <v>84</v>
      </c>
      <c r="B125" t="s">
        <v>292</v>
      </c>
      <c r="C125" t="s">
        <v>753</v>
      </c>
      <c r="D125" t="s">
        <v>754</v>
      </c>
      <c r="AL125">
        <v>24.9</v>
      </c>
      <c r="AO125">
        <v>26.3</v>
      </c>
      <c r="AT125">
        <v>27.1</v>
      </c>
      <c r="AU125">
        <v>26.8</v>
      </c>
      <c r="AV125">
        <v>25.8</v>
      </c>
      <c r="AW125">
        <v>25.1</v>
      </c>
      <c r="AX125">
        <v>29.7</v>
      </c>
      <c r="AY125">
        <v>24.9</v>
      </c>
      <c r="AZ125">
        <v>24.6</v>
      </c>
      <c r="BA125">
        <v>23.6</v>
      </c>
      <c r="BB125">
        <v>23.1</v>
      </c>
      <c r="BC125">
        <v>23.1</v>
      </c>
      <c r="BD125">
        <v>23</v>
      </c>
      <c r="BE125">
        <v>22.9</v>
      </c>
      <c r="BF125">
        <v>22.5</v>
      </c>
      <c r="BG125">
        <v>22.6</v>
      </c>
      <c r="BH125">
        <v>22.6</v>
      </c>
      <c r="BI125">
        <v>22.7</v>
      </c>
      <c r="BJ125">
        <v>23</v>
      </c>
      <c r="BK125">
        <v>23.4</v>
      </c>
      <c r="BL125">
        <v>23.6</v>
      </c>
      <c r="BM125">
        <v>24.2</v>
      </c>
      <c r="BN125">
        <v>24.8</v>
      </c>
    </row>
    <row r="126" spans="1:68" x14ac:dyDescent="0.35">
      <c r="A126" t="s">
        <v>739</v>
      </c>
      <c r="B126" t="s">
        <v>696</v>
      </c>
      <c r="C126" t="s">
        <v>753</v>
      </c>
      <c r="D126" t="s">
        <v>754</v>
      </c>
      <c r="AK126">
        <v>47.2</v>
      </c>
      <c r="AM126">
        <v>33.4</v>
      </c>
      <c r="AP126">
        <v>36.200000000000003</v>
      </c>
      <c r="AX126">
        <v>36.799999999999997</v>
      </c>
      <c r="BH126">
        <v>31.6</v>
      </c>
      <c r="BM126">
        <v>28.4</v>
      </c>
      <c r="BN126">
        <v>31.8</v>
      </c>
      <c r="BO126">
        <v>30.1</v>
      </c>
    </row>
    <row r="127" spans="1:68" x14ac:dyDescent="0.35">
      <c r="A127" t="s">
        <v>470</v>
      </c>
      <c r="B127" t="s">
        <v>423</v>
      </c>
      <c r="C127" t="s">
        <v>753</v>
      </c>
      <c r="D127" t="s">
        <v>754</v>
      </c>
      <c r="AQ127">
        <v>35.200000000000003</v>
      </c>
      <c r="AS127">
        <v>24.8</v>
      </c>
      <c r="AT127">
        <v>23.9</v>
      </c>
      <c r="AU127">
        <v>23.9</v>
      </c>
      <c r="AV127">
        <v>23.3</v>
      </c>
      <c r="AW127">
        <v>27.2</v>
      </c>
      <c r="AX127">
        <v>26.1</v>
      </c>
      <c r="AY127">
        <v>29.4</v>
      </c>
      <c r="AZ127">
        <v>26.5</v>
      </c>
      <c r="BA127">
        <v>25.3</v>
      </c>
      <c r="BB127">
        <v>24.6</v>
      </c>
      <c r="BC127">
        <v>24.6</v>
      </c>
      <c r="BD127">
        <v>23.5</v>
      </c>
      <c r="BE127">
        <v>23.1</v>
      </c>
      <c r="BF127">
        <v>23.8</v>
      </c>
      <c r="BG127">
        <v>22.9</v>
      </c>
      <c r="BH127">
        <v>24.8</v>
      </c>
      <c r="BI127">
        <v>22.9</v>
      </c>
      <c r="BJ127">
        <v>23.3</v>
      </c>
      <c r="BK127">
        <v>23.6</v>
      </c>
      <c r="BL127">
        <v>25.8</v>
      </c>
      <c r="BM127">
        <v>24</v>
      </c>
      <c r="BN127">
        <v>24.2</v>
      </c>
      <c r="BO127">
        <v>22</v>
      </c>
      <c r="BP127">
        <v>23</v>
      </c>
    </row>
    <row r="128" spans="1:68" x14ac:dyDescent="0.35">
      <c r="A128" t="s">
        <v>674</v>
      </c>
      <c r="B128" t="s">
        <v>709</v>
      </c>
      <c r="C128" t="s">
        <v>753</v>
      </c>
      <c r="D128" t="s">
        <v>754</v>
      </c>
    </row>
    <row r="129" spans="1:67" x14ac:dyDescent="0.35">
      <c r="A129" t="s">
        <v>635</v>
      </c>
      <c r="B129" t="s">
        <v>527</v>
      </c>
      <c r="C129" t="s">
        <v>753</v>
      </c>
      <c r="D129" t="s">
        <v>754</v>
      </c>
      <c r="AY129">
        <v>29.2</v>
      </c>
      <c r="BL129">
        <v>22.8</v>
      </c>
    </row>
    <row r="130" spans="1:67" x14ac:dyDescent="0.35">
      <c r="A130" t="s">
        <v>168</v>
      </c>
      <c r="B130" t="s">
        <v>393</v>
      </c>
      <c r="C130" t="s">
        <v>753</v>
      </c>
      <c r="D130" t="s">
        <v>754</v>
      </c>
    </row>
    <row r="131" spans="1:67" x14ac:dyDescent="0.35">
      <c r="A131" t="s">
        <v>197</v>
      </c>
      <c r="B131" t="s">
        <v>667</v>
      </c>
      <c r="C131" t="s">
        <v>753</v>
      </c>
      <c r="D131" t="s">
        <v>754</v>
      </c>
      <c r="AY131">
        <v>23.6</v>
      </c>
      <c r="BA131">
        <v>24</v>
      </c>
      <c r="BC131">
        <v>23.8</v>
      </c>
      <c r="BE131">
        <v>23.4</v>
      </c>
      <c r="BG131">
        <v>23.2</v>
      </c>
      <c r="BI131">
        <v>26</v>
      </c>
      <c r="BJ131">
        <v>25.6</v>
      </c>
      <c r="BK131">
        <v>24.8</v>
      </c>
      <c r="BL131">
        <v>24.7</v>
      </c>
      <c r="BM131">
        <v>24.8</v>
      </c>
      <c r="BN131">
        <v>24.6</v>
      </c>
    </row>
    <row r="132" spans="1:67" x14ac:dyDescent="0.35">
      <c r="A132" t="s">
        <v>724</v>
      </c>
      <c r="B132" t="s">
        <v>509</v>
      </c>
      <c r="C132" t="s">
        <v>753</v>
      </c>
      <c r="D132" t="s">
        <v>754</v>
      </c>
    </row>
    <row r="133" spans="1:67" x14ac:dyDescent="0.35">
      <c r="A133" t="s">
        <v>287</v>
      </c>
      <c r="B133" t="s">
        <v>522</v>
      </c>
      <c r="C133" t="s">
        <v>753</v>
      </c>
      <c r="D133" t="s">
        <v>754</v>
      </c>
    </row>
    <row r="134" spans="1:67" x14ac:dyDescent="0.35">
      <c r="A134" t="s">
        <v>574</v>
      </c>
      <c r="B134" t="s">
        <v>245</v>
      </c>
      <c r="C134" t="s">
        <v>753</v>
      </c>
      <c r="D134" t="s">
        <v>754</v>
      </c>
      <c r="AK134">
        <v>28</v>
      </c>
      <c r="AP134">
        <v>29.1</v>
      </c>
      <c r="AU134">
        <v>27</v>
      </c>
      <c r="AZ134">
        <v>29.2</v>
      </c>
      <c r="BE134">
        <v>29</v>
      </c>
      <c r="BK134">
        <v>31.2</v>
      </c>
    </row>
    <row r="135" spans="1:67" x14ac:dyDescent="0.35">
      <c r="A135" t="s">
        <v>446</v>
      </c>
      <c r="B135" t="s">
        <v>264</v>
      </c>
      <c r="C135" t="s">
        <v>753</v>
      </c>
      <c r="D135" t="s">
        <v>754</v>
      </c>
      <c r="BD135">
        <v>24.7</v>
      </c>
      <c r="BO135">
        <v>25.1</v>
      </c>
    </row>
    <row r="136" spans="1:67" x14ac:dyDescent="0.35">
      <c r="A136" t="s">
        <v>248</v>
      </c>
      <c r="B136" t="s">
        <v>662</v>
      </c>
      <c r="C136" t="s">
        <v>753</v>
      </c>
      <c r="D136" t="s">
        <v>754</v>
      </c>
      <c r="AZ136">
        <v>28.1</v>
      </c>
      <c r="BG136">
        <v>26</v>
      </c>
      <c r="BI136">
        <v>27.1</v>
      </c>
    </row>
    <row r="137" spans="1:67" x14ac:dyDescent="0.35">
      <c r="A137" t="s">
        <v>555</v>
      </c>
      <c r="B137" t="s">
        <v>666</v>
      </c>
      <c r="C137" t="s">
        <v>753</v>
      </c>
      <c r="D137" t="s">
        <v>754</v>
      </c>
    </row>
    <row r="138" spans="1:67" x14ac:dyDescent="0.35">
      <c r="A138" t="s">
        <v>515</v>
      </c>
      <c r="B138" t="s">
        <v>383</v>
      </c>
      <c r="C138" t="s">
        <v>753</v>
      </c>
      <c r="D138" t="s">
        <v>754</v>
      </c>
      <c r="AN138">
        <v>32.5</v>
      </c>
      <c r="BH138">
        <v>34.1</v>
      </c>
    </row>
    <row r="139" spans="1:67" x14ac:dyDescent="0.35">
      <c r="A139" t="s">
        <v>605</v>
      </c>
      <c r="B139" t="s">
        <v>178</v>
      </c>
      <c r="C139" t="s">
        <v>753</v>
      </c>
      <c r="D139" t="s">
        <v>754</v>
      </c>
    </row>
    <row r="140" spans="1:67" x14ac:dyDescent="0.35">
      <c r="A140" t="s">
        <v>284</v>
      </c>
      <c r="B140" t="s">
        <v>589</v>
      </c>
      <c r="C140" t="s">
        <v>753</v>
      </c>
      <c r="D140" t="s">
        <v>754</v>
      </c>
    </row>
    <row r="141" spans="1:67" x14ac:dyDescent="0.35">
      <c r="A141" t="s">
        <v>649</v>
      </c>
      <c r="B141" t="s">
        <v>70</v>
      </c>
      <c r="C141" t="s">
        <v>753</v>
      </c>
      <c r="D141" t="s">
        <v>754</v>
      </c>
    </row>
    <row r="142" spans="1:67" x14ac:dyDescent="0.35">
      <c r="A142" t="s">
        <v>615</v>
      </c>
      <c r="B142" t="s">
        <v>356</v>
      </c>
      <c r="C142" t="s">
        <v>753</v>
      </c>
      <c r="D142" t="s">
        <v>754</v>
      </c>
    </row>
    <row r="143" spans="1:67" x14ac:dyDescent="0.35">
      <c r="A143" t="s">
        <v>3</v>
      </c>
      <c r="B143" t="s">
        <v>687</v>
      </c>
      <c r="C143" t="s">
        <v>753</v>
      </c>
      <c r="D143" t="s">
        <v>754</v>
      </c>
      <c r="AD143">
        <v>26.4</v>
      </c>
      <c r="AI143">
        <v>27.5</v>
      </c>
      <c r="AN143">
        <v>29</v>
      </c>
      <c r="AU143">
        <v>32.700000000000003</v>
      </c>
      <c r="AY143">
        <v>32.299999999999997</v>
      </c>
      <c r="BB143">
        <v>29.6</v>
      </c>
      <c r="BE143">
        <v>31.9</v>
      </c>
      <c r="BI143">
        <v>32.6</v>
      </c>
      <c r="BL143">
        <v>30.8</v>
      </c>
    </row>
    <row r="144" spans="1:67" x14ac:dyDescent="0.35">
      <c r="A144" t="s">
        <v>374</v>
      </c>
      <c r="B144" t="s">
        <v>225</v>
      </c>
      <c r="C144" t="s">
        <v>753</v>
      </c>
      <c r="D144" t="s">
        <v>754</v>
      </c>
    </row>
    <row r="145" spans="1:68" x14ac:dyDescent="0.35">
      <c r="A145" t="s">
        <v>329</v>
      </c>
      <c r="B145" t="s">
        <v>306</v>
      </c>
      <c r="C145" t="s">
        <v>753</v>
      </c>
      <c r="D145" t="s">
        <v>754</v>
      </c>
    </row>
    <row r="146" spans="1:68" x14ac:dyDescent="0.35">
      <c r="A146" t="s">
        <v>502</v>
      </c>
      <c r="B146" t="s">
        <v>259</v>
      </c>
      <c r="C146" t="s">
        <v>753</v>
      </c>
      <c r="D146" t="s">
        <v>754</v>
      </c>
      <c r="AE146">
        <v>43.6</v>
      </c>
      <c r="AM146">
        <v>48.2</v>
      </c>
      <c r="AU146">
        <v>38.200000000000003</v>
      </c>
      <c r="BJ146">
        <v>32.9</v>
      </c>
    </row>
    <row r="147" spans="1:68" x14ac:dyDescent="0.35">
      <c r="A147" t="s">
        <v>416</v>
      </c>
      <c r="B147" t="s">
        <v>722</v>
      </c>
      <c r="C147" t="s">
        <v>753</v>
      </c>
      <c r="D147" t="s">
        <v>754</v>
      </c>
    </row>
    <row r="148" spans="1:68" x14ac:dyDescent="0.35">
      <c r="A148" t="s">
        <v>424</v>
      </c>
      <c r="B148" t="s">
        <v>114</v>
      </c>
      <c r="C148" t="s">
        <v>753</v>
      </c>
      <c r="D148" t="s">
        <v>754</v>
      </c>
      <c r="AL148">
        <v>27.5</v>
      </c>
      <c r="AO148">
        <v>25.6</v>
      </c>
      <c r="AQ148">
        <v>25.2</v>
      </c>
      <c r="AR148">
        <v>25.2</v>
      </c>
      <c r="AS148">
        <v>24.7</v>
      </c>
      <c r="AT148">
        <v>24.9</v>
      </c>
      <c r="AU148">
        <v>24.9</v>
      </c>
      <c r="AV148">
        <v>27.9</v>
      </c>
      <c r="AW148">
        <v>27.9</v>
      </c>
      <c r="AX148">
        <v>27.2</v>
      </c>
      <c r="AY148">
        <v>26.8</v>
      </c>
      <c r="AZ148">
        <v>26.8</v>
      </c>
      <c r="BA148">
        <v>27.6</v>
      </c>
      <c r="BB148">
        <v>27.6</v>
      </c>
      <c r="BC148">
        <v>24.8</v>
      </c>
      <c r="BD148">
        <v>24.5</v>
      </c>
      <c r="BE148">
        <v>26.8</v>
      </c>
      <c r="BF148">
        <v>26.9</v>
      </c>
      <c r="BG148">
        <v>28.9</v>
      </c>
      <c r="BH148">
        <v>28.6</v>
      </c>
      <c r="BI148">
        <v>29.5</v>
      </c>
      <c r="BJ148">
        <v>28.4</v>
      </c>
      <c r="BK148">
        <v>27.1</v>
      </c>
      <c r="BL148">
        <v>27.5</v>
      </c>
      <c r="BM148">
        <v>28.5</v>
      </c>
      <c r="BN148">
        <v>29.1</v>
      </c>
      <c r="BO148">
        <v>28.7</v>
      </c>
      <c r="BP148">
        <v>27.3</v>
      </c>
    </row>
    <row r="149" spans="1:68" x14ac:dyDescent="0.35">
      <c r="A149" t="s">
        <v>301</v>
      </c>
      <c r="B149" t="s">
        <v>546</v>
      </c>
      <c r="C149" t="s">
        <v>753</v>
      </c>
      <c r="D149" t="s">
        <v>754</v>
      </c>
      <c r="AD149">
        <v>21.3</v>
      </c>
      <c r="AE149">
        <v>22.5</v>
      </c>
      <c r="AF149">
        <v>23.9</v>
      </c>
      <c r="AG149">
        <v>23.4</v>
      </c>
      <c r="AH149">
        <v>25.7</v>
      </c>
      <c r="AI149">
        <v>22.5</v>
      </c>
      <c r="AJ149">
        <v>21.8</v>
      </c>
      <c r="AK149">
        <v>21.9</v>
      </c>
      <c r="AL149">
        <v>21.8</v>
      </c>
      <c r="AM149">
        <v>22.4</v>
      </c>
      <c r="AN149">
        <v>22.5</v>
      </c>
      <c r="AO149">
        <v>22.7</v>
      </c>
      <c r="AP149">
        <v>23.1</v>
      </c>
      <c r="AQ149">
        <v>23.7</v>
      </c>
      <c r="AR149">
        <v>23.4</v>
      </c>
      <c r="AS149">
        <v>23.3</v>
      </c>
      <c r="AT149">
        <v>24.3</v>
      </c>
      <c r="AU149">
        <v>24.7</v>
      </c>
      <c r="AV149">
        <v>23.6</v>
      </c>
      <c r="AW149">
        <v>23.7</v>
      </c>
      <c r="AX149">
        <v>24.3</v>
      </c>
      <c r="AY149">
        <v>24.3</v>
      </c>
      <c r="AZ149">
        <v>25</v>
      </c>
      <c r="BA149">
        <v>25.7</v>
      </c>
      <c r="BB149">
        <v>24.2</v>
      </c>
      <c r="BC149">
        <v>23.7</v>
      </c>
      <c r="BD149">
        <v>24.4</v>
      </c>
      <c r="BE149">
        <v>26.4</v>
      </c>
      <c r="BF149">
        <v>24.2</v>
      </c>
      <c r="BG149">
        <v>24.2</v>
      </c>
      <c r="BH149">
        <v>25.1</v>
      </c>
      <c r="BI149">
        <v>24.1</v>
      </c>
      <c r="BJ149">
        <v>25.6</v>
      </c>
      <c r="BK149">
        <v>26.6</v>
      </c>
      <c r="BL149">
        <v>25.8</v>
      </c>
      <c r="BM149">
        <v>25</v>
      </c>
      <c r="BN149">
        <v>24.5</v>
      </c>
      <c r="BO149">
        <v>25.6</v>
      </c>
      <c r="BP149">
        <v>25</v>
      </c>
    </row>
    <row r="150" spans="1:68" x14ac:dyDescent="0.35">
      <c r="A150" t="s">
        <v>277</v>
      </c>
      <c r="B150" t="s">
        <v>471</v>
      </c>
      <c r="C150" t="s">
        <v>753</v>
      </c>
      <c r="D150" t="s">
        <v>754</v>
      </c>
      <c r="AL150">
        <v>22.1</v>
      </c>
      <c r="AN150">
        <v>25.1</v>
      </c>
      <c r="AO150">
        <v>25.6</v>
      </c>
      <c r="AP150">
        <v>26.6</v>
      </c>
      <c r="AQ150">
        <v>26.2</v>
      </c>
      <c r="AU150">
        <v>27.5</v>
      </c>
      <c r="AV150">
        <v>28.5</v>
      </c>
      <c r="AW150">
        <v>28.5</v>
      </c>
      <c r="AX150">
        <v>30</v>
      </c>
      <c r="AY150">
        <v>26.8</v>
      </c>
      <c r="AZ150">
        <v>28.3</v>
      </c>
      <c r="BA150">
        <v>27.7</v>
      </c>
      <c r="BB150">
        <v>26.9</v>
      </c>
      <c r="BC150">
        <v>26.2</v>
      </c>
      <c r="BD150">
        <v>27.3</v>
      </c>
      <c r="BE150">
        <v>26.6</v>
      </c>
      <c r="BF150">
        <v>26.8</v>
      </c>
      <c r="BG150">
        <v>26.7</v>
      </c>
      <c r="BH150">
        <v>26.2</v>
      </c>
      <c r="BI150">
        <v>25.8</v>
      </c>
      <c r="BJ150">
        <v>26.9</v>
      </c>
      <c r="BK150">
        <v>26.9</v>
      </c>
      <c r="BL150">
        <v>26.6</v>
      </c>
      <c r="BM150">
        <v>27.5</v>
      </c>
      <c r="BN150">
        <v>26.2</v>
      </c>
      <c r="BO150">
        <v>25.8</v>
      </c>
      <c r="BP150">
        <v>26.2</v>
      </c>
    </row>
    <row r="151" spans="1:68" x14ac:dyDescent="0.35">
      <c r="A151" t="s">
        <v>578</v>
      </c>
      <c r="B151" t="s">
        <v>307</v>
      </c>
      <c r="C151" t="s">
        <v>753</v>
      </c>
      <c r="D151" t="s">
        <v>754</v>
      </c>
    </row>
    <row r="152" spans="1:68" x14ac:dyDescent="0.35">
      <c r="A152" t="s">
        <v>406</v>
      </c>
      <c r="B152" t="s">
        <v>475</v>
      </c>
      <c r="C152" t="s">
        <v>753</v>
      </c>
      <c r="D152" t="s">
        <v>754</v>
      </c>
    </row>
    <row r="153" spans="1:68" x14ac:dyDescent="0.35">
      <c r="A153" t="s">
        <v>37</v>
      </c>
      <c r="B153" t="s">
        <v>205</v>
      </c>
      <c r="C153" t="s">
        <v>753</v>
      </c>
      <c r="D153" t="s">
        <v>754</v>
      </c>
      <c r="AC153">
        <v>28.8</v>
      </c>
      <c r="AI153">
        <v>30.7</v>
      </c>
      <c r="AQ153">
        <v>30.8</v>
      </c>
      <c r="AS153">
        <v>32.1</v>
      </c>
      <c r="AY153">
        <v>33.1</v>
      </c>
      <c r="BF153">
        <v>31.9</v>
      </c>
    </row>
    <row r="154" spans="1:68" x14ac:dyDescent="0.35">
      <c r="A154" t="s">
        <v>414</v>
      </c>
      <c r="B154" t="s">
        <v>6</v>
      </c>
      <c r="C154" t="s">
        <v>753</v>
      </c>
      <c r="D154" t="s">
        <v>754</v>
      </c>
    </row>
    <row r="155" spans="1:68" x14ac:dyDescent="0.35">
      <c r="A155" t="s">
        <v>484</v>
      </c>
      <c r="B155" t="s">
        <v>88</v>
      </c>
      <c r="C155" t="s">
        <v>753</v>
      </c>
      <c r="D155" t="s">
        <v>754</v>
      </c>
      <c r="AP155">
        <v>28.1</v>
      </c>
      <c r="AQ155">
        <v>30.1</v>
      </c>
      <c r="AR155">
        <v>34.4</v>
      </c>
      <c r="AS155">
        <v>28.4</v>
      </c>
      <c r="AT155">
        <v>29.8</v>
      </c>
      <c r="AU155">
        <v>27.5</v>
      </c>
      <c r="AV155">
        <v>27.7</v>
      </c>
      <c r="AW155">
        <v>27.7</v>
      </c>
      <c r="AX155">
        <v>28.4</v>
      </c>
      <c r="AY155">
        <v>27.4</v>
      </c>
      <c r="AZ155">
        <v>26.8</v>
      </c>
      <c r="BA155">
        <v>27.1</v>
      </c>
      <c r="BB155">
        <v>25</v>
      </c>
      <c r="BC155">
        <v>25.4</v>
      </c>
      <c r="BD155">
        <v>24.5</v>
      </c>
      <c r="BE155">
        <v>23.6</v>
      </c>
      <c r="BF155">
        <v>23.2</v>
      </c>
      <c r="BG155">
        <v>22.1</v>
      </c>
      <c r="BH155">
        <v>22.5</v>
      </c>
      <c r="BI155">
        <v>22.7</v>
      </c>
      <c r="BJ155">
        <v>21.7</v>
      </c>
      <c r="BK155">
        <v>21.9</v>
      </c>
      <c r="BL155">
        <v>22</v>
      </c>
      <c r="BM155">
        <v>21.5</v>
      </c>
      <c r="BN155">
        <v>22.1</v>
      </c>
      <c r="BO155">
        <v>22.5</v>
      </c>
      <c r="BP155">
        <v>22.8</v>
      </c>
    </row>
    <row r="156" spans="1:68" x14ac:dyDescent="0.35">
      <c r="A156" t="s">
        <v>427</v>
      </c>
      <c r="B156" t="s">
        <v>17</v>
      </c>
      <c r="C156" t="s">
        <v>753</v>
      </c>
      <c r="D156" t="s">
        <v>754</v>
      </c>
      <c r="Y156">
        <v>37</v>
      </c>
      <c r="AL156">
        <v>37</v>
      </c>
      <c r="AP156">
        <v>30.1</v>
      </c>
      <c r="AR156">
        <v>28.9</v>
      </c>
      <c r="AT156">
        <v>36.6</v>
      </c>
      <c r="AX156">
        <v>32.4</v>
      </c>
      <c r="BC156">
        <v>34.299999999999997</v>
      </c>
      <c r="BE156">
        <v>33.5</v>
      </c>
      <c r="BN156">
        <v>29.6</v>
      </c>
    </row>
    <row r="157" spans="1:68" x14ac:dyDescent="0.35">
      <c r="A157" t="s">
        <v>228</v>
      </c>
      <c r="B157" t="s">
        <v>97</v>
      </c>
      <c r="C157" t="s">
        <v>753</v>
      </c>
      <c r="D157" t="s">
        <v>754</v>
      </c>
      <c r="AU157">
        <v>34.799999999999997</v>
      </c>
      <c r="BB157">
        <v>29.9</v>
      </c>
      <c r="BI157">
        <v>25.2</v>
      </c>
      <c r="BL157">
        <v>23.3</v>
      </c>
    </row>
    <row r="158" spans="1:68" x14ac:dyDescent="0.35">
      <c r="A158" t="s">
        <v>583</v>
      </c>
      <c r="B158" t="s">
        <v>164</v>
      </c>
      <c r="C158" t="s">
        <v>753</v>
      </c>
      <c r="D158" t="s">
        <v>754</v>
      </c>
    </row>
    <row r="159" spans="1:68" x14ac:dyDescent="0.35">
      <c r="A159" t="s">
        <v>246</v>
      </c>
      <c r="B159" t="s">
        <v>310</v>
      </c>
      <c r="C159" t="s">
        <v>753</v>
      </c>
      <c r="D159" t="s">
        <v>754</v>
      </c>
      <c r="AC159">
        <v>37.9</v>
      </c>
      <c r="AH159">
        <v>40.200000000000003</v>
      </c>
      <c r="AK159">
        <v>41.9</v>
      </c>
      <c r="AM159">
        <v>43</v>
      </c>
      <c r="AO159">
        <v>41.2</v>
      </c>
      <c r="AQ159">
        <v>41.8</v>
      </c>
      <c r="AS159">
        <v>42.4</v>
      </c>
      <c r="AU159">
        <v>39.9</v>
      </c>
      <c r="AW159">
        <v>39.700000000000003</v>
      </c>
      <c r="AX159">
        <v>40.299999999999997</v>
      </c>
      <c r="AY159">
        <v>39.5</v>
      </c>
      <c r="BA159">
        <v>39.700000000000003</v>
      </c>
      <c r="BC159">
        <v>37.200000000000003</v>
      </c>
      <c r="BE159">
        <v>39.6</v>
      </c>
      <c r="BG159">
        <v>39.5</v>
      </c>
      <c r="BI159">
        <v>37.4</v>
      </c>
      <c r="BK159">
        <v>36.6</v>
      </c>
      <c r="BM159">
        <v>35.1</v>
      </c>
      <c r="BO159">
        <v>34.4</v>
      </c>
    </row>
    <row r="160" spans="1:68" x14ac:dyDescent="0.35">
      <c r="A160" t="s">
        <v>707</v>
      </c>
      <c r="B160" t="s">
        <v>641</v>
      </c>
      <c r="C160" t="s">
        <v>753</v>
      </c>
      <c r="D160" t="s">
        <v>754</v>
      </c>
      <c r="BL160">
        <v>27.5</v>
      </c>
    </row>
    <row r="161" spans="1:67" x14ac:dyDescent="0.35">
      <c r="A161" t="s">
        <v>458</v>
      </c>
      <c r="B161" t="s">
        <v>600</v>
      </c>
      <c r="C161" t="s">
        <v>753</v>
      </c>
      <c r="D161" t="s">
        <v>754</v>
      </c>
    </row>
    <row r="162" spans="1:67" x14ac:dyDescent="0.35">
      <c r="A162" t="s">
        <v>123</v>
      </c>
      <c r="B162" t="s">
        <v>654</v>
      </c>
      <c r="C162" t="s">
        <v>753</v>
      </c>
      <c r="D162" t="s">
        <v>754</v>
      </c>
      <c r="AQ162">
        <v>22.2</v>
      </c>
      <c r="AS162">
        <v>25.9</v>
      </c>
      <c r="AU162">
        <v>29</v>
      </c>
      <c r="AV162">
        <v>29.4</v>
      </c>
      <c r="AW162">
        <v>29</v>
      </c>
      <c r="AX162">
        <v>28.9</v>
      </c>
      <c r="AY162">
        <v>32.1</v>
      </c>
      <c r="BA162">
        <v>35.5</v>
      </c>
      <c r="BB162">
        <v>30.7</v>
      </c>
      <c r="BC162">
        <v>27.1</v>
      </c>
      <c r="BD162">
        <v>26.9</v>
      </c>
      <c r="BE162">
        <v>26.5</v>
      </c>
      <c r="BF162">
        <v>25.4</v>
      </c>
      <c r="BG162">
        <v>24.8</v>
      </c>
      <c r="BH162">
        <v>24.8</v>
      </c>
      <c r="BI162">
        <v>24.1</v>
      </c>
      <c r="BJ162">
        <v>23.7</v>
      </c>
      <c r="BK162">
        <v>22.9</v>
      </c>
      <c r="BL162">
        <v>22.9</v>
      </c>
    </row>
    <row r="163" spans="1:67" x14ac:dyDescent="0.35">
      <c r="A163" t="s">
        <v>357</v>
      </c>
      <c r="B163" t="s">
        <v>612</v>
      </c>
      <c r="C163" t="s">
        <v>753</v>
      </c>
      <c r="D163" t="s">
        <v>754</v>
      </c>
      <c r="AM163">
        <v>40.4</v>
      </c>
      <c r="AT163">
        <v>30</v>
      </c>
      <c r="AY163">
        <v>30.2</v>
      </c>
      <c r="BB163">
        <v>25.7</v>
      </c>
      <c r="BK163">
        <v>28.1</v>
      </c>
      <c r="BN163">
        <v>28.3</v>
      </c>
    </row>
    <row r="164" spans="1:67" x14ac:dyDescent="0.35">
      <c r="A164" t="s">
        <v>407</v>
      </c>
      <c r="B164" t="s">
        <v>119</v>
      </c>
      <c r="C164" t="s">
        <v>753</v>
      </c>
      <c r="D164" t="s">
        <v>754</v>
      </c>
      <c r="AY164">
        <v>22</v>
      </c>
      <c r="AZ164">
        <v>22.6</v>
      </c>
      <c r="BA164">
        <v>22.5</v>
      </c>
      <c r="BB164">
        <v>23.8</v>
      </c>
      <c r="BC164">
        <v>22.7</v>
      </c>
      <c r="BD164">
        <v>23.2</v>
      </c>
      <c r="BE164">
        <v>23.4</v>
      </c>
      <c r="BF164">
        <v>23.2</v>
      </c>
      <c r="BG164">
        <v>23.3</v>
      </c>
      <c r="BH164">
        <v>23.6</v>
      </c>
      <c r="BI164">
        <v>23.1</v>
      </c>
      <c r="BJ164">
        <v>23.3</v>
      </c>
      <c r="BK164">
        <v>22.9</v>
      </c>
      <c r="BL164">
        <v>24.8</v>
      </c>
      <c r="BM164">
        <v>25.1</v>
      </c>
      <c r="BN164">
        <v>25.9</v>
      </c>
      <c r="BO164">
        <v>27.7</v>
      </c>
    </row>
    <row r="165" spans="1:67" x14ac:dyDescent="0.35">
      <c r="A165" t="s">
        <v>433</v>
      </c>
      <c r="B165" t="s">
        <v>69</v>
      </c>
      <c r="C165" t="s">
        <v>753</v>
      </c>
      <c r="D165" t="s">
        <v>754</v>
      </c>
      <c r="BH165">
        <v>31.7</v>
      </c>
      <c r="BJ165">
        <v>25.5</v>
      </c>
    </row>
    <row r="166" spans="1:67" x14ac:dyDescent="0.35">
      <c r="A166" t="s">
        <v>660</v>
      </c>
      <c r="B166" t="s">
        <v>553</v>
      </c>
      <c r="C166" t="s">
        <v>753</v>
      </c>
      <c r="D166" t="s">
        <v>754</v>
      </c>
    </row>
    <row r="167" spans="1:67" x14ac:dyDescent="0.35">
      <c r="A167" t="s">
        <v>412</v>
      </c>
      <c r="B167" t="s">
        <v>201</v>
      </c>
      <c r="C167" t="s">
        <v>753</v>
      </c>
      <c r="D167" t="s">
        <v>754</v>
      </c>
      <c r="AX167">
        <v>24</v>
      </c>
      <c r="AY167">
        <v>23.2</v>
      </c>
      <c r="AZ167">
        <v>24.5</v>
      </c>
      <c r="BA167">
        <v>24.5</v>
      </c>
      <c r="BB167">
        <v>24.8</v>
      </c>
      <c r="BC167">
        <v>22.6</v>
      </c>
      <c r="BD167">
        <v>24.7</v>
      </c>
      <c r="BE167">
        <v>28.7</v>
      </c>
      <c r="BF167">
        <v>27.2</v>
      </c>
      <c r="BG167">
        <v>26.9</v>
      </c>
      <c r="BH167">
        <v>27.7</v>
      </c>
      <c r="BI167">
        <v>27.7</v>
      </c>
      <c r="BJ167">
        <v>26</v>
      </c>
      <c r="BK167">
        <v>26</v>
      </c>
      <c r="BL167">
        <v>25.3</v>
      </c>
      <c r="BM167">
        <v>25.4</v>
      </c>
      <c r="BN167">
        <v>24.7</v>
      </c>
    </row>
    <row r="168" spans="1:67" x14ac:dyDescent="0.35">
      <c r="A168" t="s">
        <v>405</v>
      </c>
      <c r="B168" t="s">
        <v>481</v>
      </c>
      <c r="C168" t="s">
        <v>753</v>
      </c>
      <c r="D168" t="s">
        <v>754</v>
      </c>
      <c r="AN168">
        <v>25</v>
      </c>
      <c r="AQ168">
        <v>22.9</v>
      </c>
      <c r="AU168">
        <v>24.6</v>
      </c>
      <c r="AZ168">
        <v>27.7</v>
      </c>
      <c r="BC168">
        <v>25.7</v>
      </c>
      <c r="BD168">
        <v>26.6</v>
      </c>
      <c r="BE168">
        <v>26.2</v>
      </c>
      <c r="BG168">
        <v>25.5</v>
      </c>
      <c r="BI168">
        <v>25.6</v>
      </c>
      <c r="BK168">
        <v>25.7</v>
      </c>
      <c r="BO168">
        <v>24.6</v>
      </c>
    </row>
    <row r="169" spans="1:67" x14ac:dyDescent="0.35">
      <c r="A169" t="s">
        <v>184</v>
      </c>
      <c r="B169" t="s">
        <v>613</v>
      </c>
      <c r="C169" t="s">
        <v>753</v>
      </c>
      <c r="D169" t="s">
        <v>754</v>
      </c>
    </row>
    <row r="170" spans="1:67" x14ac:dyDescent="0.35">
      <c r="A170" t="s">
        <v>606</v>
      </c>
      <c r="B170" t="s">
        <v>141</v>
      </c>
      <c r="C170" t="s">
        <v>753</v>
      </c>
      <c r="D170" t="s">
        <v>754</v>
      </c>
      <c r="AO170">
        <v>43.7</v>
      </c>
      <c r="AU170">
        <v>39.299999999999997</v>
      </c>
      <c r="BA170">
        <v>36.799999999999997</v>
      </c>
      <c r="BG170">
        <v>45.5</v>
      </c>
      <c r="BL170">
        <v>41.7</v>
      </c>
      <c r="BO170">
        <v>40.799999999999997</v>
      </c>
    </row>
    <row r="171" spans="1:67" x14ac:dyDescent="0.35">
      <c r="A171" t="s">
        <v>59</v>
      </c>
      <c r="B171" t="s">
        <v>419</v>
      </c>
      <c r="C171" t="s">
        <v>753</v>
      </c>
      <c r="D171" t="s">
        <v>754</v>
      </c>
      <c r="AF171">
        <v>32</v>
      </c>
      <c r="AL171">
        <v>41.9</v>
      </c>
      <c r="AN171">
        <v>28.7</v>
      </c>
      <c r="AS171">
        <v>29.5</v>
      </c>
      <c r="AW171">
        <v>32.6</v>
      </c>
      <c r="BA171">
        <v>26.2</v>
      </c>
      <c r="BG171">
        <v>24.9</v>
      </c>
      <c r="BL171">
        <v>24.6</v>
      </c>
    </row>
    <row r="172" spans="1:67" x14ac:dyDescent="0.35">
      <c r="A172" t="s">
        <v>52</v>
      </c>
      <c r="B172" t="s">
        <v>429</v>
      </c>
      <c r="C172" t="s">
        <v>753</v>
      </c>
      <c r="D172" t="s">
        <v>754</v>
      </c>
      <c r="AY172">
        <v>28.7</v>
      </c>
      <c r="BE172">
        <v>31.6</v>
      </c>
      <c r="BJ172">
        <v>29.9</v>
      </c>
    </row>
    <row r="173" spans="1:67" x14ac:dyDescent="0.35">
      <c r="A173" t="s">
        <v>543</v>
      </c>
      <c r="B173" t="s">
        <v>247</v>
      </c>
      <c r="C173" t="s">
        <v>753</v>
      </c>
      <c r="D173" t="s">
        <v>754</v>
      </c>
      <c r="AP173">
        <v>61.5</v>
      </c>
      <c r="AW173">
        <v>32.799999999999997</v>
      </c>
      <c r="BC173">
        <v>36.9</v>
      </c>
      <c r="BI173">
        <v>38.1</v>
      </c>
      <c r="BL173">
        <v>31</v>
      </c>
    </row>
    <row r="174" spans="1:67" x14ac:dyDescent="0.35">
      <c r="A174" t="s">
        <v>452</v>
      </c>
      <c r="B174" t="s">
        <v>588</v>
      </c>
      <c r="C174" t="s">
        <v>753</v>
      </c>
      <c r="D174" t="s">
        <v>754</v>
      </c>
      <c r="AC174">
        <v>38.299999999999997</v>
      </c>
      <c r="AF174">
        <v>36.9</v>
      </c>
      <c r="AH174">
        <v>36.4</v>
      </c>
      <c r="AK174">
        <v>37</v>
      </c>
      <c r="AN174">
        <v>37.9</v>
      </c>
      <c r="AP174">
        <v>38.4</v>
      </c>
      <c r="AV174">
        <v>35.1</v>
      </c>
      <c r="AY174">
        <v>33.799999999999997</v>
      </c>
      <c r="BA174">
        <v>34.1</v>
      </c>
      <c r="BD174">
        <v>33.200000000000003</v>
      </c>
      <c r="BF174">
        <v>31.8</v>
      </c>
      <c r="BH174">
        <v>31.3</v>
      </c>
      <c r="BK174">
        <v>31.2</v>
      </c>
      <c r="BN174">
        <v>30.9</v>
      </c>
    </row>
    <row r="175" spans="1:67" x14ac:dyDescent="0.35">
      <c r="A175" t="s">
        <v>227</v>
      </c>
      <c r="B175" t="s">
        <v>664</v>
      </c>
      <c r="C175" t="s">
        <v>753</v>
      </c>
      <c r="D175" t="s">
        <v>754</v>
      </c>
    </row>
    <row r="176" spans="1:67" x14ac:dyDescent="0.35">
      <c r="A176" t="s">
        <v>157</v>
      </c>
      <c r="B176" t="s">
        <v>270</v>
      </c>
      <c r="C176" t="s">
        <v>753</v>
      </c>
      <c r="D176" t="s">
        <v>754</v>
      </c>
      <c r="AL176">
        <v>60.5</v>
      </c>
      <c r="AV176">
        <v>54.8</v>
      </c>
      <c r="BB176">
        <v>51.8</v>
      </c>
      <c r="BH176">
        <v>47.2</v>
      </c>
    </row>
    <row r="177" spans="1:69" x14ac:dyDescent="0.35">
      <c r="A177" t="s">
        <v>723</v>
      </c>
      <c r="B177" t="s">
        <v>198</v>
      </c>
      <c r="C177" t="s">
        <v>753</v>
      </c>
      <c r="D177" t="s">
        <v>754</v>
      </c>
    </row>
    <row r="178" spans="1:69" x14ac:dyDescent="0.35">
      <c r="A178" t="s">
        <v>181</v>
      </c>
      <c r="B178" t="s">
        <v>142</v>
      </c>
      <c r="C178" t="s">
        <v>753</v>
      </c>
      <c r="D178" t="s">
        <v>754</v>
      </c>
      <c r="AK178">
        <v>29.6</v>
      </c>
      <c r="AM178">
        <v>32.5</v>
      </c>
      <c r="AX178">
        <v>36.200000000000003</v>
      </c>
      <c r="AZ178">
        <v>31.3</v>
      </c>
      <c r="BD178">
        <v>26.4</v>
      </c>
      <c r="BG178">
        <v>27</v>
      </c>
      <c r="BK178">
        <v>31.1</v>
      </c>
      <c r="BN178">
        <v>27.8</v>
      </c>
    </row>
    <row r="179" spans="1:69" x14ac:dyDescent="0.35">
      <c r="A179" t="s">
        <v>304</v>
      </c>
      <c r="B179" t="s">
        <v>685</v>
      </c>
      <c r="C179" t="s">
        <v>753</v>
      </c>
      <c r="D179" t="s">
        <v>754</v>
      </c>
      <c r="AD179">
        <v>28.2</v>
      </c>
      <c r="AK179">
        <v>31.3</v>
      </c>
      <c r="AO179">
        <v>40.700000000000003</v>
      </c>
      <c r="AV179">
        <v>29.8</v>
      </c>
      <c r="BC179">
        <v>26.7</v>
      </c>
      <c r="BE179">
        <v>26.6</v>
      </c>
      <c r="BH179">
        <v>26.9</v>
      </c>
      <c r="BK179">
        <v>26.7</v>
      </c>
      <c r="BO179">
        <v>26.3</v>
      </c>
    </row>
    <row r="180" spans="1:69" x14ac:dyDescent="0.35">
      <c r="A180" t="s">
        <v>604</v>
      </c>
      <c r="B180" t="s">
        <v>220</v>
      </c>
      <c r="C180" t="s">
        <v>753</v>
      </c>
      <c r="D180" t="s">
        <v>754</v>
      </c>
      <c r="AL180">
        <v>44.1</v>
      </c>
      <c r="AQ180">
        <v>43.4</v>
      </c>
      <c r="AT180">
        <v>42.9</v>
      </c>
      <c r="AX180">
        <v>39.6</v>
      </c>
      <c r="BB180">
        <v>34.200000000000003</v>
      </c>
      <c r="BG180">
        <v>37.200000000000003</v>
      </c>
    </row>
    <row r="181" spans="1:69" x14ac:dyDescent="0.35">
      <c r="A181" t="s">
        <v>14</v>
      </c>
      <c r="B181" t="s">
        <v>517</v>
      </c>
      <c r="C181" t="s">
        <v>753</v>
      </c>
      <c r="D181" t="s">
        <v>754</v>
      </c>
      <c r="AB181">
        <v>22.2</v>
      </c>
      <c r="AF181">
        <v>21.6</v>
      </c>
      <c r="AI181">
        <v>24.1</v>
      </c>
      <c r="AL181">
        <v>22.4</v>
      </c>
      <c r="AR181">
        <v>21.4</v>
      </c>
      <c r="AW181">
        <v>23.7</v>
      </c>
      <c r="AX181">
        <v>23.4</v>
      </c>
      <c r="AY181">
        <v>24.7</v>
      </c>
      <c r="AZ181">
        <v>24.1</v>
      </c>
      <c r="BA181">
        <v>23.7</v>
      </c>
      <c r="BB181">
        <v>22.4</v>
      </c>
      <c r="BC181">
        <v>22.4</v>
      </c>
      <c r="BD181">
        <v>22.6</v>
      </c>
      <c r="BE181">
        <v>22.5</v>
      </c>
      <c r="BF181">
        <v>22.8</v>
      </c>
      <c r="BG181">
        <v>23.3</v>
      </c>
      <c r="BH181">
        <v>23</v>
      </c>
      <c r="BI181">
        <v>22.9</v>
      </c>
      <c r="BJ181">
        <v>23.3</v>
      </c>
      <c r="BK181">
        <v>23</v>
      </c>
      <c r="BL181">
        <v>23.9</v>
      </c>
      <c r="BM181">
        <v>21.6</v>
      </c>
      <c r="BN181">
        <v>21.4</v>
      </c>
    </row>
    <row r="182" spans="1:69" x14ac:dyDescent="0.35">
      <c r="A182" t="s">
        <v>680</v>
      </c>
      <c r="B182" t="s">
        <v>597</v>
      </c>
      <c r="C182" t="s">
        <v>753</v>
      </c>
      <c r="D182" t="s">
        <v>754</v>
      </c>
      <c r="X182">
        <v>21.5</v>
      </c>
      <c r="AE182">
        <v>20.2</v>
      </c>
      <c r="AJ182">
        <v>20.8</v>
      </c>
      <c r="AN182">
        <v>21.3</v>
      </c>
      <c r="AS182">
        <v>22.9</v>
      </c>
      <c r="AV182">
        <v>23.3</v>
      </c>
      <c r="AW182">
        <v>27.1</v>
      </c>
      <c r="AX182">
        <v>26.3</v>
      </c>
      <c r="AY182">
        <v>21.2</v>
      </c>
      <c r="AZ182">
        <v>22.2</v>
      </c>
      <c r="BA182">
        <v>21.8</v>
      </c>
      <c r="BB182">
        <v>21.3</v>
      </c>
      <c r="BC182">
        <v>21</v>
      </c>
      <c r="BD182">
        <v>20.5</v>
      </c>
      <c r="BE182">
        <v>20.9</v>
      </c>
      <c r="BF182">
        <v>21.3</v>
      </c>
      <c r="BG182">
        <v>21.6</v>
      </c>
      <c r="BH182">
        <v>22.2</v>
      </c>
      <c r="BI182">
        <v>23.1</v>
      </c>
      <c r="BJ182">
        <v>21.6</v>
      </c>
      <c r="BK182">
        <v>22.2</v>
      </c>
      <c r="BL182">
        <v>22.4</v>
      </c>
      <c r="BM182">
        <v>22.9</v>
      </c>
      <c r="BN182">
        <v>24.2</v>
      </c>
      <c r="BO182">
        <v>22</v>
      </c>
      <c r="BP182">
        <v>21.6</v>
      </c>
    </row>
    <row r="183" spans="1:69" x14ac:dyDescent="0.35">
      <c r="A183" t="s">
        <v>216</v>
      </c>
      <c r="B183" t="s">
        <v>721</v>
      </c>
      <c r="C183" t="s">
        <v>753</v>
      </c>
      <c r="D183" t="s">
        <v>754</v>
      </c>
      <c r="AC183">
        <v>25</v>
      </c>
      <c r="AN183">
        <v>29</v>
      </c>
      <c r="AV183">
        <v>36.9</v>
      </c>
      <c r="BC183">
        <v>26.4</v>
      </c>
      <c r="BO183">
        <v>24.2</v>
      </c>
    </row>
    <row r="184" spans="1:69" x14ac:dyDescent="0.35">
      <c r="A184" t="s">
        <v>105</v>
      </c>
      <c r="B184" t="s">
        <v>272</v>
      </c>
      <c r="C184" t="s">
        <v>753</v>
      </c>
      <c r="D184" t="s">
        <v>754</v>
      </c>
      <c r="BE184">
        <v>25.3</v>
      </c>
    </row>
    <row r="185" spans="1:69" x14ac:dyDescent="0.35">
      <c r="A185" t="s">
        <v>561</v>
      </c>
      <c r="B185" t="s">
        <v>295</v>
      </c>
      <c r="C185" t="s">
        <v>753</v>
      </c>
      <c r="D185" t="s">
        <v>754</v>
      </c>
    </row>
    <row r="186" spans="1:69" x14ac:dyDescent="0.35">
      <c r="A186" t="s">
        <v>344</v>
      </c>
      <c r="B186" t="s">
        <v>653</v>
      </c>
      <c r="C186" t="s">
        <v>753</v>
      </c>
      <c r="D186" t="s">
        <v>754</v>
      </c>
    </row>
    <row r="187" spans="1:69" x14ac:dyDescent="0.35">
      <c r="A187" t="s">
        <v>697</v>
      </c>
      <c r="B187" t="s">
        <v>567</v>
      </c>
      <c r="C187" t="s">
        <v>753</v>
      </c>
      <c r="D187" t="s">
        <v>754</v>
      </c>
    </row>
    <row r="188" spans="1:69" x14ac:dyDescent="0.35">
      <c r="A188" t="s">
        <v>695</v>
      </c>
      <c r="B188" t="s">
        <v>421</v>
      </c>
      <c r="C188" t="s">
        <v>753</v>
      </c>
      <c r="D188" t="s">
        <v>754</v>
      </c>
    </row>
    <row r="189" spans="1:69" x14ac:dyDescent="0.35">
      <c r="A189" t="s">
        <v>740</v>
      </c>
      <c r="B189" t="s">
        <v>135</v>
      </c>
      <c r="C189" t="s">
        <v>753</v>
      </c>
      <c r="D189" t="s">
        <v>754</v>
      </c>
      <c r="AF189">
        <v>27.6</v>
      </c>
      <c r="AI189">
        <v>27.1</v>
      </c>
      <c r="AO189">
        <v>25.2</v>
      </c>
      <c r="AQ189">
        <v>28.5</v>
      </c>
      <c r="AT189">
        <v>24.9</v>
      </c>
      <c r="AW189">
        <v>26.3</v>
      </c>
      <c r="AX189">
        <v>27.1</v>
      </c>
      <c r="AZ189">
        <v>25.7</v>
      </c>
      <c r="BC189">
        <v>25.1</v>
      </c>
      <c r="BD189">
        <v>25.8</v>
      </c>
      <c r="BF189">
        <v>25.3</v>
      </c>
      <c r="BH189">
        <v>27</v>
      </c>
      <c r="BK189">
        <v>25.5</v>
      </c>
    </row>
    <row r="190" spans="1:69" x14ac:dyDescent="0.35">
      <c r="A190" t="s">
        <v>541</v>
      </c>
      <c r="B190" t="s">
        <v>465</v>
      </c>
      <c r="C190" t="s">
        <v>753</v>
      </c>
      <c r="D190" t="s">
        <v>754</v>
      </c>
      <c r="X190">
        <v>36</v>
      </c>
      <c r="AH190">
        <v>42.8</v>
      </c>
      <c r="AJ190">
        <v>42.5</v>
      </c>
      <c r="AN190">
        <v>43.2</v>
      </c>
      <c r="AP190">
        <v>44</v>
      </c>
      <c r="AQ190">
        <v>43.4</v>
      </c>
      <c r="AR190">
        <v>42.4</v>
      </c>
      <c r="AS190">
        <v>43.2</v>
      </c>
      <c r="AT190">
        <v>42.6</v>
      </c>
      <c r="AU190">
        <v>43</v>
      </c>
      <c r="AV190">
        <v>42.2</v>
      </c>
      <c r="AW190">
        <v>41.2</v>
      </c>
      <c r="AX190">
        <v>40.200000000000003</v>
      </c>
      <c r="AY190">
        <v>41.1</v>
      </c>
      <c r="AZ190">
        <v>39.700000000000003</v>
      </c>
      <c r="BA190">
        <v>40.700000000000003</v>
      </c>
      <c r="BB190">
        <v>40.1</v>
      </c>
      <c r="BC190">
        <v>39.6</v>
      </c>
      <c r="BD190">
        <v>39.700000000000003</v>
      </c>
      <c r="BE190">
        <v>39.700000000000003</v>
      </c>
      <c r="BF190">
        <v>39.6</v>
      </c>
      <c r="BG190">
        <v>38.5</v>
      </c>
      <c r="BH190">
        <v>39</v>
      </c>
      <c r="BI190">
        <v>37.799999999999997</v>
      </c>
      <c r="BJ190">
        <v>37.700000000000003</v>
      </c>
      <c r="BK190">
        <v>37.1</v>
      </c>
      <c r="BL190">
        <v>38</v>
      </c>
      <c r="BN190">
        <v>39.299999999999997</v>
      </c>
      <c r="BP190">
        <v>36.9</v>
      </c>
      <c r="BQ190">
        <v>37.6</v>
      </c>
    </row>
    <row r="191" spans="1:69" x14ac:dyDescent="0.35">
      <c r="A191" t="s">
        <v>495</v>
      </c>
      <c r="B191" t="s">
        <v>296</v>
      </c>
      <c r="C191" t="s">
        <v>753</v>
      </c>
      <c r="D191" t="s">
        <v>754</v>
      </c>
      <c r="AD191">
        <v>35.200000000000003</v>
      </c>
      <c r="AM191">
        <v>33.200000000000003</v>
      </c>
      <c r="AP191">
        <v>40.799999999999997</v>
      </c>
      <c r="AQ191">
        <v>43.6</v>
      </c>
      <c r="AR191">
        <v>43.6</v>
      </c>
      <c r="AS191">
        <v>36.799999999999997</v>
      </c>
      <c r="AT191">
        <v>39.1</v>
      </c>
      <c r="AU191">
        <v>42.1</v>
      </c>
      <c r="AV191">
        <v>42.2</v>
      </c>
      <c r="AW191">
        <v>37.9</v>
      </c>
      <c r="AX191">
        <v>38.5</v>
      </c>
      <c r="AY191">
        <v>38.200000000000003</v>
      </c>
      <c r="AZ191">
        <v>37.799999999999997</v>
      </c>
      <c r="BA191">
        <v>35.4</v>
      </c>
      <c r="BB191">
        <v>35.200000000000003</v>
      </c>
      <c r="BC191">
        <v>34.200000000000003</v>
      </c>
      <c r="BD191">
        <v>33.5</v>
      </c>
      <c r="BE191">
        <v>33.299999999999997</v>
      </c>
      <c r="BF191">
        <v>32.700000000000003</v>
      </c>
      <c r="BG191">
        <v>32.1</v>
      </c>
      <c r="BH191">
        <v>32.6</v>
      </c>
      <c r="BI191">
        <v>32.6</v>
      </c>
      <c r="BJ191">
        <v>32.299999999999997</v>
      </c>
      <c r="BK191">
        <v>31.6</v>
      </c>
      <c r="BL191">
        <v>31.1</v>
      </c>
      <c r="BM191">
        <v>32.9</v>
      </c>
      <c r="BN191">
        <v>30.5</v>
      </c>
      <c r="BO191">
        <v>30.7</v>
      </c>
      <c r="BP191">
        <v>30.6</v>
      </c>
      <c r="BQ191">
        <v>30.3</v>
      </c>
    </row>
    <row r="192" spans="1:69" x14ac:dyDescent="0.35">
      <c r="A192" t="s">
        <v>285</v>
      </c>
      <c r="B192" t="s">
        <v>580</v>
      </c>
      <c r="C192" t="s">
        <v>753</v>
      </c>
      <c r="D192" t="s">
        <v>754</v>
      </c>
      <c r="AD192">
        <v>32.700000000000003</v>
      </c>
      <c r="AG192">
        <v>32</v>
      </c>
      <c r="AJ192">
        <v>34.700000000000003</v>
      </c>
      <c r="AM192">
        <v>33.6</v>
      </c>
      <c r="AP192">
        <v>36.299999999999997</v>
      </c>
      <c r="AS192">
        <v>37.700000000000003</v>
      </c>
      <c r="AV192">
        <v>36.6</v>
      </c>
      <c r="AY192">
        <v>36.6</v>
      </c>
      <c r="BB192">
        <v>36.299999999999997</v>
      </c>
      <c r="BE192">
        <v>36.299999999999997</v>
      </c>
      <c r="BH192">
        <v>34.9</v>
      </c>
      <c r="BK192">
        <v>33.5</v>
      </c>
      <c r="BN192">
        <v>32.5</v>
      </c>
      <c r="BP192">
        <v>31.6</v>
      </c>
    </row>
    <row r="193" spans="1:69" x14ac:dyDescent="0.35">
      <c r="A193" t="s">
        <v>679</v>
      </c>
      <c r="B193" t="s">
        <v>384</v>
      </c>
      <c r="C193" t="s">
        <v>753</v>
      </c>
      <c r="D193" t="s">
        <v>754</v>
      </c>
    </row>
    <row r="194" spans="1:69" x14ac:dyDescent="0.35">
      <c r="A194" t="s">
        <v>454</v>
      </c>
      <c r="B194" t="s">
        <v>262</v>
      </c>
      <c r="C194" t="s">
        <v>753</v>
      </c>
      <c r="D194" t="s">
        <v>754</v>
      </c>
      <c r="AO194">
        <v>34.5</v>
      </c>
      <c r="BB194">
        <v>31</v>
      </c>
    </row>
    <row r="195" spans="1:69" x14ac:dyDescent="0.35">
      <c r="A195" t="s">
        <v>75</v>
      </c>
      <c r="B195" t="s">
        <v>43</v>
      </c>
      <c r="C195" t="s">
        <v>753</v>
      </c>
      <c r="D195" t="s">
        <v>754</v>
      </c>
      <c r="AD195">
        <v>20.8</v>
      </c>
      <c r="AE195">
        <v>21.4</v>
      </c>
      <c r="AF195">
        <v>21.2</v>
      </c>
      <c r="AH195">
        <v>21.8</v>
      </c>
      <c r="AK195">
        <v>22.8</v>
      </c>
      <c r="AL195">
        <v>21</v>
      </c>
      <c r="AN195">
        <v>26.2</v>
      </c>
      <c r="AO195">
        <v>26.5</v>
      </c>
      <c r="AQ195">
        <v>25.9</v>
      </c>
      <c r="AR195">
        <v>24.6</v>
      </c>
      <c r="AS195">
        <v>26.1</v>
      </c>
      <c r="AT195">
        <v>25.8</v>
      </c>
      <c r="AU195">
        <v>26.7</v>
      </c>
      <c r="AV195">
        <v>27</v>
      </c>
      <c r="AW195">
        <v>28.2</v>
      </c>
      <c r="AX195">
        <v>26.8</v>
      </c>
      <c r="AY195">
        <v>26.4</v>
      </c>
      <c r="AZ195">
        <v>26.4</v>
      </c>
      <c r="BA195">
        <v>26.1</v>
      </c>
      <c r="BB195">
        <v>25.8</v>
      </c>
      <c r="BC195">
        <v>25.8</v>
      </c>
      <c r="BD195">
        <v>25.5</v>
      </c>
      <c r="BE195">
        <v>25.3</v>
      </c>
      <c r="BF195">
        <v>25.4</v>
      </c>
      <c r="BG195">
        <v>25.1</v>
      </c>
      <c r="BH195">
        <v>24.2</v>
      </c>
      <c r="BI195">
        <v>24.6</v>
      </c>
      <c r="BJ195">
        <v>23.5</v>
      </c>
      <c r="BK195">
        <v>24</v>
      </c>
      <c r="BL195">
        <v>23.1</v>
      </c>
      <c r="BM195">
        <v>22.8</v>
      </c>
      <c r="BN195">
        <v>22.8</v>
      </c>
      <c r="BO195">
        <v>23.1</v>
      </c>
      <c r="BP195">
        <v>22.9</v>
      </c>
    </row>
    <row r="196" spans="1:69" x14ac:dyDescent="0.35">
      <c r="A196" t="s">
        <v>237</v>
      </c>
      <c r="B196" t="s">
        <v>294</v>
      </c>
      <c r="C196" t="s">
        <v>753</v>
      </c>
      <c r="D196" t="s">
        <v>754</v>
      </c>
    </row>
    <row r="197" spans="1:69" x14ac:dyDescent="0.35">
      <c r="A197" t="s">
        <v>269</v>
      </c>
      <c r="B197" t="s">
        <v>686</v>
      </c>
      <c r="C197" t="s">
        <v>753</v>
      </c>
      <c r="D197" t="s">
        <v>754</v>
      </c>
    </row>
    <row r="198" spans="1:69" x14ac:dyDescent="0.35">
      <c r="A198" t="s">
        <v>525</v>
      </c>
      <c r="B198" t="s">
        <v>60</v>
      </c>
      <c r="C198" t="s">
        <v>753</v>
      </c>
      <c r="D198" t="s">
        <v>754</v>
      </c>
    </row>
    <row r="199" spans="1:69" x14ac:dyDescent="0.35">
      <c r="A199" t="s">
        <v>434</v>
      </c>
      <c r="B199" t="s">
        <v>192</v>
      </c>
      <c r="C199" t="s">
        <v>753</v>
      </c>
      <c r="D199" t="s">
        <v>754</v>
      </c>
      <c r="AV199">
        <v>30.2</v>
      </c>
      <c r="AW199">
        <v>30.9</v>
      </c>
      <c r="AX199">
        <v>30.6</v>
      </c>
      <c r="AY199">
        <v>29.6</v>
      </c>
      <c r="AZ199">
        <v>28.8</v>
      </c>
      <c r="BA199">
        <v>28.9</v>
      </c>
      <c r="BB199">
        <v>27.5</v>
      </c>
      <c r="BC199">
        <v>28.3</v>
      </c>
      <c r="BD199">
        <v>28.7</v>
      </c>
      <c r="BE199">
        <v>27.8</v>
      </c>
      <c r="BF199">
        <v>27.5</v>
      </c>
      <c r="BG199">
        <v>27.4</v>
      </c>
      <c r="BH199">
        <v>27.3</v>
      </c>
      <c r="BI199">
        <v>27.5</v>
      </c>
      <c r="BJ199">
        <v>26.7</v>
      </c>
      <c r="BK199">
        <v>26.6</v>
      </c>
      <c r="BL199">
        <v>26</v>
      </c>
      <c r="BM199">
        <v>26.9</v>
      </c>
      <c r="BN199">
        <v>27.5</v>
      </c>
      <c r="BO199">
        <v>28.8</v>
      </c>
      <c r="BP199">
        <v>26.9</v>
      </c>
    </row>
    <row r="200" spans="1:69" x14ac:dyDescent="0.35">
      <c r="A200" t="s">
        <v>494</v>
      </c>
      <c r="B200" t="s">
        <v>72</v>
      </c>
      <c r="C200" t="s">
        <v>753</v>
      </c>
      <c r="D200" t="s">
        <v>754</v>
      </c>
      <c r="AI200">
        <v>30.7</v>
      </c>
      <c r="AN200">
        <v>46.1</v>
      </c>
      <c r="AP200">
        <v>41.4</v>
      </c>
      <c r="AR200">
        <v>42.1</v>
      </c>
      <c r="AT200">
        <v>43.1</v>
      </c>
      <c r="AU200">
        <v>46.2</v>
      </c>
      <c r="AV200">
        <v>44.1</v>
      </c>
      <c r="AW200">
        <v>42</v>
      </c>
      <c r="AX200">
        <v>40.4</v>
      </c>
      <c r="AY200">
        <v>42.4</v>
      </c>
      <c r="AZ200">
        <v>42.5</v>
      </c>
      <c r="BA200">
        <v>40.1</v>
      </c>
      <c r="BB200">
        <v>38</v>
      </c>
      <c r="BC200">
        <v>40.5</v>
      </c>
      <c r="BD200">
        <v>41.3</v>
      </c>
      <c r="BE200">
        <v>36.9</v>
      </c>
      <c r="BF200">
        <v>37.299999999999997</v>
      </c>
      <c r="BG200">
        <v>40.700000000000003</v>
      </c>
      <c r="BH200">
        <v>36.700000000000003</v>
      </c>
      <c r="BI200">
        <v>37.299999999999997</v>
      </c>
      <c r="BJ200">
        <v>39.1</v>
      </c>
      <c r="BK200">
        <v>35.799999999999997</v>
      </c>
      <c r="BL200">
        <v>35.200000000000003</v>
      </c>
      <c r="BM200">
        <v>33.299999999999997</v>
      </c>
      <c r="BN200">
        <v>33.1</v>
      </c>
      <c r="BO200">
        <v>34.200000000000003</v>
      </c>
      <c r="BP200">
        <v>34.299999999999997</v>
      </c>
      <c r="BQ200">
        <v>35</v>
      </c>
    </row>
    <row r="201" spans="1:69" x14ac:dyDescent="0.35">
      <c r="A201" t="s">
        <v>87</v>
      </c>
      <c r="B201" t="s">
        <v>199</v>
      </c>
      <c r="C201" t="s">
        <v>753</v>
      </c>
      <c r="D201" t="s">
        <v>754</v>
      </c>
      <c r="AW201">
        <v>26.5</v>
      </c>
      <c r="AX201">
        <v>26.7</v>
      </c>
      <c r="AY201">
        <v>27</v>
      </c>
      <c r="AZ201">
        <v>27.6</v>
      </c>
      <c r="BB201">
        <v>27.4</v>
      </c>
      <c r="BC201">
        <v>27.8</v>
      </c>
      <c r="BD201">
        <v>27.2</v>
      </c>
      <c r="BI201">
        <v>25.2</v>
      </c>
      <c r="BP201">
        <v>27.1</v>
      </c>
    </row>
    <row r="202" spans="1:69" x14ac:dyDescent="0.35">
      <c r="A202" t="s">
        <v>131</v>
      </c>
      <c r="B202" t="s">
        <v>210</v>
      </c>
      <c r="C202" t="s">
        <v>753</v>
      </c>
      <c r="D202" t="s">
        <v>754</v>
      </c>
    </row>
    <row r="203" spans="1:69" x14ac:dyDescent="0.35">
      <c r="A203" t="s">
        <v>592</v>
      </c>
      <c r="B203" t="s">
        <v>280</v>
      </c>
      <c r="C203" t="s">
        <v>753</v>
      </c>
      <c r="D203" t="s">
        <v>754</v>
      </c>
    </row>
    <row r="204" spans="1:69" x14ac:dyDescent="0.35">
      <c r="A204" t="s">
        <v>364</v>
      </c>
      <c r="B204" t="s">
        <v>577</v>
      </c>
      <c r="C204" t="s">
        <v>753</v>
      </c>
      <c r="D204" t="s">
        <v>754</v>
      </c>
    </row>
    <row r="205" spans="1:69" x14ac:dyDescent="0.35">
      <c r="A205" t="s">
        <v>614</v>
      </c>
      <c r="B205" t="s">
        <v>25</v>
      </c>
      <c r="C205" t="s">
        <v>753</v>
      </c>
      <c r="D205" t="s">
        <v>754</v>
      </c>
      <c r="BJ205">
        <v>25.8</v>
      </c>
    </row>
    <row r="206" spans="1:69" x14ac:dyDescent="0.35">
      <c r="A206" t="s">
        <v>554</v>
      </c>
      <c r="B206" t="s">
        <v>333</v>
      </c>
      <c r="C206" t="s">
        <v>753</v>
      </c>
      <c r="D206" t="s">
        <v>754</v>
      </c>
      <c r="AH206">
        <v>19.2</v>
      </c>
      <c r="AK206">
        <v>20.2</v>
      </c>
      <c r="AM206">
        <v>22.7</v>
      </c>
      <c r="AN206">
        <v>24.3</v>
      </c>
      <c r="AP206">
        <v>24</v>
      </c>
      <c r="AQ206">
        <v>24.2</v>
      </c>
      <c r="AR206">
        <v>23.4</v>
      </c>
      <c r="AS206">
        <v>23.3</v>
      </c>
      <c r="AT206">
        <v>23.2</v>
      </c>
      <c r="AU206">
        <v>23.7</v>
      </c>
      <c r="AV206">
        <v>23.7</v>
      </c>
      <c r="AW206">
        <v>23.5</v>
      </c>
      <c r="AX206">
        <v>23.5</v>
      </c>
      <c r="AY206">
        <v>29</v>
      </c>
      <c r="AZ206">
        <v>27.4</v>
      </c>
      <c r="BA206">
        <v>26.5</v>
      </c>
      <c r="BB206">
        <v>25.7</v>
      </c>
      <c r="BC206">
        <v>25</v>
      </c>
      <c r="BD206">
        <v>24.9</v>
      </c>
      <c r="BE206">
        <v>25.4</v>
      </c>
      <c r="BF206">
        <v>25.4</v>
      </c>
      <c r="BG206">
        <v>24.5</v>
      </c>
      <c r="BH206">
        <v>24.8</v>
      </c>
      <c r="BI206">
        <v>23.7</v>
      </c>
      <c r="BJ206">
        <v>24.9</v>
      </c>
      <c r="BK206">
        <v>24.9</v>
      </c>
      <c r="BL206">
        <v>24.5</v>
      </c>
      <c r="BM206">
        <v>24.2</v>
      </c>
      <c r="BN206">
        <v>24</v>
      </c>
      <c r="BO206">
        <v>22.6</v>
      </c>
      <c r="BP206">
        <v>21.8</v>
      </c>
    </row>
    <row r="207" spans="1:69" x14ac:dyDescent="0.35">
      <c r="A207" t="s">
        <v>2</v>
      </c>
      <c r="B207" t="s">
        <v>355</v>
      </c>
      <c r="C207" t="s">
        <v>753</v>
      </c>
      <c r="D207" t="s">
        <v>754</v>
      </c>
      <c r="AL207">
        <v>34.700000000000003</v>
      </c>
      <c r="AO207">
        <v>35.5</v>
      </c>
      <c r="AP207">
        <v>29.4</v>
      </c>
      <c r="AQ207">
        <v>28.6</v>
      </c>
      <c r="AR207">
        <v>27.7</v>
      </c>
      <c r="AS207">
        <v>27.6</v>
      </c>
      <c r="AT207">
        <v>27.9</v>
      </c>
      <c r="AU207">
        <v>28.1</v>
      </c>
      <c r="AV207">
        <v>30.3</v>
      </c>
      <c r="AW207">
        <v>30.5</v>
      </c>
      <c r="AX207">
        <v>31.2</v>
      </c>
      <c r="AY207">
        <v>31.3</v>
      </c>
      <c r="AZ207">
        <v>32.799999999999997</v>
      </c>
      <c r="BA207">
        <v>32.5</v>
      </c>
      <c r="BB207">
        <v>31.1</v>
      </c>
      <c r="BC207">
        <v>30.6</v>
      </c>
      <c r="BD207">
        <v>31.1</v>
      </c>
      <c r="BE207">
        <v>32.200000000000003</v>
      </c>
      <c r="BF207">
        <v>32.4</v>
      </c>
      <c r="BG207">
        <v>27.5</v>
      </c>
      <c r="BH207">
        <v>26.8</v>
      </c>
      <c r="BI207">
        <v>27</v>
      </c>
      <c r="BJ207">
        <v>26.2</v>
      </c>
      <c r="BK207">
        <v>26.3</v>
      </c>
      <c r="BL207">
        <v>26.9</v>
      </c>
      <c r="BM207">
        <v>25.7</v>
      </c>
      <c r="BN207">
        <v>26.6</v>
      </c>
      <c r="BO207">
        <v>26.2</v>
      </c>
      <c r="BP207">
        <v>25.1</v>
      </c>
    </row>
    <row r="208" spans="1:69" x14ac:dyDescent="0.35">
      <c r="A208" t="s">
        <v>273</v>
      </c>
      <c r="B208" t="s">
        <v>94</v>
      </c>
      <c r="C208" t="s">
        <v>753</v>
      </c>
      <c r="D208" t="s">
        <v>754</v>
      </c>
      <c r="AS208">
        <v>40.799999999999997</v>
      </c>
      <c r="AX208">
        <v>43.9</v>
      </c>
      <c r="BC208">
        <v>39.799999999999997</v>
      </c>
      <c r="BF208">
        <v>37.9</v>
      </c>
      <c r="BI208">
        <v>35.6</v>
      </c>
      <c r="BP208">
        <v>33.4</v>
      </c>
    </row>
    <row r="209" spans="1:68" x14ac:dyDescent="0.35">
      <c r="A209" t="s">
        <v>90</v>
      </c>
      <c r="B209" t="s">
        <v>126</v>
      </c>
      <c r="C209" t="s">
        <v>753</v>
      </c>
      <c r="D209" t="s">
        <v>754</v>
      </c>
    </row>
    <row r="210" spans="1:68" x14ac:dyDescent="0.35">
      <c r="A210" t="s">
        <v>480</v>
      </c>
      <c r="B210" t="s">
        <v>249</v>
      </c>
      <c r="C210" t="s">
        <v>753</v>
      </c>
      <c r="D210" t="s">
        <v>754</v>
      </c>
    </row>
    <row r="211" spans="1:68" x14ac:dyDescent="0.35">
      <c r="A211" t="s">
        <v>232</v>
      </c>
      <c r="B211" t="s">
        <v>466</v>
      </c>
      <c r="C211" t="s">
        <v>753</v>
      </c>
      <c r="D211" t="s">
        <v>754</v>
      </c>
      <c r="BB211">
        <v>26.7</v>
      </c>
      <c r="BG211">
        <v>27.8</v>
      </c>
    </row>
    <row r="212" spans="1:68" x14ac:dyDescent="0.35">
      <c r="A212" t="s">
        <v>35</v>
      </c>
      <c r="B212" t="s">
        <v>560</v>
      </c>
      <c r="C212" t="s">
        <v>753</v>
      </c>
      <c r="D212" t="s">
        <v>754</v>
      </c>
      <c r="AJ212">
        <v>42.7</v>
      </c>
      <c r="AM212">
        <v>31.5</v>
      </c>
      <c r="AT212">
        <v>33.4</v>
      </c>
      <c r="AX212">
        <v>30</v>
      </c>
      <c r="BD212">
        <v>31</v>
      </c>
      <c r="BK212">
        <v>30.8</v>
      </c>
      <c r="BN212">
        <v>28.8</v>
      </c>
    </row>
    <row r="213" spans="1:68" x14ac:dyDescent="0.35">
      <c r="A213" t="s">
        <v>508</v>
      </c>
      <c r="B213" t="s">
        <v>83</v>
      </c>
      <c r="C213" t="s">
        <v>753</v>
      </c>
      <c r="D213" t="s">
        <v>754</v>
      </c>
    </row>
    <row r="214" spans="1:68" x14ac:dyDescent="0.35">
      <c r="A214" t="s">
        <v>101</v>
      </c>
      <c r="B214" t="s">
        <v>316</v>
      </c>
      <c r="C214" t="s">
        <v>753</v>
      </c>
      <c r="D214" t="s">
        <v>754</v>
      </c>
      <c r="AX214">
        <v>35.700000000000003</v>
      </c>
      <c r="BE214">
        <v>29.2</v>
      </c>
    </row>
    <row r="215" spans="1:68" x14ac:dyDescent="0.35">
      <c r="A215" t="s">
        <v>703</v>
      </c>
      <c r="B215" t="s">
        <v>644</v>
      </c>
      <c r="C215" t="s">
        <v>753</v>
      </c>
      <c r="D215" t="s">
        <v>754</v>
      </c>
      <c r="AV215">
        <v>31.9</v>
      </c>
      <c r="BD215">
        <v>26.9</v>
      </c>
      <c r="BK215">
        <v>29.4</v>
      </c>
    </row>
    <row r="216" spans="1:68" x14ac:dyDescent="0.35">
      <c r="A216" t="s">
        <v>573</v>
      </c>
      <c r="B216" t="s">
        <v>95</v>
      </c>
      <c r="C216" t="s">
        <v>753</v>
      </c>
      <c r="D216" t="s">
        <v>754</v>
      </c>
      <c r="AH216">
        <v>34.9</v>
      </c>
      <c r="AJ216">
        <v>41.3</v>
      </c>
      <c r="AN216">
        <v>38.799999999999997</v>
      </c>
      <c r="AO216">
        <v>39.299999999999997</v>
      </c>
      <c r="AQ216">
        <v>40.5</v>
      </c>
      <c r="AR216">
        <v>38.6</v>
      </c>
      <c r="AS216">
        <v>39</v>
      </c>
      <c r="AT216">
        <v>38.6</v>
      </c>
      <c r="AU216">
        <v>38.799999999999997</v>
      </c>
      <c r="AV216">
        <v>37.200000000000003</v>
      </c>
      <c r="AW216">
        <v>35.6</v>
      </c>
      <c r="AX216">
        <v>36.799999999999997</v>
      </c>
      <c r="AY216">
        <v>35.6</v>
      </c>
      <c r="AZ216">
        <v>35.700000000000003</v>
      </c>
      <c r="BA216">
        <v>36.1</v>
      </c>
      <c r="BB216">
        <v>36</v>
      </c>
      <c r="BC216">
        <v>33.200000000000003</v>
      </c>
      <c r="BD216">
        <v>32.700000000000003</v>
      </c>
      <c r="BE216">
        <v>32.6</v>
      </c>
      <c r="BF216">
        <v>34.200000000000003</v>
      </c>
      <c r="BG216">
        <v>32.1</v>
      </c>
      <c r="BH216">
        <v>31.8</v>
      </c>
      <c r="BI216">
        <v>30.6</v>
      </c>
      <c r="BJ216">
        <v>29.1</v>
      </c>
      <c r="BK216">
        <v>29.4</v>
      </c>
      <c r="BL216">
        <v>29.8</v>
      </c>
      <c r="BN216">
        <v>29</v>
      </c>
      <c r="BO216">
        <v>28.7</v>
      </c>
      <c r="BP216">
        <v>29.7</v>
      </c>
    </row>
    <row r="217" spans="1:68" x14ac:dyDescent="0.35">
      <c r="A217" t="s">
        <v>457</v>
      </c>
      <c r="B217" t="s">
        <v>519</v>
      </c>
      <c r="C217" t="s">
        <v>753</v>
      </c>
      <c r="D217" t="s">
        <v>754</v>
      </c>
    </row>
    <row r="218" spans="1:68" x14ac:dyDescent="0.35">
      <c r="A218" t="s">
        <v>352</v>
      </c>
      <c r="B218" t="s">
        <v>32</v>
      </c>
      <c r="C218" t="s">
        <v>753</v>
      </c>
      <c r="D218" t="s">
        <v>754</v>
      </c>
    </row>
    <row r="219" spans="1:68" x14ac:dyDescent="0.35">
      <c r="A219" t="s">
        <v>321</v>
      </c>
      <c r="B219" t="s">
        <v>445</v>
      </c>
      <c r="C219" t="s">
        <v>753</v>
      </c>
      <c r="D219" t="s">
        <v>754</v>
      </c>
      <c r="AU219">
        <v>26.2</v>
      </c>
      <c r="AV219">
        <v>26</v>
      </c>
      <c r="AW219">
        <v>27.9</v>
      </c>
      <c r="AX219">
        <v>28.7</v>
      </c>
      <c r="AY219">
        <v>23.8</v>
      </c>
      <c r="AZ219">
        <v>23.2</v>
      </c>
      <c r="BA219">
        <v>22.5</v>
      </c>
      <c r="BB219">
        <v>22.5</v>
      </c>
      <c r="BC219">
        <v>23</v>
      </c>
      <c r="BE219">
        <v>28.6</v>
      </c>
      <c r="BF219">
        <v>28.2</v>
      </c>
      <c r="BG219">
        <v>28.6</v>
      </c>
      <c r="BH219">
        <v>29.2</v>
      </c>
      <c r="BI219">
        <v>27.3</v>
      </c>
      <c r="BJ219">
        <v>25.5</v>
      </c>
      <c r="BK219">
        <v>25.4</v>
      </c>
      <c r="BL219">
        <v>26</v>
      </c>
      <c r="BM219">
        <v>27.1</v>
      </c>
      <c r="BN219">
        <v>25.9</v>
      </c>
      <c r="BO219">
        <v>24.7</v>
      </c>
    </row>
    <row r="220" spans="1:68" x14ac:dyDescent="0.35">
      <c r="A220" t="s">
        <v>61</v>
      </c>
      <c r="B220" t="s">
        <v>460</v>
      </c>
      <c r="C220" t="s">
        <v>753</v>
      </c>
      <c r="D220" t="s">
        <v>754</v>
      </c>
    </row>
    <row r="221" spans="1:68" x14ac:dyDescent="0.35">
      <c r="A221" t="s">
        <v>288</v>
      </c>
      <c r="B221" t="s">
        <v>64</v>
      </c>
      <c r="C221" t="s">
        <v>753</v>
      </c>
      <c r="D221" t="s">
        <v>754</v>
      </c>
      <c r="BB221">
        <v>33.200000000000003</v>
      </c>
      <c r="BI221">
        <v>33</v>
      </c>
    </row>
    <row r="222" spans="1:68" x14ac:dyDescent="0.35">
      <c r="A222" t="s">
        <v>313</v>
      </c>
      <c r="B222" t="s">
        <v>187</v>
      </c>
      <c r="C222" t="s">
        <v>753</v>
      </c>
      <c r="D222" t="s">
        <v>754</v>
      </c>
    </row>
    <row r="223" spans="1:68" x14ac:dyDescent="0.35">
      <c r="A223" t="s">
        <v>44</v>
      </c>
      <c r="B223" t="s">
        <v>196</v>
      </c>
      <c r="C223" t="s">
        <v>753</v>
      </c>
      <c r="D223" t="s">
        <v>754</v>
      </c>
    </row>
    <row r="224" spans="1:68" x14ac:dyDescent="0.35">
      <c r="A224" t="s">
        <v>255</v>
      </c>
      <c r="B224" t="s">
        <v>449</v>
      </c>
      <c r="C224" t="s">
        <v>753</v>
      </c>
      <c r="D224" t="s">
        <v>754</v>
      </c>
      <c r="AS224">
        <v>24.5</v>
      </c>
      <c r="BC224">
        <v>24.2</v>
      </c>
      <c r="BJ224">
        <v>32.799999999999997</v>
      </c>
    </row>
    <row r="225" spans="1:69" x14ac:dyDescent="0.35">
      <c r="A225" t="s">
        <v>512</v>
      </c>
      <c r="B225" t="s">
        <v>68</v>
      </c>
      <c r="C225" t="s">
        <v>753</v>
      </c>
      <c r="D225" t="s">
        <v>754</v>
      </c>
      <c r="AR225">
        <v>42</v>
      </c>
      <c r="BO225">
        <v>30.1</v>
      </c>
    </row>
    <row r="226" spans="1:69" x14ac:dyDescent="0.35">
      <c r="A226" t="s">
        <v>387</v>
      </c>
      <c r="B226" t="s">
        <v>151</v>
      </c>
      <c r="C226" t="s">
        <v>753</v>
      </c>
      <c r="D226" t="s">
        <v>754</v>
      </c>
      <c r="AK226">
        <v>18.3</v>
      </c>
      <c r="AO226">
        <v>21.1</v>
      </c>
      <c r="AW226">
        <v>22.1</v>
      </c>
      <c r="AX226">
        <v>24.9</v>
      </c>
      <c r="AY226">
        <v>21.8</v>
      </c>
      <c r="AZ226">
        <v>20.8</v>
      </c>
      <c r="BA226">
        <v>21.4</v>
      </c>
      <c r="BB226">
        <v>21.8</v>
      </c>
      <c r="BC226">
        <v>21.9</v>
      </c>
      <c r="BD226">
        <v>21</v>
      </c>
      <c r="BE226">
        <v>20.5</v>
      </c>
      <c r="BF226">
        <v>22.2</v>
      </c>
      <c r="BG226">
        <v>20.3</v>
      </c>
      <c r="BH226">
        <v>20.9</v>
      </c>
      <c r="BI226">
        <v>19.899999999999999</v>
      </c>
      <c r="BJ226">
        <v>18.399999999999999</v>
      </c>
      <c r="BK226">
        <v>19.600000000000001</v>
      </c>
      <c r="BL226">
        <v>18.8</v>
      </c>
      <c r="BM226">
        <v>19</v>
      </c>
      <c r="BN226">
        <v>19.100000000000001</v>
      </c>
      <c r="BO226">
        <v>18.2</v>
      </c>
      <c r="BP226">
        <v>18.8</v>
      </c>
    </row>
    <row r="227" spans="1:69" x14ac:dyDescent="0.35">
      <c r="A227" t="s">
        <v>378</v>
      </c>
      <c r="B227" t="s">
        <v>335</v>
      </c>
      <c r="C227" t="s">
        <v>753</v>
      </c>
      <c r="D227" t="s">
        <v>754</v>
      </c>
      <c r="AF227">
        <v>20.399999999999999</v>
      </c>
      <c r="AL227">
        <v>24.7</v>
      </c>
      <c r="AP227">
        <v>19.899999999999999</v>
      </c>
      <c r="AQ227">
        <v>23</v>
      </c>
      <c r="AR227">
        <v>19.899999999999999</v>
      </c>
      <c r="AU227">
        <v>23</v>
      </c>
      <c r="AV227">
        <v>23.6</v>
      </c>
      <c r="AW227">
        <v>20.6</v>
      </c>
      <c r="AX227">
        <v>20.6</v>
      </c>
      <c r="AY227">
        <v>20.3</v>
      </c>
      <c r="AZ227">
        <v>20.399999999999999</v>
      </c>
      <c r="BA227">
        <v>20.100000000000001</v>
      </c>
      <c r="BB227">
        <v>20.6</v>
      </c>
      <c r="BC227">
        <v>20.7</v>
      </c>
      <c r="BD227">
        <v>20.8</v>
      </c>
      <c r="BE227">
        <v>21.1</v>
      </c>
      <c r="BF227">
        <v>21.4</v>
      </c>
      <c r="BG227">
        <v>21.2</v>
      </c>
      <c r="BH227">
        <v>21</v>
      </c>
      <c r="BI227">
        <v>20.6</v>
      </c>
      <c r="BJ227">
        <v>20.399999999999999</v>
      </c>
      <c r="BK227">
        <v>21</v>
      </c>
      <c r="BL227">
        <v>20.7</v>
      </c>
      <c r="BM227">
        <v>20.5</v>
      </c>
      <c r="BN227">
        <v>20.6</v>
      </c>
      <c r="BO227">
        <v>20.7</v>
      </c>
      <c r="BP227">
        <v>20.6</v>
      </c>
    </row>
    <row r="228" spans="1:69" x14ac:dyDescent="0.35">
      <c r="A228" t="s">
        <v>73</v>
      </c>
      <c r="B228" t="s">
        <v>291</v>
      </c>
      <c r="C228" t="s">
        <v>753</v>
      </c>
      <c r="D228" t="s">
        <v>754</v>
      </c>
      <c r="T228">
        <v>19.100000000000001</v>
      </c>
      <c r="Z228">
        <v>17.899999999999999</v>
      </c>
      <c r="AF228">
        <v>18.600000000000001</v>
      </c>
      <c r="AK228">
        <v>19.7</v>
      </c>
      <c r="AN228">
        <v>19.7</v>
      </c>
      <c r="AS228">
        <v>21.8</v>
      </c>
      <c r="AT228">
        <v>21.5</v>
      </c>
      <c r="AU228">
        <v>20.9</v>
      </c>
      <c r="AV228">
        <v>20.100000000000001</v>
      </c>
      <c r="AW228">
        <v>21.1</v>
      </c>
      <c r="AX228">
        <v>21.1</v>
      </c>
      <c r="AY228">
        <v>21.1</v>
      </c>
      <c r="AZ228">
        <v>21.6</v>
      </c>
      <c r="BA228">
        <v>22.4</v>
      </c>
      <c r="BB228">
        <v>21.4</v>
      </c>
      <c r="BC228">
        <v>21.8</v>
      </c>
      <c r="BD228">
        <v>21.6</v>
      </c>
      <c r="BE228">
        <v>21.6</v>
      </c>
      <c r="BF228">
        <v>22.2</v>
      </c>
      <c r="BG228">
        <v>22.2</v>
      </c>
      <c r="BH228">
        <v>22.9</v>
      </c>
      <c r="BI228">
        <v>23.3</v>
      </c>
      <c r="BJ228">
        <v>22.3</v>
      </c>
      <c r="BK228">
        <v>22.9</v>
      </c>
      <c r="BL228">
        <v>22.7</v>
      </c>
      <c r="BM228">
        <v>22.4</v>
      </c>
      <c r="BN228">
        <v>22.7</v>
      </c>
      <c r="BO228">
        <v>24.7</v>
      </c>
      <c r="BP228">
        <v>22.3</v>
      </c>
    </row>
    <row r="229" spans="1:69" x14ac:dyDescent="0.35">
      <c r="A229" t="s">
        <v>656</v>
      </c>
      <c r="B229" t="s">
        <v>139</v>
      </c>
      <c r="C229" t="s">
        <v>753</v>
      </c>
      <c r="D229" t="s">
        <v>754</v>
      </c>
      <c r="AM229">
        <v>48.5</v>
      </c>
      <c r="AS229">
        <v>44.1</v>
      </c>
      <c r="BB229">
        <v>40</v>
      </c>
      <c r="BI229">
        <v>42.7</v>
      </c>
    </row>
    <row r="230" spans="1:69" x14ac:dyDescent="0.35">
      <c r="A230" t="s">
        <v>368</v>
      </c>
      <c r="B230" t="s">
        <v>418</v>
      </c>
      <c r="C230" t="s">
        <v>753</v>
      </c>
      <c r="D230" t="s">
        <v>754</v>
      </c>
    </row>
    <row r="231" spans="1:69" x14ac:dyDescent="0.35">
      <c r="A231" t="s">
        <v>504</v>
      </c>
      <c r="B231" t="s">
        <v>155</v>
      </c>
      <c r="C231" t="s">
        <v>753</v>
      </c>
      <c r="D231" t="s">
        <v>754</v>
      </c>
      <c r="AR231">
        <v>34</v>
      </c>
      <c r="AY231">
        <v>33.700000000000003</v>
      </c>
      <c r="BF231">
        <v>39.9</v>
      </c>
      <c r="BK231">
        <v>23.9</v>
      </c>
    </row>
    <row r="232" spans="1:69" x14ac:dyDescent="0.35">
      <c r="A232" t="s">
        <v>179</v>
      </c>
      <c r="B232" t="s">
        <v>224</v>
      </c>
      <c r="C232" t="s">
        <v>753</v>
      </c>
      <c r="D232" t="s">
        <v>754</v>
      </c>
      <c r="AO232">
        <v>28.6</v>
      </c>
      <c r="AV232">
        <v>29.9</v>
      </c>
      <c r="AY232">
        <v>30.9</v>
      </c>
      <c r="BB232">
        <v>31.6</v>
      </c>
      <c r="BO232">
        <v>21.1</v>
      </c>
    </row>
    <row r="233" spans="1:69" x14ac:dyDescent="0.35">
      <c r="A233" t="s">
        <v>124</v>
      </c>
      <c r="B233" t="s">
        <v>233</v>
      </c>
      <c r="C233" t="s">
        <v>753</v>
      </c>
      <c r="D233" t="s">
        <v>754</v>
      </c>
    </row>
    <row r="234" spans="1:69" x14ac:dyDescent="0.35">
      <c r="A234" t="s">
        <v>609</v>
      </c>
      <c r="B234" t="s">
        <v>582</v>
      </c>
      <c r="C234" t="s">
        <v>753</v>
      </c>
      <c r="D234" t="s">
        <v>754</v>
      </c>
      <c r="AV234">
        <v>30.7</v>
      </c>
      <c r="BD234">
        <v>32.4</v>
      </c>
      <c r="BK234">
        <v>29.7</v>
      </c>
      <c r="BO234">
        <v>29.5</v>
      </c>
    </row>
    <row r="235" spans="1:69" x14ac:dyDescent="0.35">
      <c r="A235" t="s">
        <v>713</v>
      </c>
      <c r="B235" t="s">
        <v>379</v>
      </c>
      <c r="C235" t="s">
        <v>753</v>
      </c>
      <c r="D235" t="s">
        <v>754</v>
      </c>
    </row>
    <row r="236" spans="1:69" x14ac:dyDescent="0.35">
      <c r="A236" t="s">
        <v>489</v>
      </c>
      <c r="B236" t="s">
        <v>513</v>
      </c>
      <c r="C236" t="s">
        <v>753</v>
      </c>
      <c r="D236" t="s">
        <v>754</v>
      </c>
    </row>
    <row r="237" spans="1:69" x14ac:dyDescent="0.35">
      <c r="A237" t="s">
        <v>260</v>
      </c>
      <c r="B237" t="s">
        <v>388</v>
      </c>
      <c r="C237" t="s">
        <v>753</v>
      </c>
      <c r="D237" t="s">
        <v>754</v>
      </c>
      <c r="AY237">
        <v>32.6</v>
      </c>
      <c r="BD237">
        <v>34.5</v>
      </c>
      <c r="BH237">
        <v>31.5</v>
      </c>
      <c r="BK237">
        <v>33</v>
      </c>
      <c r="BN237">
        <v>29.6</v>
      </c>
    </row>
    <row r="238" spans="1:69" x14ac:dyDescent="0.35">
      <c r="A238" t="s">
        <v>557</v>
      </c>
      <c r="B238" t="s">
        <v>450</v>
      </c>
      <c r="C238" t="s">
        <v>753</v>
      </c>
      <c r="D238" t="s">
        <v>754</v>
      </c>
      <c r="Z238">
        <v>35.5</v>
      </c>
      <c r="AG238">
        <v>35.299999999999997</v>
      </c>
      <c r="AI238">
        <v>36.1</v>
      </c>
      <c r="AK238">
        <v>38.6</v>
      </c>
      <c r="AM238">
        <v>34.9</v>
      </c>
      <c r="AO238">
        <v>34.299999999999997</v>
      </c>
      <c r="AQ238">
        <v>32.299999999999997</v>
      </c>
      <c r="AR238">
        <v>34</v>
      </c>
      <c r="AS238">
        <v>33.700000000000003</v>
      </c>
      <c r="AU238">
        <v>33.200000000000003</v>
      </c>
      <c r="AW238">
        <v>33.799999999999997</v>
      </c>
      <c r="AY238">
        <v>32.5</v>
      </c>
      <c r="AZ238">
        <v>30.8</v>
      </c>
      <c r="BA238">
        <v>31.1</v>
      </c>
      <c r="BB238">
        <v>30.6</v>
      </c>
      <c r="BC238">
        <v>30.7</v>
      </c>
      <c r="BD238">
        <v>29.9</v>
      </c>
      <c r="BE238">
        <v>30.4</v>
      </c>
      <c r="BF238">
        <v>29.2</v>
      </c>
      <c r="BG238">
        <v>28.7</v>
      </c>
      <c r="BH238">
        <v>28.4</v>
      </c>
      <c r="BI238">
        <v>28.7</v>
      </c>
      <c r="BJ238">
        <v>28.3</v>
      </c>
      <c r="BK238">
        <v>28.1</v>
      </c>
      <c r="BL238">
        <v>27.2</v>
      </c>
      <c r="BM238">
        <v>27</v>
      </c>
      <c r="BN238">
        <v>27.1</v>
      </c>
      <c r="BO238">
        <v>26.5</v>
      </c>
      <c r="BP238">
        <v>26.1</v>
      </c>
    </row>
    <row r="239" spans="1:69" x14ac:dyDescent="0.35">
      <c r="A239" t="s">
        <v>47</v>
      </c>
      <c r="B239" t="s">
        <v>49</v>
      </c>
      <c r="C239" t="s">
        <v>753</v>
      </c>
      <c r="D239" t="s">
        <v>754</v>
      </c>
      <c r="AR239">
        <v>23.3</v>
      </c>
      <c r="AV239">
        <v>25.6</v>
      </c>
      <c r="AW239">
        <v>26.5</v>
      </c>
      <c r="AZ239">
        <v>25.1</v>
      </c>
      <c r="BB239">
        <v>24.1</v>
      </c>
      <c r="BH239">
        <v>26.4</v>
      </c>
      <c r="BN239">
        <v>24.5</v>
      </c>
      <c r="BO239">
        <v>31.3</v>
      </c>
      <c r="BP239">
        <v>29.9</v>
      </c>
      <c r="BQ239">
        <v>28.2</v>
      </c>
    </row>
    <row r="240" spans="1:69" x14ac:dyDescent="0.35">
      <c r="A240" t="s">
        <v>524</v>
      </c>
      <c r="B240" t="s">
        <v>267</v>
      </c>
      <c r="C240" t="s">
        <v>753</v>
      </c>
      <c r="D240" t="s">
        <v>754</v>
      </c>
      <c r="AQ240">
        <v>31.5</v>
      </c>
    </row>
    <row r="241" spans="1:69" x14ac:dyDescent="0.35">
      <c r="A241" t="s">
        <v>147</v>
      </c>
      <c r="B241" t="s">
        <v>611</v>
      </c>
      <c r="C241" t="s">
        <v>753</v>
      </c>
      <c r="D241" t="s">
        <v>754</v>
      </c>
    </row>
    <row r="242" spans="1:69" x14ac:dyDescent="0.35">
      <c r="A242" t="s">
        <v>673</v>
      </c>
      <c r="B242" t="s">
        <v>289</v>
      </c>
      <c r="C242" t="s">
        <v>753</v>
      </c>
      <c r="D242" t="s">
        <v>754</v>
      </c>
      <c r="AT242">
        <v>28.2</v>
      </c>
      <c r="AZ242">
        <v>22.9</v>
      </c>
      <c r="BG242">
        <v>24</v>
      </c>
    </row>
    <row r="243" spans="1:69" x14ac:dyDescent="0.35">
      <c r="A243" t="s">
        <v>718</v>
      </c>
      <c r="B243" t="s">
        <v>469</v>
      </c>
      <c r="C243" t="s">
        <v>753</v>
      </c>
      <c r="D243" t="s">
        <v>754</v>
      </c>
    </row>
    <row r="244" spans="1:69" x14ac:dyDescent="0.35">
      <c r="A244" t="s">
        <v>646</v>
      </c>
      <c r="B244" t="s">
        <v>624</v>
      </c>
      <c r="C244" t="s">
        <v>753</v>
      </c>
      <c r="D244" t="s">
        <v>754</v>
      </c>
      <c r="AS244">
        <v>28.2</v>
      </c>
      <c r="BB244">
        <v>28.9</v>
      </c>
      <c r="BH244">
        <v>26.8</v>
      </c>
      <c r="BN244">
        <v>22</v>
      </c>
    </row>
    <row r="245" spans="1:69" x14ac:dyDescent="0.35">
      <c r="A245" t="s">
        <v>8</v>
      </c>
      <c r="B245" t="s">
        <v>91</v>
      </c>
      <c r="C245" t="s">
        <v>753</v>
      </c>
      <c r="D245" t="s">
        <v>754</v>
      </c>
    </row>
    <row r="246" spans="1:69" x14ac:dyDescent="0.35">
      <c r="A246" t="s">
        <v>240</v>
      </c>
      <c r="B246" t="s">
        <v>505</v>
      </c>
      <c r="C246" t="s">
        <v>753</v>
      </c>
      <c r="D246" t="s">
        <v>754</v>
      </c>
    </row>
    <row r="247" spans="1:69" x14ac:dyDescent="0.35">
      <c r="A247" t="s">
        <v>665</v>
      </c>
      <c r="B247" t="s">
        <v>176</v>
      </c>
      <c r="C247" t="s">
        <v>753</v>
      </c>
      <c r="D247" t="s">
        <v>754</v>
      </c>
      <c r="AG247">
        <v>31.1</v>
      </c>
      <c r="AK247">
        <v>29.9</v>
      </c>
    </row>
    <row r="248" spans="1:69" x14ac:dyDescent="0.35">
      <c r="A248" t="s">
        <v>214</v>
      </c>
      <c r="B248" t="s">
        <v>21</v>
      </c>
      <c r="C248" t="s">
        <v>753</v>
      </c>
      <c r="D248" t="s">
        <v>754</v>
      </c>
      <c r="AD248">
        <v>34.1</v>
      </c>
      <c r="AI248">
        <v>30.6</v>
      </c>
      <c r="AN248">
        <v>31.7</v>
      </c>
      <c r="AS248">
        <v>31.6</v>
      </c>
      <c r="AX248">
        <v>29.1</v>
      </c>
      <c r="BC248">
        <v>29.3</v>
      </c>
      <c r="BH248">
        <v>25.6</v>
      </c>
      <c r="BN248">
        <v>27</v>
      </c>
    </row>
    <row r="249" spans="1:69" x14ac:dyDescent="0.35">
      <c r="A249" t="s">
        <v>121</v>
      </c>
      <c r="B249" t="s">
        <v>432</v>
      </c>
      <c r="C249" t="s">
        <v>753</v>
      </c>
      <c r="D249" t="s">
        <v>754</v>
      </c>
      <c r="AF249">
        <v>32.4</v>
      </c>
      <c r="AM249">
        <v>32</v>
      </c>
      <c r="AU249">
        <v>31.9</v>
      </c>
      <c r="AV249">
        <v>32.4</v>
      </c>
      <c r="AW249">
        <v>30.8</v>
      </c>
      <c r="AX249">
        <v>32.799999999999997</v>
      </c>
      <c r="AY249">
        <v>29.6</v>
      </c>
      <c r="AZ249">
        <v>28.2</v>
      </c>
      <c r="BA249">
        <v>29.4</v>
      </c>
      <c r="BB249">
        <v>29.2</v>
      </c>
      <c r="BC249">
        <v>29.3</v>
      </c>
      <c r="BD249">
        <v>30.5</v>
      </c>
      <c r="BE249">
        <v>30.5</v>
      </c>
      <c r="BF249">
        <v>30.6</v>
      </c>
      <c r="BG249">
        <v>31.6</v>
      </c>
      <c r="BH249">
        <v>33.5</v>
      </c>
      <c r="BI249">
        <v>32.1</v>
      </c>
      <c r="BJ249">
        <v>34</v>
      </c>
      <c r="BK249">
        <v>32.6</v>
      </c>
      <c r="BL249">
        <v>33.9</v>
      </c>
      <c r="BM249">
        <v>33</v>
      </c>
      <c r="BN249">
        <v>34.700000000000003</v>
      </c>
      <c r="BO249">
        <v>35.200000000000003</v>
      </c>
    </row>
    <row r="250" spans="1:69" x14ac:dyDescent="0.35">
      <c r="A250" t="s">
        <v>443</v>
      </c>
      <c r="B250" t="s">
        <v>98</v>
      </c>
      <c r="C250" t="s">
        <v>753</v>
      </c>
      <c r="D250" t="s">
        <v>754</v>
      </c>
      <c r="BC250">
        <v>30.8</v>
      </c>
    </row>
    <row r="251" spans="1:69" x14ac:dyDescent="0.35">
      <c r="A251" t="s">
        <v>569</v>
      </c>
      <c r="B251" t="s">
        <v>467</v>
      </c>
      <c r="C251" t="s">
        <v>753</v>
      </c>
      <c r="D251" t="s">
        <v>754</v>
      </c>
      <c r="AJ251">
        <v>27.1</v>
      </c>
      <c r="AS251">
        <v>28.9</v>
      </c>
      <c r="AZ251">
        <v>31.9</v>
      </c>
      <c r="BD251">
        <v>30.9</v>
      </c>
      <c r="BK251">
        <v>33.1</v>
      </c>
    </row>
    <row r="252" spans="1:69" x14ac:dyDescent="0.35">
      <c r="A252" t="s">
        <v>694</v>
      </c>
      <c r="B252" t="s">
        <v>161</v>
      </c>
      <c r="C252" t="s">
        <v>753</v>
      </c>
      <c r="D252" t="s">
        <v>754</v>
      </c>
      <c r="AH252">
        <v>33.700000000000003</v>
      </c>
      <c r="AK252">
        <v>33.5</v>
      </c>
      <c r="AO252">
        <v>31.3</v>
      </c>
      <c r="AR252">
        <v>34.9</v>
      </c>
      <c r="AU252">
        <v>37.5</v>
      </c>
      <c r="AX252">
        <v>34.5</v>
      </c>
      <c r="BB252">
        <v>36.4</v>
      </c>
      <c r="BE252">
        <v>32.9</v>
      </c>
      <c r="BI252">
        <v>34.200000000000003</v>
      </c>
      <c r="BL252">
        <v>34.5</v>
      </c>
    </row>
    <row r="253" spans="1:69" x14ac:dyDescent="0.35">
      <c r="A253" t="s">
        <v>441</v>
      </c>
      <c r="B253" t="s">
        <v>510</v>
      </c>
      <c r="C253" t="s">
        <v>753</v>
      </c>
      <c r="D253" t="s">
        <v>754</v>
      </c>
      <c r="AK253">
        <v>22.8</v>
      </c>
      <c r="AL253">
        <v>23.2</v>
      </c>
      <c r="AN253">
        <v>30.5</v>
      </c>
      <c r="AO253">
        <v>27.5</v>
      </c>
      <c r="AR253">
        <v>23.1</v>
      </c>
      <c r="AU253">
        <v>23.2</v>
      </c>
      <c r="AV253">
        <v>23.3</v>
      </c>
      <c r="AW253">
        <v>23.1</v>
      </c>
      <c r="AX253">
        <v>23.2</v>
      </c>
      <c r="AY253">
        <v>24.1</v>
      </c>
      <c r="AZ253">
        <v>22</v>
      </c>
      <c r="BA253">
        <v>21.9</v>
      </c>
      <c r="BB253">
        <v>21.1</v>
      </c>
      <c r="BC253">
        <v>21</v>
      </c>
      <c r="BD253">
        <v>20.7</v>
      </c>
      <c r="BE253">
        <v>20.8</v>
      </c>
      <c r="BF253">
        <v>21.1</v>
      </c>
      <c r="BG253">
        <v>20.6</v>
      </c>
      <c r="BH253">
        <v>21.6</v>
      </c>
      <c r="BI253">
        <v>21.2</v>
      </c>
      <c r="BJ253">
        <v>21.7</v>
      </c>
      <c r="BK253">
        <v>22</v>
      </c>
      <c r="BL253">
        <v>22.3</v>
      </c>
      <c r="BM253">
        <v>21.7</v>
      </c>
    </row>
    <row r="254" spans="1:69" x14ac:dyDescent="0.35">
      <c r="A254" t="s">
        <v>166</v>
      </c>
      <c r="B254" t="s">
        <v>594</v>
      </c>
      <c r="C254" t="s">
        <v>753</v>
      </c>
      <c r="D254" t="s">
        <v>754</v>
      </c>
    </row>
    <row r="255" spans="1:69" x14ac:dyDescent="0.35">
      <c r="A255" t="s">
        <v>532</v>
      </c>
      <c r="B255" t="s">
        <v>730</v>
      </c>
      <c r="C255" t="s">
        <v>753</v>
      </c>
      <c r="D255" t="s">
        <v>754</v>
      </c>
      <c r="Z255">
        <v>33.299999999999997</v>
      </c>
      <c r="AH255">
        <v>32.200000000000003</v>
      </c>
      <c r="AK255">
        <v>31.4</v>
      </c>
      <c r="AN255">
        <v>30.5</v>
      </c>
      <c r="AO255">
        <v>30.4</v>
      </c>
      <c r="AP255">
        <v>31.2</v>
      </c>
      <c r="AQ255">
        <v>31.7</v>
      </c>
      <c r="AS255">
        <v>32.5</v>
      </c>
      <c r="AT255">
        <v>33.700000000000003</v>
      </c>
      <c r="AU255">
        <v>34.200000000000003</v>
      </c>
      <c r="AV255">
        <v>34.299999999999997</v>
      </c>
      <c r="AW255">
        <v>34.700000000000003</v>
      </c>
      <c r="AX255">
        <v>33.6</v>
      </c>
      <c r="AY255">
        <v>35</v>
      </c>
      <c r="AZ255">
        <v>35.4</v>
      </c>
      <c r="BA255">
        <v>34.299999999999997</v>
      </c>
      <c r="BB255">
        <v>34.6</v>
      </c>
      <c r="BC255">
        <v>33.6</v>
      </c>
      <c r="BD255">
        <v>31.6</v>
      </c>
      <c r="BE255">
        <v>29.2</v>
      </c>
      <c r="BF255">
        <v>30.1</v>
      </c>
      <c r="BG255">
        <v>29.8</v>
      </c>
      <c r="BH255">
        <v>29.8</v>
      </c>
      <c r="BI255">
        <v>29.6</v>
      </c>
      <c r="BJ255">
        <v>29.6</v>
      </c>
      <c r="BK255">
        <v>29.7</v>
      </c>
      <c r="BL255">
        <v>29.7</v>
      </c>
      <c r="BM255">
        <v>29.9</v>
      </c>
      <c r="BN255">
        <v>30.8</v>
      </c>
      <c r="BO255">
        <v>30.5</v>
      </c>
      <c r="BP255">
        <v>30.8</v>
      </c>
      <c r="BQ255">
        <v>30</v>
      </c>
    </row>
    <row r="256" spans="1:69" x14ac:dyDescent="0.35">
      <c r="A256" t="s">
        <v>408</v>
      </c>
      <c r="B256" t="s">
        <v>617</v>
      </c>
      <c r="C256" t="s">
        <v>753</v>
      </c>
      <c r="D256" t="s">
        <v>754</v>
      </c>
      <c r="H256">
        <v>26.4</v>
      </c>
      <c r="I256">
        <v>27</v>
      </c>
      <c r="J256">
        <v>26.4</v>
      </c>
      <c r="K256">
        <v>26.4</v>
      </c>
      <c r="L256">
        <v>26.3</v>
      </c>
      <c r="M256">
        <v>26.1</v>
      </c>
      <c r="N256">
        <v>25.9</v>
      </c>
      <c r="O256">
        <v>26.1</v>
      </c>
      <c r="P256">
        <v>26.5</v>
      </c>
      <c r="Q256">
        <v>26.1</v>
      </c>
      <c r="R256">
        <v>25.8</v>
      </c>
      <c r="S256">
        <v>25.3</v>
      </c>
      <c r="T256">
        <v>25.4</v>
      </c>
      <c r="U256">
        <v>25.3</v>
      </c>
      <c r="V256">
        <v>25.5</v>
      </c>
      <c r="W256">
        <v>24.8</v>
      </c>
      <c r="X256">
        <v>24.9</v>
      </c>
      <c r="Y256">
        <v>24.8</v>
      </c>
      <c r="Z256">
        <v>25.3</v>
      </c>
      <c r="AA256">
        <v>25.9</v>
      </c>
      <c r="AB256">
        <v>26.1</v>
      </c>
      <c r="AC256">
        <v>26.2</v>
      </c>
      <c r="AD256">
        <v>26.5</v>
      </c>
      <c r="AE256">
        <v>26.3</v>
      </c>
      <c r="AF256">
        <v>26.1</v>
      </c>
      <c r="AG256">
        <v>26.7</v>
      </c>
      <c r="AH256">
        <v>27.3</v>
      </c>
      <c r="AI256">
        <v>27.2</v>
      </c>
      <c r="AJ256">
        <v>27.1</v>
      </c>
      <c r="AK256">
        <v>27.3</v>
      </c>
      <c r="AL256">
        <v>29.2</v>
      </c>
      <c r="AM256">
        <v>29.2</v>
      </c>
      <c r="AN256">
        <v>29.3</v>
      </c>
      <c r="AO256">
        <v>29.6</v>
      </c>
      <c r="AP256">
        <v>29.9</v>
      </c>
      <c r="AQ256">
        <v>29.3</v>
      </c>
      <c r="AR256">
        <v>29.4</v>
      </c>
      <c r="AS256">
        <v>29.8</v>
      </c>
      <c r="AT256">
        <v>30.2</v>
      </c>
      <c r="AU256">
        <v>29.7</v>
      </c>
      <c r="AV256">
        <v>29.8</v>
      </c>
      <c r="AW256">
        <v>29.9</v>
      </c>
      <c r="AX256">
        <v>30.5</v>
      </c>
      <c r="AY256">
        <v>30.9</v>
      </c>
      <c r="AZ256">
        <v>30.1</v>
      </c>
      <c r="BA256">
        <v>30</v>
      </c>
      <c r="BB256">
        <v>30.1</v>
      </c>
      <c r="BC256">
        <v>29</v>
      </c>
      <c r="BD256">
        <v>29.9</v>
      </c>
      <c r="BE256">
        <v>29.9</v>
      </c>
      <c r="BF256">
        <v>29.7</v>
      </c>
      <c r="BG256">
        <v>30.3</v>
      </c>
      <c r="BH256">
        <v>30.2</v>
      </c>
      <c r="BI256">
        <v>30.1</v>
      </c>
      <c r="BJ256">
        <v>29.9</v>
      </c>
      <c r="BK256">
        <v>30.6</v>
      </c>
      <c r="BL256">
        <v>30.6</v>
      </c>
      <c r="BM256">
        <v>29.3</v>
      </c>
      <c r="BN256">
        <v>29.7</v>
      </c>
      <c r="BO256">
        <v>30.4</v>
      </c>
      <c r="BP256">
        <v>30.4</v>
      </c>
    </row>
    <row r="257" spans="1:69" x14ac:dyDescent="0.35">
      <c r="A257" t="s">
        <v>315</v>
      </c>
      <c r="B257" t="s">
        <v>158</v>
      </c>
      <c r="C257" t="s">
        <v>753</v>
      </c>
      <c r="D257" t="s">
        <v>754</v>
      </c>
      <c r="AQ257">
        <v>32.5</v>
      </c>
      <c r="AS257">
        <v>28.5</v>
      </c>
      <c r="AU257">
        <v>27.4</v>
      </c>
      <c r="AV257">
        <v>28.3</v>
      </c>
      <c r="BN257">
        <v>24.7</v>
      </c>
      <c r="BO257">
        <v>23.2</v>
      </c>
      <c r="BP257">
        <v>25.3</v>
      </c>
      <c r="BQ257">
        <v>25.7</v>
      </c>
    </row>
    <row r="258" spans="1:69" x14ac:dyDescent="0.35">
      <c r="A258" t="s">
        <v>55</v>
      </c>
      <c r="B258" t="s">
        <v>104</v>
      </c>
      <c r="C258" t="s">
        <v>753</v>
      </c>
      <c r="D258" t="s">
        <v>754</v>
      </c>
    </row>
    <row r="259" spans="1:69" x14ac:dyDescent="0.35">
      <c r="A259" t="s">
        <v>81</v>
      </c>
      <c r="B259" t="s">
        <v>324</v>
      </c>
      <c r="C259" t="s">
        <v>753</v>
      </c>
      <c r="D259" t="s">
        <v>754</v>
      </c>
      <c r="Z259">
        <v>43.4</v>
      </c>
      <c r="AF259">
        <v>40.799999999999997</v>
      </c>
      <c r="AH259">
        <v>32.5</v>
      </c>
      <c r="AK259">
        <v>31.6</v>
      </c>
      <c r="AN259">
        <v>35.6</v>
      </c>
      <c r="AQ259">
        <v>35.799999999999997</v>
      </c>
      <c r="AR259">
        <v>36</v>
      </c>
      <c r="AT259">
        <v>35.299999999999997</v>
      </c>
      <c r="AU259">
        <v>36.200000000000003</v>
      </c>
      <c r="AV259">
        <v>35.1</v>
      </c>
      <c r="AW259">
        <v>34.6</v>
      </c>
      <c r="AX259">
        <v>36.4</v>
      </c>
      <c r="AY259">
        <v>33.200000000000003</v>
      </c>
    </row>
    <row r="260" spans="1:69" x14ac:dyDescent="0.35">
      <c r="A260" t="s">
        <v>332</v>
      </c>
      <c r="B260" t="s">
        <v>595</v>
      </c>
      <c r="C260" t="s">
        <v>753</v>
      </c>
      <c r="D260" t="s">
        <v>754</v>
      </c>
    </row>
    <row r="261" spans="1:69" x14ac:dyDescent="0.35">
      <c r="A261" t="s">
        <v>436</v>
      </c>
      <c r="B261" t="s">
        <v>138</v>
      </c>
      <c r="C261" t="s">
        <v>753</v>
      </c>
      <c r="D261" t="s">
        <v>754</v>
      </c>
    </row>
    <row r="262" spans="1:69" x14ac:dyDescent="0.35">
      <c r="A262" t="s">
        <v>399</v>
      </c>
      <c r="B262" t="s">
        <v>636</v>
      </c>
      <c r="C262" t="s">
        <v>753</v>
      </c>
      <c r="D262" t="s">
        <v>754</v>
      </c>
      <c r="AK262">
        <v>28.6</v>
      </c>
      <c r="AP262">
        <v>29</v>
      </c>
      <c r="AU262">
        <v>29.8</v>
      </c>
      <c r="AW262">
        <v>28.7</v>
      </c>
      <c r="AY262">
        <v>27.7</v>
      </c>
      <c r="BA262">
        <v>28</v>
      </c>
      <c r="BC262">
        <v>30.9</v>
      </c>
      <c r="BE262">
        <v>27.7</v>
      </c>
      <c r="BG262">
        <v>26.8</v>
      </c>
      <c r="BI262">
        <v>27.1</v>
      </c>
      <c r="BK262">
        <v>27.5</v>
      </c>
      <c r="BM262">
        <v>28.5</v>
      </c>
      <c r="BO262">
        <v>28.1</v>
      </c>
    </row>
    <row r="263" spans="1:69" x14ac:dyDescent="0.35">
      <c r="A263" t="s">
        <v>633</v>
      </c>
      <c r="B263" t="s">
        <v>125</v>
      </c>
      <c r="C263" t="s">
        <v>753</v>
      </c>
      <c r="D263" t="s">
        <v>754</v>
      </c>
      <c r="BC263">
        <v>29.1</v>
      </c>
      <c r="BL263">
        <v>24.7</v>
      </c>
    </row>
    <row r="264" spans="1:69" x14ac:dyDescent="0.35">
      <c r="A264" t="s">
        <v>591</v>
      </c>
      <c r="B264" t="s">
        <v>717</v>
      </c>
      <c r="C264" t="s">
        <v>753</v>
      </c>
      <c r="D264" t="s">
        <v>754</v>
      </c>
    </row>
    <row r="265" spans="1:69" x14ac:dyDescent="0.35">
      <c r="A265" t="s">
        <v>185</v>
      </c>
      <c r="B265" t="s">
        <v>491</v>
      </c>
      <c r="C265" t="s">
        <v>753</v>
      </c>
      <c r="D265" t="s">
        <v>754</v>
      </c>
      <c r="AU265">
        <v>32.5</v>
      </c>
      <c r="BA265">
        <v>34</v>
      </c>
      <c r="BF265">
        <v>31.3</v>
      </c>
    </row>
    <row r="266" spans="1:69" x14ac:dyDescent="0.35">
      <c r="A266" t="s">
        <v>442</v>
      </c>
      <c r="B266" t="s">
        <v>218</v>
      </c>
      <c r="C266" t="s">
        <v>753</v>
      </c>
      <c r="D266" t="s">
        <v>754</v>
      </c>
      <c r="AV266">
        <v>23.2</v>
      </c>
      <c r="AX266">
        <v>24.2</v>
      </c>
      <c r="AY266">
        <v>24</v>
      </c>
      <c r="BB266">
        <v>25</v>
      </c>
      <c r="BC266">
        <v>25.7</v>
      </c>
      <c r="BD266">
        <v>22.3</v>
      </c>
      <c r="BE266">
        <v>23.5</v>
      </c>
      <c r="BF266">
        <v>21.9</v>
      </c>
      <c r="BG266">
        <v>22</v>
      </c>
      <c r="BH266">
        <v>21.5</v>
      </c>
      <c r="BI266">
        <v>21.8</v>
      </c>
      <c r="BJ266">
        <v>31.2</v>
      </c>
      <c r="BK266">
        <v>30.8</v>
      </c>
      <c r="BL266">
        <v>28.8</v>
      </c>
      <c r="BM266">
        <v>45.9</v>
      </c>
      <c r="BN266">
        <v>32.9</v>
      </c>
      <c r="BO266">
        <v>25.1</v>
      </c>
    </row>
    <row r="267" spans="1:69" x14ac:dyDescent="0.35">
      <c r="A267" t="s">
        <v>700</v>
      </c>
      <c r="B267" t="s">
        <v>16</v>
      </c>
      <c r="C267" t="s">
        <v>753</v>
      </c>
      <c r="D267" t="s">
        <v>754</v>
      </c>
      <c r="AQ267">
        <v>26.8</v>
      </c>
      <c r="AX267">
        <v>28.6</v>
      </c>
      <c r="BG267">
        <v>29.4</v>
      </c>
    </row>
    <row r="268" spans="1:69" x14ac:dyDescent="0.35">
      <c r="A268" t="s">
        <v>493</v>
      </c>
      <c r="B268" t="s">
        <v>397</v>
      </c>
      <c r="C268" t="s">
        <v>753</v>
      </c>
      <c r="D268" t="s">
        <v>754</v>
      </c>
      <c r="AL268">
        <v>46.7</v>
      </c>
      <c r="AS268">
        <v>44.9</v>
      </c>
      <c r="AX268">
        <v>54.2</v>
      </c>
      <c r="BA268">
        <v>51.3</v>
      </c>
      <c r="BC268">
        <v>51.3</v>
      </c>
      <c r="BG268">
        <v>50.5</v>
      </c>
    </row>
    <row r="269" spans="1:69" x14ac:dyDescent="0.35">
      <c r="A269" t="s">
        <v>9</v>
      </c>
      <c r="B269" t="s">
        <v>437</v>
      </c>
      <c r="C269" t="s">
        <v>753</v>
      </c>
      <c r="D269" t="s">
        <v>754</v>
      </c>
      <c r="AJ269">
        <v>42.6</v>
      </c>
      <c r="AL269">
        <v>39.299999999999997</v>
      </c>
      <c r="AO269">
        <v>37.299999999999997</v>
      </c>
      <c r="AQ269">
        <v>38.200000000000003</v>
      </c>
      <c r="AU269">
        <v>33.700000000000003</v>
      </c>
      <c r="AW269">
        <v>42.7</v>
      </c>
      <c r="AY269">
        <v>43.1</v>
      </c>
      <c r="BC269">
        <v>41</v>
      </c>
      <c r="BH269">
        <v>43.4</v>
      </c>
      <c r="BO269">
        <v>39.1</v>
      </c>
    </row>
    <row r="270" spans="1:69" x14ac:dyDescent="0.35">
      <c r="A270" t="s">
        <v>741</v>
      </c>
      <c r="B270" t="s">
        <v>350</v>
      </c>
      <c r="C270" t="s">
        <v>753</v>
      </c>
      <c r="D270" t="s">
        <v>754</v>
      </c>
      <c r="BD270">
        <v>33.799999999999997</v>
      </c>
      <c r="BJ270">
        <v>34.799999999999997</v>
      </c>
      <c r="BL270">
        <v>40.5</v>
      </c>
    </row>
  </sheetData>
  <pageMargins left="0.7" right="0.7" top="0.75" bottom="0.75" header="0.3" footer="0.3"/>
  <headerFooter alignWithMargins="0">
    <oddFooter>&amp;L_x000D_&amp;1#&amp;"Aptos"&amp;10&amp;K000000 LUT Group Confidential - Other information (3Y)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71AC6-B68B-4B8C-AE7C-DB5A903D9CB0}">
  <dimension ref="A1:P267"/>
  <sheetViews>
    <sheetView tabSelected="1" workbookViewId="0">
      <selection activeCell="C216" sqref="C216:I216"/>
    </sheetView>
  </sheetViews>
  <sheetFormatPr defaultRowHeight="14.5" x14ac:dyDescent="0.35"/>
  <cols>
    <col min="1" max="1" width="60.1796875" bestFit="1" customWidth="1"/>
    <col min="2" max="2" width="25.6328125" bestFit="1" customWidth="1"/>
  </cols>
  <sheetData>
    <row r="1" spans="1:16" x14ac:dyDescent="0.35">
      <c r="A1" t="s">
        <v>720</v>
      </c>
      <c r="B1" t="s">
        <v>487</v>
      </c>
      <c r="C1" t="s">
        <v>755</v>
      </c>
      <c r="D1" t="s">
        <v>756</v>
      </c>
      <c r="E1" t="s">
        <v>757</v>
      </c>
      <c r="F1" t="s">
        <v>758</v>
      </c>
      <c r="G1" t="s">
        <v>759</v>
      </c>
      <c r="H1" t="s">
        <v>760</v>
      </c>
      <c r="I1" t="s">
        <v>761</v>
      </c>
      <c r="J1" t="s">
        <v>762</v>
      </c>
      <c r="K1" t="s">
        <v>763</v>
      </c>
      <c r="L1" t="s">
        <v>764</v>
      </c>
      <c r="M1" t="s">
        <v>765</v>
      </c>
      <c r="N1" t="s">
        <v>766</v>
      </c>
      <c r="O1" t="s">
        <v>767</v>
      </c>
      <c r="P1" t="s">
        <v>768</v>
      </c>
    </row>
    <row r="2" spans="1:16" x14ac:dyDescent="0.35">
      <c r="A2" t="s">
        <v>529</v>
      </c>
      <c r="B2" t="s">
        <v>12</v>
      </c>
      <c r="C2">
        <f>VLOOKUP($B2,lowest_10!$B$5:$BH$270,59,0)</f>
        <v>0</v>
      </c>
      <c r="D2">
        <f>VLOOKUP($B2,lowest_20!$B$5:$BH$270,59,0)-C2</f>
        <v>0</v>
      </c>
      <c r="E2">
        <f>VLOOKUP($B2,second_20!$B$5:$BH$270,59,0)</f>
        <v>0</v>
      </c>
      <c r="F2">
        <f>VLOOKUP($B2,third_20!$B$5:$BH$270,59,0)</f>
        <v>0</v>
      </c>
      <c r="G2">
        <f>VLOOKUP($B2,fourth_20!$B$5:$BH$270,59,0)</f>
        <v>0</v>
      </c>
      <c r="H2">
        <f>VLOOKUP($B2,highest_20!$B$5:$BH$270,59,0)-I2</f>
        <v>0</v>
      </c>
      <c r="I2">
        <f>VLOOKUP($B2,highest_10!$B$5:$BH$270,59,0)</f>
        <v>0</v>
      </c>
      <c r="J2">
        <f>SUM($C2:C2)</f>
        <v>0</v>
      </c>
      <c r="K2">
        <f>SUM($C2:D2)</f>
        <v>0</v>
      </c>
      <c r="L2">
        <f>SUM($C2:E2)</f>
        <v>0</v>
      </c>
      <c r="M2">
        <f>SUM($C2:F2)</f>
        <v>0</v>
      </c>
      <c r="N2">
        <f>SUM($C2:G2)</f>
        <v>0</v>
      </c>
      <c r="O2">
        <f>SUM($C2:H2)</f>
        <v>0</v>
      </c>
      <c r="P2">
        <f>SUM($C2:I2)</f>
        <v>0</v>
      </c>
    </row>
    <row r="3" spans="1:16" x14ac:dyDescent="0.35">
      <c r="A3" t="s">
        <v>542</v>
      </c>
      <c r="B3" t="s">
        <v>511</v>
      </c>
      <c r="C3">
        <f>VLOOKUP($B3,lowest_10!$B$5:$BH$270,59,0)</f>
        <v>0</v>
      </c>
      <c r="D3">
        <f>VLOOKUP($B3,lowest_20!$B$5:$BH$270,59,0)-C3</f>
        <v>0</v>
      </c>
      <c r="E3">
        <f>VLOOKUP($B3,second_20!$B$5:$BH$270,59,0)</f>
        <v>0</v>
      </c>
      <c r="F3">
        <f>VLOOKUP($B3,third_20!$B$5:$BH$270,59,0)</f>
        <v>0</v>
      </c>
      <c r="G3">
        <f>VLOOKUP($B3,fourth_20!$B$5:$BH$270,59,0)</f>
        <v>0</v>
      </c>
      <c r="H3">
        <f>VLOOKUP($B3,highest_20!$B$5:$BH$270,59,0)-I3</f>
        <v>0</v>
      </c>
      <c r="I3">
        <f>VLOOKUP($B3,highest_10!$B$5:$BH$270,59,0)</f>
        <v>0</v>
      </c>
      <c r="J3">
        <f>SUM($C3:C3)</f>
        <v>0</v>
      </c>
      <c r="K3">
        <f>SUM($C3:D3)</f>
        <v>0</v>
      </c>
      <c r="L3">
        <f>SUM($C3:E3)</f>
        <v>0</v>
      </c>
      <c r="M3">
        <f>SUM($C3:F3)</f>
        <v>0</v>
      </c>
      <c r="N3">
        <f>SUM($C3:G3)</f>
        <v>0</v>
      </c>
      <c r="O3">
        <f>SUM($C3:H3)</f>
        <v>0</v>
      </c>
      <c r="P3">
        <f>SUM($C3:I3)</f>
        <v>0</v>
      </c>
    </row>
    <row r="4" spans="1:16" x14ac:dyDescent="0.35">
      <c r="A4" t="s">
        <v>336</v>
      </c>
      <c r="B4" t="s">
        <v>628</v>
      </c>
      <c r="C4">
        <f>VLOOKUP($B4,lowest_10!$B$5:$BH$270,59,0)</f>
        <v>0</v>
      </c>
      <c r="D4">
        <f>VLOOKUP($B4,lowest_20!$B$5:$BH$270,59,0)-C4</f>
        <v>0</v>
      </c>
      <c r="E4">
        <f>VLOOKUP($B4,second_20!$B$5:$BH$270,59,0)</f>
        <v>0</v>
      </c>
      <c r="F4">
        <f>VLOOKUP($B4,third_20!$B$5:$BH$270,59,0)</f>
        <v>0</v>
      </c>
      <c r="G4">
        <f>VLOOKUP($B4,fourth_20!$B$5:$BH$270,59,0)</f>
        <v>0</v>
      </c>
      <c r="H4">
        <f>VLOOKUP($B4,highest_20!$B$5:$BH$270,59,0)-I4</f>
        <v>0</v>
      </c>
      <c r="I4">
        <f>VLOOKUP($B4,highest_10!$B$5:$BH$270,59,0)</f>
        <v>0</v>
      </c>
      <c r="J4">
        <f>SUM($C4:C4)</f>
        <v>0</v>
      </c>
      <c r="K4">
        <f>SUM($C4:D4)</f>
        <v>0</v>
      </c>
      <c r="L4">
        <f>SUM($C4:E4)</f>
        <v>0</v>
      </c>
      <c r="M4">
        <f>SUM($C4:F4)</f>
        <v>0</v>
      </c>
      <c r="N4">
        <f>SUM($C4:G4)</f>
        <v>0</v>
      </c>
      <c r="O4">
        <f>SUM($C4:H4)</f>
        <v>0</v>
      </c>
      <c r="P4">
        <f>SUM($C4:I4)</f>
        <v>0</v>
      </c>
    </row>
    <row r="5" spans="1:16" x14ac:dyDescent="0.35">
      <c r="A5" t="s">
        <v>706</v>
      </c>
      <c r="B5" t="s">
        <v>177</v>
      </c>
      <c r="C5">
        <f>VLOOKUP($B5,lowest_10!$B$5:$BH$270,59,0)</f>
        <v>0</v>
      </c>
      <c r="D5">
        <f>VLOOKUP($B5,lowest_20!$B$5:$BH$270,59,0)-C5</f>
        <v>0</v>
      </c>
      <c r="E5">
        <f>VLOOKUP($B5,second_20!$B$5:$BH$270,59,0)</f>
        <v>0</v>
      </c>
      <c r="F5">
        <f>VLOOKUP($B5,third_20!$B$5:$BH$270,59,0)</f>
        <v>0</v>
      </c>
      <c r="G5">
        <f>VLOOKUP($B5,fourth_20!$B$5:$BH$270,59,0)</f>
        <v>0</v>
      </c>
      <c r="H5">
        <f>VLOOKUP($B5,highest_20!$B$5:$BH$270,59,0)-I5</f>
        <v>0</v>
      </c>
      <c r="I5">
        <f>VLOOKUP($B5,highest_10!$B$5:$BH$270,59,0)</f>
        <v>0</v>
      </c>
      <c r="J5">
        <f>SUM($C5:C5)</f>
        <v>0</v>
      </c>
      <c r="K5">
        <f>SUM($C5:D5)</f>
        <v>0</v>
      </c>
      <c r="L5">
        <f>SUM($C5:E5)</f>
        <v>0</v>
      </c>
      <c r="M5">
        <f>SUM($C5:F5)</f>
        <v>0</v>
      </c>
      <c r="N5">
        <f>SUM($C5:G5)</f>
        <v>0</v>
      </c>
      <c r="O5">
        <f>SUM($C5:H5)</f>
        <v>0</v>
      </c>
      <c r="P5">
        <f>SUM($C5:I5)</f>
        <v>0</v>
      </c>
    </row>
    <row r="6" spans="1:16" x14ac:dyDescent="0.35">
      <c r="A6" t="s">
        <v>326</v>
      </c>
      <c r="B6" t="s">
        <v>18</v>
      </c>
      <c r="C6">
        <f>VLOOKUP($B6,lowest_10!$B$5:$BH$270,59,0)</f>
        <v>0</v>
      </c>
      <c r="D6">
        <f>VLOOKUP($B6,lowest_20!$B$5:$BH$270,59,0)-C6</f>
        <v>0</v>
      </c>
      <c r="E6">
        <f>VLOOKUP($B6,second_20!$B$5:$BH$270,59,0)</f>
        <v>0</v>
      </c>
      <c r="F6">
        <f>VLOOKUP($B6,third_20!$B$5:$BH$270,59,0)</f>
        <v>0</v>
      </c>
      <c r="G6">
        <f>VLOOKUP($B6,fourth_20!$B$5:$BH$270,59,0)</f>
        <v>0</v>
      </c>
      <c r="H6">
        <f>VLOOKUP($B6,highest_20!$B$5:$BH$270,59,0)-I6</f>
        <v>0</v>
      </c>
      <c r="I6">
        <f>VLOOKUP($B6,highest_10!$B$5:$BH$270,59,0)</f>
        <v>0</v>
      </c>
      <c r="J6">
        <f>SUM($C6:C6)</f>
        <v>0</v>
      </c>
      <c r="K6">
        <f>SUM($C6:D6)</f>
        <v>0</v>
      </c>
      <c r="L6">
        <f>SUM($C6:E6)</f>
        <v>0</v>
      </c>
      <c r="M6">
        <f>SUM($C6:F6)</f>
        <v>0</v>
      </c>
      <c r="N6">
        <f>SUM($C6:G6)</f>
        <v>0</v>
      </c>
      <c r="O6">
        <f>SUM($C6:H6)</f>
        <v>0</v>
      </c>
      <c r="P6">
        <f>SUM($C6:I6)</f>
        <v>0</v>
      </c>
    </row>
    <row r="7" spans="1:16" x14ac:dyDescent="0.35">
      <c r="A7" t="s">
        <v>207</v>
      </c>
      <c r="B7" t="s">
        <v>462</v>
      </c>
      <c r="C7">
        <f>VLOOKUP($B7,lowest_10!$B$5:$BH$270,59,0)</f>
        <v>3.2</v>
      </c>
      <c r="D7">
        <f>VLOOKUP($B7,lowest_20!$B$5:$BH$270,59,0)-C7</f>
        <v>4.5</v>
      </c>
      <c r="E7">
        <f>VLOOKUP($B7,second_20!$B$5:$BH$270,59,0)</f>
        <v>12.1</v>
      </c>
      <c r="F7">
        <f>VLOOKUP($B7,third_20!$B$5:$BH$270,59,0)</f>
        <v>16.5</v>
      </c>
      <c r="G7">
        <f>VLOOKUP($B7,fourth_20!$B$5:$BH$270,59,0)</f>
        <v>23</v>
      </c>
      <c r="H7">
        <f>VLOOKUP($B7,highest_20!$B$5:$BH$270,59,0)-I7</f>
        <v>15.8</v>
      </c>
      <c r="I7">
        <f>VLOOKUP($B7,highest_10!$B$5:$BH$270,59,0)</f>
        <v>24.8</v>
      </c>
      <c r="J7">
        <f>SUM($C7:C7)</f>
        <v>3.2</v>
      </c>
      <c r="K7">
        <f>SUM($C7:D7)</f>
        <v>7.7</v>
      </c>
      <c r="L7">
        <f>SUM($C7:E7)</f>
        <v>19.8</v>
      </c>
      <c r="M7">
        <f>SUM($C7:F7)</f>
        <v>36.299999999999997</v>
      </c>
      <c r="N7">
        <f>SUM($C7:G7)</f>
        <v>59.3</v>
      </c>
      <c r="O7">
        <f>SUM($C7:H7)</f>
        <v>75.099999999999994</v>
      </c>
      <c r="P7">
        <f>SUM($C7:I7)</f>
        <v>99.899999999999991</v>
      </c>
    </row>
    <row r="8" spans="1:16" x14ac:dyDescent="0.35">
      <c r="A8" t="s">
        <v>351</v>
      </c>
      <c r="B8" t="s">
        <v>738</v>
      </c>
      <c r="C8">
        <f>VLOOKUP($B8,lowest_10!$B$5:$BH$270,59,0)</f>
        <v>0</v>
      </c>
      <c r="D8">
        <f>VLOOKUP($B8,lowest_20!$B$5:$BH$270,59,0)-C8</f>
        <v>0</v>
      </c>
      <c r="E8">
        <f>VLOOKUP($B8,second_20!$B$5:$BH$270,59,0)</f>
        <v>0</v>
      </c>
      <c r="F8">
        <f>VLOOKUP($B8,third_20!$B$5:$BH$270,59,0)</f>
        <v>0</v>
      </c>
      <c r="G8">
        <f>VLOOKUP($B8,fourth_20!$B$5:$BH$270,59,0)</f>
        <v>0</v>
      </c>
      <c r="H8">
        <f>VLOOKUP($B8,highest_20!$B$5:$BH$270,59,0)-I8</f>
        <v>0</v>
      </c>
      <c r="I8">
        <f>VLOOKUP($B8,highest_10!$B$5:$BH$270,59,0)</f>
        <v>0</v>
      </c>
      <c r="J8">
        <f>SUM($C8:C8)</f>
        <v>0</v>
      </c>
      <c r="K8">
        <f>SUM($C8:D8)</f>
        <v>0</v>
      </c>
      <c r="L8">
        <f>SUM($C8:E8)</f>
        <v>0</v>
      </c>
      <c r="M8">
        <f>SUM($C8:F8)</f>
        <v>0</v>
      </c>
      <c r="N8">
        <f>SUM($C8:G8)</f>
        <v>0</v>
      </c>
      <c r="O8">
        <f>SUM($C8:H8)</f>
        <v>0</v>
      </c>
      <c r="P8">
        <f>SUM($C8:I8)</f>
        <v>0</v>
      </c>
    </row>
    <row r="9" spans="1:16" x14ac:dyDescent="0.35">
      <c r="A9" t="s">
        <v>115</v>
      </c>
      <c r="B9" t="s">
        <v>618</v>
      </c>
      <c r="C9">
        <f>VLOOKUP($B9,lowest_10!$B$5:$BH$270,59,0)</f>
        <v>0</v>
      </c>
      <c r="D9">
        <f>VLOOKUP($B9,lowest_20!$B$5:$BH$270,59,0)-C9</f>
        <v>0</v>
      </c>
      <c r="E9">
        <f>VLOOKUP($B9,second_20!$B$5:$BH$270,59,0)</f>
        <v>0</v>
      </c>
      <c r="F9">
        <f>VLOOKUP($B9,third_20!$B$5:$BH$270,59,0)</f>
        <v>0</v>
      </c>
      <c r="G9">
        <f>VLOOKUP($B9,fourth_20!$B$5:$BH$270,59,0)</f>
        <v>0</v>
      </c>
      <c r="H9">
        <f>VLOOKUP($B9,highest_20!$B$5:$BH$270,59,0)-I9</f>
        <v>0</v>
      </c>
      <c r="I9">
        <f>VLOOKUP($B9,highest_10!$B$5:$BH$270,59,0)</f>
        <v>0</v>
      </c>
      <c r="J9">
        <f>SUM($C9:C9)</f>
        <v>0</v>
      </c>
      <c r="K9">
        <f>SUM($C9:D9)</f>
        <v>0</v>
      </c>
      <c r="L9">
        <f>SUM($C9:E9)</f>
        <v>0</v>
      </c>
      <c r="M9">
        <f>SUM($C9:F9)</f>
        <v>0</v>
      </c>
      <c r="N9">
        <f>SUM($C9:G9)</f>
        <v>0</v>
      </c>
      <c r="O9">
        <f>SUM($C9:H9)</f>
        <v>0</v>
      </c>
      <c r="P9">
        <f>SUM($C9:I9)</f>
        <v>0</v>
      </c>
    </row>
    <row r="10" spans="1:16" x14ac:dyDescent="0.35">
      <c r="A10" t="s">
        <v>46</v>
      </c>
      <c r="B10" t="s">
        <v>217</v>
      </c>
      <c r="C10">
        <f>VLOOKUP($B10,lowest_10!$B$5:$BH$270,59,0)</f>
        <v>0</v>
      </c>
      <c r="D10">
        <f>VLOOKUP($B10,lowest_20!$B$5:$BH$270,59,0)-C10</f>
        <v>0</v>
      </c>
      <c r="E10">
        <f>VLOOKUP($B10,second_20!$B$5:$BH$270,59,0)</f>
        <v>0</v>
      </c>
      <c r="F10">
        <f>VLOOKUP($B10,third_20!$B$5:$BH$270,59,0)</f>
        <v>0</v>
      </c>
      <c r="G10">
        <f>VLOOKUP($B10,fourth_20!$B$5:$BH$270,59,0)</f>
        <v>0</v>
      </c>
      <c r="H10">
        <f>VLOOKUP($B10,highest_20!$B$5:$BH$270,59,0)-I10</f>
        <v>0</v>
      </c>
      <c r="I10">
        <f>VLOOKUP($B10,highest_10!$B$5:$BH$270,59,0)</f>
        <v>0</v>
      </c>
      <c r="J10">
        <f>SUM($C10:C10)</f>
        <v>0</v>
      </c>
      <c r="K10">
        <f>SUM($C10:D10)</f>
        <v>0</v>
      </c>
      <c r="L10">
        <f>SUM($C10:E10)</f>
        <v>0</v>
      </c>
      <c r="M10">
        <f>SUM($C10:F10)</f>
        <v>0</v>
      </c>
      <c r="N10">
        <f>SUM($C10:G10)</f>
        <v>0</v>
      </c>
      <c r="O10">
        <f>SUM($C10:H10)</f>
        <v>0</v>
      </c>
      <c r="P10">
        <f>SUM($C10:I10)</f>
        <v>0</v>
      </c>
    </row>
    <row r="11" spans="1:16" x14ac:dyDescent="0.35">
      <c r="A11" t="s">
        <v>318</v>
      </c>
      <c r="B11" t="s">
        <v>500</v>
      </c>
      <c r="C11">
        <f>VLOOKUP($B11,lowest_10!$B$5:$BH$270,59,0)</f>
        <v>0</v>
      </c>
      <c r="D11">
        <f>VLOOKUP($B11,lowest_20!$B$5:$BH$270,59,0)-C11</f>
        <v>0</v>
      </c>
      <c r="E11">
        <f>VLOOKUP($B11,second_20!$B$5:$BH$270,59,0)</f>
        <v>0</v>
      </c>
      <c r="F11">
        <f>VLOOKUP($B11,third_20!$B$5:$BH$270,59,0)</f>
        <v>0</v>
      </c>
      <c r="G11">
        <f>VLOOKUP($B11,fourth_20!$B$5:$BH$270,59,0)</f>
        <v>0</v>
      </c>
      <c r="H11">
        <f>VLOOKUP($B11,highest_20!$B$5:$BH$270,59,0)-I11</f>
        <v>0</v>
      </c>
      <c r="I11">
        <f>VLOOKUP($B11,highest_10!$B$5:$BH$270,59,0)</f>
        <v>0</v>
      </c>
      <c r="J11">
        <f>SUM($C11:C11)</f>
        <v>0</v>
      </c>
      <c r="K11">
        <f>SUM($C11:D11)</f>
        <v>0</v>
      </c>
      <c r="L11">
        <f>SUM($C11:E11)</f>
        <v>0</v>
      </c>
      <c r="M11">
        <f>SUM($C11:F11)</f>
        <v>0</v>
      </c>
      <c r="N11">
        <f>SUM($C11:G11)</f>
        <v>0</v>
      </c>
      <c r="O11">
        <f>SUM($C11:H11)</f>
        <v>0</v>
      </c>
      <c r="P11">
        <f>SUM($C11:I11)</f>
        <v>0</v>
      </c>
    </row>
    <row r="12" spans="1:16" x14ac:dyDescent="0.35">
      <c r="A12" t="s">
        <v>89</v>
      </c>
      <c r="B12" t="s">
        <v>293</v>
      </c>
      <c r="C12">
        <f>VLOOKUP($B12,lowest_10!$B$5:$BH$270,59,0)</f>
        <v>3.4</v>
      </c>
      <c r="D12">
        <f>VLOOKUP($B12,lowest_20!$B$5:$BH$270,59,0)-C12</f>
        <v>4.7999999999999989</v>
      </c>
      <c r="E12">
        <f>VLOOKUP($B12,second_20!$B$5:$BH$270,59,0)</f>
        <v>12.6</v>
      </c>
      <c r="F12">
        <f>VLOOKUP($B12,third_20!$B$5:$BH$270,59,0)</f>
        <v>16.7</v>
      </c>
      <c r="G12">
        <f>VLOOKUP($B12,fourth_20!$B$5:$BH$270,59,0)</f>
        <v>21.8</v>
      </c>
      <c r="H12">
        <f>VLOOKUP($B12,highest_20!$B$5:$BH$270,59,0)-I12</f>
        <v>14.000000000000004</v>
      </c>
      <c r="I12">
        <f>VLOOKUP($B12,highest_10!$B$5:$BH$270,59,0)</f>
        <v>26.7</v>
      </c>
      <c r="J12">
        <f>SUM($C12:C12)</f>
        <v>3.4</v>
      </c>
      <c r="K12">
        <f>SUM($C12:D12)</f>
        <v>8.1999999999999993</v>
      </c>
      <c r="L12">
        <f>SUM($C12:E12)</f>
        <v>20.799999999999997</v>
      </c>
      <c r="M12">
        <f>SUM($C12:F12)</f>
        <v>37.5</v>
      </c>
      <c r="N12">
        <f>SUM($C12:G12)</f>
        <v>59.3</v>
      </c>
      <c r="O12">
        <f>SUM($C12:H12)</f>
        <v>73.3</v>
      </c>
      <c r="P12">
        <f>SUM($C12:I12)</f>
        <v>100</v>
      </c>
    </row>
    <row r="13" spans="1:16" x14ac:dyDescent="0.35">
      <c r="A13" t="s">
        <v>112</v>
      </c>
      <c r="B13" t="s">
        <v>360</v>
      </c>
      <c r="C13">
        <f>VLOOKUP($B13,lowest_10!$B$5:$BH$270,59,0)</f>
        <v>0</v>
      </c>
      <c r="D13">
        <f>VLOOKUP($B13,lowest_20!$B$5:$BH$270,59,0)-C13</f>
        <v>0</v>
      </c>
      <c r="E13">
        <f>VLOOKUP($B13,second_20!$B$5:$BH$270,59,0)</f>
        <v>0</v>
      </c>
      <c r="F13">
        <f>VLOOKUP($B13,third_20!$B$5:$BH$270,59,0)</f>
        <v>0</v>
      </c>
      <c r="G13">
        <f>VLOOKUP($B13,fourth_20!$B$5:$BH$270,59,0)</f>
        <v>0</v>
      </c>
      <c r="H13">
        <f>VLOOKUP($B13,highest_20!$B$5:$BH$270,59,0)-I13</f>
        <v>0</v>
      </c>
      <c r="I13">
        <f>VLOOKUP($B13,highest_10!$B$5:$BH$270,59,0)</f>
        <v>0</v>
      </c>
      <c r="J13">
        <f>SUM($C13:C13)</f>
        <v>0</v>
      </c>
      <c r="K13">
        <f>SUM($C13:D13)</f>
        <v>0</v>
      </c>
      <c r="L13">
        <f>SUM($C13:E13)</f>
        <v>0</v>
      </c>
      <c r="M13">
        <f>SUM($C13:F13)</f>
        <v>0</v>
      </c>
      <c r="N13">
        <f>SUM($C13:G13)</f>
        <v>0</v>
      </c>
      <c r="O13">
        <f>SUM($C13:H13)</f>
        <v>0</v>
      </c>
      <c r="P13">
        <f>SUM($C13:I13)</f>
        <v>0</v>
      </c>
    </row>
    <row r="14" spans="1:16" x14ac:dyDescent="0.35">
      <c r="A14" t="s">
        <v>417</v>
      </c>
      <c r="B14" t="s">
        <v>499</v>
      </c>
      <c r="C14">
        <f>VLOOKUP($B14,lowest_10!$B$5:$BH$270,59,0)</f>
        <v>0</v>
      </c>
      <c r="D14">
        <f>VLOOKUP($B14,lowest_20!$B$5:$BH$270,59,0)-C14</f>
        <v>0</v>
      </c>
      <c r="E14">
        <f>VLOOKUP($B14,second_20!$B$5:$BH$270,59,0)</f>
        <v>0</v>
      </c>
      <c r="F14">
        <f>VLOOKUP($B14,third_20!$B$5:$BH$270,59,0)</f>
        <v>0</v>
      </c>
      <c r="G14">
        <f>VLOOKUP($B14,fourth_20!$B$5:$BH$270,59,0)</f>
        <v>0</v>
      </c>
      <c r="H14">
        <f>VLOOKUP($B14,highest_20!$B$5:$BH$270,59,0)-I14</f>
        <v>0</v>
      </c>
      <c r="I14">
        <f>VLOOKUP($B14,highest_10!$B$5:$BH$270,59,0)</f>
        <v>0</v>
      </c>
      <c r="J14">
        <f>SUM($C14:C14)</f>
        <v>0</v>
      </c>
      <c r="K14">
        <f>SUM($C14:D14)</f>
        <v>0</v>
      </c>
      <c r="L14">
        <f>SUM($C14:E14)</f>
        <v>0</v>
      </c>
      <c r="M14">
        <f>SUM($C14:F14)</f>
        <v>0</v>
      </c>
      <c r="N14">
        <f>SUM($C14:G14)</f>
        <v>0</v>
      </c>
      <c r="O14">
        <f>SUM($C14:H14)</f>
        <v>0</v>
      </c>
      <c r="P14">
        <f>SUM($C14:I14)</f>
        <v>0</v>
      </c>
    </row>
    <row r="15" spans="1:16" x14ac:dyDescent="0.35">
      <c r="A15" t="s">
        <v>439</v>
      </c>
      <c r="B15" t="s">
        <v>309</v>
      </c>
      <c r="C15">
        <f>VLOOKUP($B15,lowest_10!$B$5:$BH$270,59,0)</f>
        <v>0</v>
      </c>
      <c r="D15">
        <f>VLOOKUP($B15,lowest_20!$B$5:$BH$270,59,0)-C15</f>
        <v>0</v>
      </c>
      <c r="E15">
        <f>VLOOKUP($B15,second_20!$B$5:$BH$270,59,0)</f>
        <v>0</v>
      </c>
      <c r="F15">
        <f>VLOOKUP($B15,third_20!$B$5:$BH$270,59,0)</f>
        <v>0</v>
      </c>
      <c r="G15">
        <f>VLOOKUP($B15,fourth_20!$B$5:$BH$270,59,0)</f>
        <v>0</v>
      </c>
      <c r="H15">
        <f>VLOOKUP($B15,highest_20!$B$5:$BH$270,59,0)-I15</f>
        <v>0</v>
      </c>
      <c r="I15">
        <f>VLOOKUP($B15,highest_10!$B$5:$BH$270,59,0)</f>
        <v>0</v>
      </c>
      <c r="J15">
        <f>SUM($C15:C15)</f>
        <v>0</v>
      </c>
      <c r="K15">
        <f>SUM($C15:D15)</f>
        <v>0</v>
      </c>
      <c r="L15">
        <f>SUM($C15:E15)</f>
        <v>0</v>
      </c>
      <c r="M15">
        <f>SUM($C15:F15)</f>
        <v>0</v>
      </c>
      <c r="N15">
        <f>SUM($C15:G15)</f>
        <v>0</v>
      </c>
      <c r="O15">
        <f>SUM($C15:H15)</f>
        <v>0</v>
      </c>
      <c r="P15">
        <f>SUM($C15:I15)</f>
        <v>0</v>
      </c>
    </row>
    <row r="16" spans="1:16" x14ac:dyDescent="0.35">
      <c r="A16" t="s">
        <v>63</v>
      </c>
      <c r="B16" t="s">
        <v>361</v>
      </c>
      <c r="C16">
        <f>VLOOKUP($B16,lowest_10!$B$5:$BH$270,59,0)</f>
        <v>3</v>
      </c>
      <c r="D16">
        <f>VLOOKUP($B16,lowest_20!$B$5:$BH$270,59,0)-C16</f>
        <v>4.9000000000000004</v>
      </c>
      <c r="E16">
        <f>VLOOKUP($B16,second_20!$B$5:$BH$270,59,0)</f>
        <v>13.2</v>
      </c>
      <c r="F16">
        <f>VLOOKUP($B16,third_20!$B$5:$BH$270,59,0)</f>
        <v>17.7</v>
      </c>
      <c r="G16">
        <f>VLOOKUP($B16,fourth_20!$B$5:$BH$270,59,0)</f>
        <v>22.9</v>
      </c>
      <c r="H16">
        <f>VLOOKUP($B16,highest_20!$B$5:$BH$270,59,0)-I16</f>
        <v>14.599999999999998</v>
      </c>
      <c r="I16">
        <f>VLOOKUP($B16,highest_10!$B$5:$BH$270,59,0)</f>
        <v>23.8</v>
      </c>
      <c r="J16">
        <f>SUM($C16:C16)</f>
        <v>3</v>
      </c>
      <c r="K16">
        <f>SUM($C16:D16)</f>
        <v>7.9</v>
      </c>
      <c r="L16">
        <f>SUM($C16:E16)</f>
        <v>21.1</v>
      </c>
      <c r="M16">
        <f>SUM($C16:F16)</f>
        <v>38.799999999999997</v>
      </c>
      <c r="N16">
        <f>SUM($C16:G16)</f>
        <v>61.699999999999996</v>
      </c>
      <c r="O16">
        <f>SUM($C16:H16)</f>
        <v>76.3</v>
      </c>
      <c r="P16">
        <f>SUM($C16:I16)</f>
        <v>100.1</v>
      </c>
    </row>
    <row r="17" spans="1:16" x14ac:dyDescent="0.35">
      <c r="A17" t="s">
        <v>537</v>
      </c>
      <c r="B17" t="s">
        <v>528</v>
      </c>
      <c r="C17">
        <f>VLOOKUP($B17,lowest_10!$B$5:$BH$270,59,0)</f>
        <v>0</v>
      </c>
      <c r="D17">
        <f>VLOOKUP($B17,lowest_20!$B$5:$BH$270,59,0)-C17</f>
        <v>0</v>
      </c>
      <c r="E17">
        <f>VLOOKUP($B17,second_20!$B$5:$BH$270,59,0)</f>
        <v>0</v>
      </c>
      <c r="F17">
        <f>VLOOKUP($B17,third_20!$B$5:$BH$270,59,0)</f>
        <v>0</v>
      </c>
      <c r="G17">
        <f>VLOOKUP($B17,fourth_20!$B$5:$BH$270,59,0)</f>
        <v>0</v>
      </c>
      <c r="H17">
        <f>VLOOKUP($B17,highest_20!$B$5:$BH$270,59,0)-I17</f>
        <v>0</v>
      </c>
      <c r="I17">
        <f>VLOOKUP($B17,highest_10!$B$5:$BH$270,59,0)</f>
        <v>0</v>
      </c>
      <c r="J17">
        <f>SUM($C17:C17)</f>
        <v>0</v>
      </c>
      <c r="K17">
        <f>SUM($C17:D17)</f>
        <v>0</v>
      </c>
      <c r="L17">
        <f>SUM($C17:E17)</f>
        <v>0</v>
      </c>
      <c r="M17">
        <f>SUM($C17:F17)</f>
        <v>0</v>
      </c>
      <c r="N17">
        <f>SUM($C17:G17)</f>
        <v>0</v>
      </c>
      <c r="O17">
        <f>SUM($C17:H17)</f>
        <v>0</v>
      </c>
      <c r="P17">
        <f>SUM($C17:I17)</f>
        <v>0</v>
      </c>
    </row>
    <row r="18" spans="1:16" x14ac:dyDescent="0.35">
      <c r="A18" t="s">
        <v>477</v>
      </c>
      <c r="B18" t="s">
        <v>550</v>
      </c>
      <c r="C18">
        <f>VLOOKUP($B18,lowest_10!$B$5:$BH$270,59,0)</f>
        <v>0</v>
      </c>
      <c r="D18">
        <f>VLOOKUP($B18,lowest_20!$B$5:$BH$270,59,0)-C18</f>
        <v>0</v>
      </c>
      <c r="E18">
        <f>VLOOKUP($B18,second_20!$B$5:$BH$270,59,0)</f>
        <v>0</v>
      </c>
      <c r="F18">
        <f>VLOOKUP($B18,third_20!$B$5:$BH$270,59,0)</f>
        <v>0</v>
      </c>
      <c r="G18">
        <f>VLOOKUP($B18,fourth_20!$B$5:$BH$270,59,0)</f>
        <v>0</v>
      </c>
      <c r="H18">
        <f>VLOOKUP($B18,highest_20!$B$5:$BH$270,59,0)-I18</f>
        <v>0</v>
      </c>
      <c r="I18">
        <f>VLOOKUP($B18,highest_10!$B$5:$BH$270,59,0)</f>
        <v>0</v>
      </c>
      <c r="J18">
        <f>SUM($C18:C18)</f>
        <v>0</v>
      </c>
      <c r="K18">
        <f>SUM($C18:D18)</f>
        <v>0</v>
      </c>
      <c r="L18">
        <f>SUM($C18:E18)</f>
        <v>0</v>
      </c>
      <c r="M18">
        <f>SUM($C18:F18)</f>
        <v>0</v>
      </c>
      <c r="N18">
        <f>SUM($C18:G18)</f>
        <v>0</v>
      </c>
      <c r="O18">
        <f>SUM($C18:H18)</f>
        <v>0</v>
      </c>
      <c r="P18">
        <f>SUM($C18:I18)</f>
        <v>0</v>
      </c>
    </row>
    <row r="19" spans="1:16" x14ac:dyDescent="0.35">
      <c r="A19" t="s">
        <v>643</v>
      </c>
      <c r="B19" t="s">
        <v>48</v>
      </c>
      <c r="C19">
        <f>VLOOKUP($B19,lowest_10!$B$5:$BH$270,59,0)</f>
        <v>3.4</v>
      </c>
      <c r="D19">
        <f>VLOOKUP($B19,lowest_20!$B$5:$BH$270,59,0)-C19</f>
        <v>5.1999999999999993</v>
      </c>
      <c r="E19">
        <f>VLOOKUP($B19,second_20!$B$5:$BH$270,59,0)</f>
        <v>14</v>
      </c>
      <c r="F19">
        <f>VLOOKUP($B19,third_20!$B$5:$BH$270,59,0)</f>
        <v>18.100000000000001</v>
      </c>
      <c r="G19">
        <f>VLOOKUP($B19,fourth_20!$B$5:$BH$270,59,0)</f>
        <v>22.7</v>
      </c>
      <c r="H19">
        <f>VLOOKUP($B19,highest_20!$B$5:$BH$270,59,0)-I19</f>
        <v>14.3</v>
      </c>
      <c r="I19">
        <f>VLOOKUP($B19,highest_10!$B$5:$BH$270,59,0)</f>
        <v>22.2</v>
      </c>
      <c r="J19">
        <f>SUM($C19:C19)</f>
        <v>3.4</v>
      </c>
      <c r="K19">
        <f>SUM($C19:D19)</f>
        <v>8.6</v>
      </c>
      <c r="L19">
        <f>SUM($C19:E19)</f>
        <v>22.6</v>
      </c>
      <c r="M19">
        <f>SUM($C19:F19)</f>
        <v>40.700000000000003</v>
      </c>
      <c r="N19">
        <f>SUM($C19:G19)</f>
        <v>63.400000000000006</v>
      </c>
      <c r="O19">
        <f>SUM($C19:H19)</f>
        <v>77.7</v>
      </c>
      <c r="P19">
        <f>SUM($C19:I19)</f>
        <v>99.9</v>
      </c>
    </row>
    <row r="20" spans="1:16" x14ac:dyDescent="0.35">
      <c r="A20" t="s">
        <v>629</v>
      </c>
      <c r="B20" t="s">
        <v>343</v>
      </c>
      <c r="C20">
        <f>VLOOKUP($B20,lowest_10!$B$5:$BH$270,59,0)</f>
        <v>1.1000000000000001</v>
      </c>
      <c r="D20">
        <f>VLOOKUP($B20,lowest_20!$B$5:$BH$270,59,0)-C20</f>
        <v>2.1999999999999997</v>
      </c>
      <c r="E20">
        <f>VLOOKUP($B20,second_20!$B$5:$BH$270,59,0)</f>
        <v>9.6</v>
      </c>
      <c r="F20">
        <f>VLOOKUP($B20,third_20!$B$5:$BH$270,59,0)</f>
        <v>14.1</v>
      </c>
      <c r="G20">
        <f>VLOOKUP($B20,fourth_20!$B$5:$BH$270,59,0)</f>
        <v>20.8</v>
      </c>
      <c r="H20">
        <f>VLOOKUP($B20,highest_20!$B$5:$BH$270,59,0)-I20</f>
        <v>14.5</v>
      </c>
      <c r="I20">
        <f>VLOOKUP($B20,highest_10!$B$5:$BH$270,59,0)</f>
        <v>37.6</v>
      </c>
      <c r="J20">
        <f>SUM($C20:C20)</f>
        <v>1.1000000000000001</v>
      </c>
      <c r="K20">
        <f>SUM($C20:D20)</f>
        <v>3.3</v>
      </c>
      <c r="L20">
        <f>SUM($C20:E20)</f>
        <v>12.899999999999999</v>
      </c>
      <c r="M20">
        <f>SUM($C20:F20)</f>
        <v>27</v>
      </c>
      <c r="N20">
        <f>SUM($C20:G20)</f>
        <v>47.8</v>
      </c>
      <c r="O20">
        <f>SUM($C20:H20)</f>
        <v>62.3</v>
      </c>
      <c r="P20">
        <f>SUM($C20:I20)</f>
        <v>99.9</v>
      </c>
    </row>
    <row r="21" spans="1:16" x14ac:dyDescent="0.35">
      <c r="A21" t="s">
        <v>120</v>
      </c>
      <c r="B21" t="s">
        <v>463</v>
      </c>
      <c r="C21">
        <f>VLOOKUP($B21,lowest_10!$B$5:$BH$270,59,0)</f>
        <v>0</v>
      </c>
      <c r="D21">
        <f>VLOOKUP($B21,lowest_20!$B$5:$BH$270,59,0)-C21</f>
        <v>0</v>
      </c>
      <c r="E21">
        <f>VLOOKUP($B21,second_20!$B$5:$BH$270,59,0)</f>
        <v>0</v>
      </c>
      <c r="F21">
        <f>VLOOKUP($B21,third_20!$B$5:$BH$270,59,0)</f>
        <v>0</v>
      </c>
      <c r="G21">
        <f>VLOOKUP($B21,fourth_20!$B$5:$BH$270,59,0)</f>
        <v>0</v>
      </c>
      <c r="H21">
        <f>VLOOKUP($B21,highest_20!$B$5:$BH$270,59,0)-I21</f>
        <v>0</v>
      </c>
      <c r="I21">
        <f>VLOOKUP($B21,highest_10!$B$5:$BH$270,59,0)</f>
        <v>0</v>
      </c>
      <c r="J21">
        <f>SUM($C21:C21)</f>
        <v>0</v>
      </c>
      <c r="K21">
        <f>SUM($C21:D21)</f>
        <v>0</v>
      </c>
      <c r="L21">
        <f>SUM($C21:E21)</f>
        <v>0</v>
      </c>
      <c r="M21">
        <f>SUM($C21:F21)</f>
        <v>0</v>
      </c>
      <c r="N21">
        <f>SUM($C21:G21)</f>
        <v>0</v>
      </c>
      <c r="O21">
        <f>SUM($C21:H21)</f>
        <v>0</v>
      </c>
      <c r="P21">
        <f>SUM($C21:I21)</f>
        <v>0</v>
      </c>
    </row>
    <row r="22" spans="1:16" x14ac:dyDescent="0.35">
      <c r="A22" t="s">
        <v>39</v>
      </c>
      <c r="B22" t="s">
        <v>152</v>
      </c>
      <c r="C22">
        <f>VLOOKUP($B22,lowest_10!$B$5:$BH$270,59,0)</f>
        <v>0</v>
      </c>
      <c r="D22">
        <f>VLOOKUP($B22,lowest_20!$B$5:$BH$270,59,0)-C22</f>
        <v>0</v>
      </c>
      <c r="E22">
        <f>VLOOKUP($B22,second_20!$B$5:$BH$270,59,0)</f>
        <v>0</v>
      </c>
      <c r="F22">
        <f>VLOOKUP($B22,third_20!$B$5:$BH$270,59,0)</f>
        <v>0</v>
      </c>
      <c r="G22">
        <f>VLOOKUP($B22,fourth_20!$B$5:$BH$270,59,0)</f>
        <v>0</v>
      </c>
      <c r="H22">
        <f>VLOOKUP($B22,highest_20!$B$5:$BH$270,59,0)-I22</f>
        <v>0</v>
      </c>
      <c r="I22">
        <f>VLOOKUP($B22,highest_10!$B$5:$BH$270,59,0)</f>
        <v>0</v>
      </c>
      <c r="J22">
        <f>SUM($C22:C22)</f>
        <v>0</v>
      </c>
      <c r="K22">
        <f>SUM($C22:D22)</f>
        <v>0</v>
      </c>
      <c r="L22">
        <f>SUM($C22:E22)</f>
        <v>0</v>
      </c>
      <c r="M22">
        <f>SUM($C22:F22)</f>
        <v>0</v>
      </c>
      <c r="N22">
        <f>SUM($C22:G22)</f>
        <v>0</v>
      </c>
      <c r="O22">
        <f>SUM($C22:H22)</f>
        <v>0</v>
      </c>
      <c r="P22">
        <f>SUM($C22:I22)</f>
        <v>0</v>
      </c>
    </row>
    <row r="23" spans="1:16" x14ac:dyDescent="0.35">
      <c r="A23" t="s">
        <v>608</v>
      </c>
      <c r="B23" t="s">
        <v>154</v>
      </c>
      <c r="C23">
        <f>VLOOKUP($B23,lowest_10!$B$5:$BH$270,59,0)</f>
        <v>1.5</v>
      </c>
      <c r="D23">
        <f>VLOOKUP($B23,lowest_20!$B$5:$BH$270,59,0)-C23</f>
        <v>3.8</v>
      </c>
      <c r="E23">
        <f>VLOOKUP($B23,second_20!$B$5:$BH$270,59,0)</f>
        <v>11.6</v>
      </c>
      <c r="F23">
        <f>VLOOKUP($B23,third_20!$B$5:$BH$270,59,0)</f>
        <v>16.2</v>
      </c>
      <c r="G23">
        <f>VLOOKUP($B23,fourth_20!$B$5:$BH$270,59,0)</f>
        <v>22.6</v>
      </c>
      <c r="H23">
        <f>VLOOKUP($B23,highest_20!$B$5:$BH$270,59,0)-I23</f>
        <v>15.599999999999998</v>
      </c>
      <c r="I23">
        <f>VLOOKUP($B23,highest_10!$B$5:$BH$270,59,0)</f>
        <v>28.7</v>
      </c>
      <c r="J23">
        <f>SUM($C23:C23)</f>
        <v>1.5</v>
      </c>
      <c r="K23">
        <f>SUM($C23:D23)</f>
        <v>5.3</v>
      </c>
      <c r="L23">
        <f>SUM($C23:E23)</f>
        <v>16.899999999999999</v>
      </c>
      <c r="M23">
        <f>SUM($C23:F23)</f>
        <v>33.099999999999994</v>
      </c>
      <c r="N23">
        <f>SUM($C23:G23)</f>
        <v>55.699999999999996</v>
      </c>
      <c r="O23">
        <f>SUM($C23:H23)</f>
        <v>71.3</v>
      </c>
      <c r="P23">
        <f>SUM($C23:I23)</f>
        <v>100</v>
      </c>
    </row>
    <row r="24" spans="1:16" x14ac:dyDescent="0.35">
      <c r="A24" t="s">
        <v>372</v>
      </c>
      <c r="B24" t="s">
        <v>71</v>
      </c>
      <c r="C24">
        <f>VLOOKUP($B24,lowest_10!$B$5:$BH$270,59,0)</f>
        <v>0</v>
      </c>
      <c r="D24">
        <f>VLOOKUP($B24,lowest_20!$B$5:$BH$270,59,0)-C24</f>
        <v>0</v>
      </c>
      <c r="E24">
        <f>VLOOKUP($B24,second_20!$B$5:$BH$270,59,0)</f>
        <v>0</v>
      </c>
      <c r="F24">
        <f>VLOOKUP($B24,third_20!$B$5:$BH$270,59,0)</f>
        <v>0</v>
      </c>
      <c r="G24">
        <f>VLOOKUP($B24,fourth_20!$B$5:$BH$270,59,0)</f>
        <v>0</v>
      </c>
      <c r="H24">
        <f>VLOOKUP($B24,highest_20!$B$5:$BH$270,59,0)-I24</f>
        <v>0</v>
      </c>
      <c r="I24">
        <f>VLOOKUP($B24,highest_10!$B$5:$BH$270,59,0)</f>
        <v>0</v>
      </c>
      <c r="J24">
        <f>SUM($C24:C24)</f>
        <v>0</v>
      </c>
      <c r="K24">
        <f>SUM($C24:D24)</f>
        <v>0</v>
      </c>
      <c r="L24">
        <f>SUM($C24:E24)</f>
        <v>0</v>
      </c>
      <c r="M24">
        <f>SUM($C24:F24)</f>
        <v>0</v>
      </c>
      <c r="N24">
        <f>SUM($C24:G24)</f>
        <v>0</v>
      </c>
      <c r="O24">
        <f>SUM($C24:H24)</f>
        <v>0</v>
      </c>
      <c r="P24">
        <f>SUM($C24:I24)</f>
        <v>0</v>
      </c>
    </row>
    <row r="25" spans="1:16" x14ac:dyDescent="0.35">
      <c r="A25" t="s">
        <v>169</v>
      </c>
      <c r="B25" t="s">
        <v>302</v>
      </c>
      <c r="C25">
        <f>VLOOKUP($B25,lowest_10!$B$5:$BH$270,59,0)</f>
        <v>0</v>
      </c>
      <c r="D25">
        <f>VLOOKUP($B25,lowest_20!$B$5:$BH$270,59,0)-C25</f>
        <v>0</v>
      </c>
      <c r="E25">
        <f>VLOOKUP($B25,second_20!$B$5:$BH$270,59,0)</f>
        <v>0</v>
      </c>
      <c r="F25">
        <f>VLOOKUP($B25,third_20!$B$5:$BH$270,59,0)</f>
        <v>0</v>
      </c>
      <c r="G25">
        <f>VLOOKUP($B25,fourth_20!$B$5:$BH$270,59,0)</f>
        <v>0</v>
      </c>
      <c r="H25">
        <f>VLOOKUP($B25,highest_20!$B$5:$BH$270,59,0)-I25</f>
        <v>0</v>
      </c>
      <c r="I25">
        <f>VLOOKUP($B25,highest_10!$B$5:$BH$270,59,0)</f>
        <v>0</v>
      </c>
      <c r="J25">
        <f>SUM($C25:C25)</f>
        <v>0</v>
      </c>
      <c r="K25">
        <f>SUM($C25:D25)</f>
        <v>0</v>
      </c>
      <c r="L25">
        <f>SUM($C25:E25)</f>
        <v>0</v>
      </c>
      <c r="M25">
        <f>SUM($C25:F25)</f>
        <v>0</v>
      </c>
      <c r="N25">
        <f>SUM($C25:G25)</f>
        <v>0</v>
      </c>
      <c r="O25">
        <f>SUM($C25:H25)</f>
        <v>0</v>
      </c>
      <c r="P25">
        <f>SUM($C25:I25)</f>
        <v>0</v>
      </c>
    </row>
    <row r="26" spans="1:16" x14ac:dyDescent="0.35">
      <c r="A26" t="s">
        <v>398</v>
      </c>
      <c r="B26" t="s">
        <v>556</v>
      </c>
      <c r="C26">
        <f>VLOOKUP($B26,lowest_10!$B$5:$BH$270,59,0)</f>
        <v>0</v>
      </c>
      <c r="D26">
        <f>VLOOKUP($B26,lowest_20!$B$5:$BH$270,59,0)-C26</f>
        <v>0</v>
      </c>
      <c r="E26">
        <f>VLOOKUP($B26,second_20!$B$5:$BH$270,59,0)</f>
        <v>0</v>
      </c>
      <c r="F26">
        <f>VLOOKUP($B26,third_20!$B$5:$BH$270,59,0)</f>
        <v>0</v>
      </c>
      <c r="G26">
        <f>VLOOKUP($B26,fourth_20!$B$5:$BH$270,59,0)</f>
        <v>0</v>
      </c>
      <c r="H26">
        <f>VLOOKUP($B26,highest_20!$B$5:$BH$270,59,0)-I26</f>
        <v>0</v>
      </c>
      <c r="I26">
        <f>VLOOKUP($B26,highest_10!$B$5:$BH$270,59,0)</f>
        <v>0</v>
      </c>
      <c r="J26">
        <f>SUM($C26:C26)</f>
        <v>0</v>
      </c>
      <c r="K26">
        <f>SUM($C26:D26)</f>
        <v>0</v>
      </c>
      <c r="L26">
        <f>SUM($C26:E26)</f>
        <v>0</v>
      </c>
      <c r="M26">
        <f>SUM($C26:F26)</f>
        <v>0</v>
      </c>
      <c r="N26">
        <f>SUM($C26:G26)</f>
        <v>0</v>
      </c>
      <c r="O26">
        <f>SUM($C26:H26)</f>
        <v>0</v>
      </c>
      <c r="P26">
        <f>SUM($C26:I26)</f>
        <v>0</v>
      </c>
    </row>
    <row r="27" spans="1:16" x14ac:dyDescent="0.35">
      <c r="A27" t="s">
        <v>590</v>
      </c>
      <c r="B27" t="s">
        <v>226</v>
      </c>
      <c r="C27">
        <f>VLOOKUP($B27,lowest_10!$B$5:$BH$270,59,0)</f>
        <v>4.0999999999999996</v>
      </c>
      <c r="D27">
        <f>VLOOKUP($B27,lowest_20!$B$5:$BH$270,59,0)-C27</f>
        <v>5.6</v>
      </c>
      <c r="E27">
        <f>VLOOKUP($B27,second_20!$B$5:$BH$270,59,0)</f>
        <v>14.3</v>
      </c>
      <c r="F27">
        <f>VLOOKUP($B27,third_20!$B$5:$BH$270,59,0)</f>
        <v>17.899999999999999</v>
      </c>
      <c r="G27">
        <f>VLOOKUP($B27,fourth_20!$B$5:$BH$270,59,0)</f>
        <v>22.6</v>
      </c>
      <c r="H27">
        <f>VLOOKUP($B27,highest_20!$B$5:$BH$270,59,0)-I27</f>
        <v>14.2</v>
      </c>
      <c r="I27">
        <f>VLOOKUP($B27,highest_10!$B$5:$BH$270,59,0)</f>
        <v>21.2</v>
      </c>
      <c r="J27">
        <f>SUM($C27:C27)</f>
        <v>4.0999999999999996</v>
      </c>
      <c r="K27">
        <f>SUM($C27:D27)</f>
        <v>9.6999999999999993</v>
      </c>
      <c r="L27">
        <f>SUM($C27:E27)</f>
        <v>24</v>
      </c>
      <c r="M27">
        <f>SUM($C27:F27)</f>
        <v>41.9</v>
      </c>
      <c r="N27">
        <f>SUM($C27:G27)</f>
        <v>64.5</v>
      </c>
      <c r="O27">
        <f>SUM($C27:H27)</f>
        <v>78.7</v>
      </c>
      <c r="P27">
        <f>SUM($C27:I27)</f>
        <v>99.9</v>
      </c>
    </row>
    <row r="28" spans="1:16" x14ac:dyDescent="0.35">
      <c r="A28" t="s">
        <v>322</v>
      </c>
      <c r="B28" t="s">
        <v>299</v>
      </c>
      <c r="C28">
        <f>VLOOKUP($B28,lowest_10!$B$5:$BH$270,59,0)</f>
        <v>0</v>
      </c>
      <c r="D28">
        <f>VLOOKUP($B28,lowest_20!$B$5:$BH$270,59,0)-C28</f>
        <v>0</v>
      </c>
      <c r="E28">
        <f>VLOOKUP($B28,second_20!$B$5:$BH$270,59,0)</f>
        <v>0</v>
      </c>
      <c r="F28">
        <f>VLOOKUP($B28,third_20!$B$5:$BH$270,59,0)</f>
        <v>0</v>
      </c>
      <c r="G28">
        <f>VLOOKUP($B28,fourth_20!$B$5:$BH$270,59,0)</f>
        <v>0</v>
      </c>
      <c r="H28">
        <f>VLOOKUP($B28,highest_20!$B$5:$BH$270,59,0)-I28</f>
        <v>0</v>
      </c>
      <c r="I28">
        <f>VLOOKUP($B28,highest_10!$B$5:$BH$270,59,0)</f>
        <v>0</v>
      </c>
      <c r="J28">
        <f>SUM($C28:C28)</f>
        <v>0</v>
      </c>
      <c r="K28">
        <f>SUM($C28:D28)</f>
        <v>0</v>
      </c>
      <c r="L28">
        <f>SUM($C28:E28)</f>
        <v>0</v>
      </c>
      <c r="M28">
        <f>SUM($C28:F28)</f>
        <v>0</v>
      </c>
      <c r="N28">
        <f>SUM($C28:G28)</f>
        <v>0</v>
      </c>
      <c r="O28">
        <f>SUM($C28:H28)</f>
        <v>0</v>
      </c>
      <c r="P28">
        <f>SUM($C28:I28)</f>
        <v>0</v>
      </c>
    </row>
    <row r="29" spans="1:16" x14ac:dyDescent="0.35">
      <c r="A29" t="s">
        <v>380</v>
      </c>
      <c r="B29" t="s">
        <v>639</v>
      </c>
      <c r="C29">
        <f>VLOOKUP($B29,lowest_10!$B$5:$BH$270,59,0)</f>
        <v>0</v>
      </c>
      <c r="D29">
        <f>VLOOKUP($B29,lowest_20!$B$5:$BH$270,59,0)-C29</f>
        <v>0</v>
      </c>
      <c r="E29">
        <f>VLOOKUP($B29,second_20!$B$5:$BH$270,59,0)</f>
        <v>0</v>
      </c>
      <c r="F29">
        <f>VLOOKUP($B29,third_20!$B$5:$BH$270,59,0)</f>
        <v>0</v>
      </c>
      <c r="G29">
        <f>VLOOKUP($B29,fourth_20!$B$5:$BH$270,59,0)</f>
        <v>0</v>
      </c>
      <c r="H29">
        <f>VLOOKUP($B29,highest_20!$B$5:$BH$270,59,0)-I29</f>
        <v>0</v>
      </c>
      <c r="I29">
        <f>VLOOKUP($B29,highest_10!$B$5:$BH$270,59,0)</f>
        <v>0</v>
      </c>
      <c r="J29">
        <f>SUM($C29:C29)</f>
        <v>0</v>
      </c>
      <c r="K29">
        <f>SUM($C29:D29)</f>
        <v>0</v>
      </c>
      <c r="L29">
        <f>SUM($C29:E29)</f>
        <v>0</v>
      </c>
      <c r="M29">
        <f>SUM($C29:F29)</f>
        <v>0</v>
      </c>
      <c r="N29">
        <f>SUM($C29:G29)</f>
        <v>0</v>
      </c>
      <c r="O29">
        <f>SUM($C29:H29)</f>
        <v>0</v>
      </c>
      <c r="P29">
        <f>SUM($C29:I29)</f>
        <v>0</v>
      </c>
    </row>
    <row r="30" spans="1:16" x14ac:dyDescent="0.35">
      <c r="A30" t="s">
        <v>56</v>
      </c>
      <c r="B30" t="s">
        <v>518</v>
      </c>
      <c r="C30">
        <f>VLOOKUP($B30,lowest_10!$B$5:$BH$270,59,0)</f>
        <v>1.1000000000000001</v>
      </c>
      <c r="D30">
        <f>VLOOKUP($B30,lowest_20!$B$5:$BH$270,59,0)-C30</f>
        <v>2.8</v>
      </c>
      <c r="E30">
        <f>VLOOKUP($B30,second_20!$B$5:$BH$270,59,0)</f>
        <v>9</v>
      </c>
      <c r="F30">
        <f>VLOOKUP($B30,third_20!$B$5:$BH$270,59,0)</f>
        <v>14.2</v>
      </c>
      <c r="G30">
        <f>VLOOKUP($B30,fourth_20!$B$5:$BH$270,59,0)</f>
        <v>21.8</v>
      </c>
      <c r="H30">
        <f>VLOOKUP($B30,highest_20!$B$5:$BH$270,59,0)-I30</f>
        <v>16.300000000000004</v>
      </c>
      <c r="I30">
        <f>VLOOKUP($B30,highest_10!$B$5:$BH$270,59,0)</f>
        <v>34.799999999999997</v>
      </c>
      <c r="J30">
        <f>SUM($C30:C30)</f>
        <v>1.1000000000000001</v>
      </c>
      <c r="K30">
        <f>SUM($C30:D30)</f>
        <v>3.9</v>
      </c>
      <c r="L30">
        <f>SUM($C30:E30)</f>
        <v>12.9</v>
      </c>
      <c r="M30">
        <f>SUM($C30:F30)</f>
        <v>27.1</v>
      </c>
      <c r="N30">
        <f>SUM($C30:G30)</f>
        <v>48.900000000000006</v>
      </c>
      <c r="O30">
        <f>SUM($C30:H30)</f>
        <v>65.200000000000017</v>
      </c>
      <c r="P30">
        <f>SUM($C30:I30)</f>
        <v>100.00000000000001</v>
      </c>
    </row>
    <row r="31" spans="1:16" x14ac:dyDescent="0.35">
      <c r="A31" t="s">
        <v>593</v>
      </c>
      <c r="B31" t="s">
        <v>341</v>
      </c>
      <c r="C31">
        <f>VLOOKUP($B31,lowest_10!$B$5:$BH$270,59,0)</f>
        <v>1.2</v>
      </c>
      <c r="D31">
        <f>VLOOKUP($B31,lowest_20!$B$5:$BH$270,59,0)-C31</f>
        <v>2.4000000000000004</v>
      </c>
      <c r="E31">
        <f>VLOOKUP($B31,second_20!$B$5:$BH$270,59,0)</f>
        <v>7.7</v>
      </c>
      <c r="F31">
        <f>VLOOKUP($B31,third_20!$B$5:$BH$270,59,0)</f>
        <v>12.4</v>
      </c>
      <c r="G31">
        <f>VLOOKUP($B31,fourth_20!$B$5:$BH$270,59,0)</f>
        <v>19.600000000000001</v>
      </c>
      <c r="H31">
        <f>VLOOKUP($B31,highest_20!$B$5:$BH$270,59,0)-I31</f>
        <v>15.800000000000004</v>
      </c>
      <c r="I31">
        <f>VLOOKUP($B31,highest_10!$B$5:$BH$270,59,0)</f>
        <v>40.9</v>
      </c>
      <c r="J31">
        <f>SUM($C31:C31)</f>
        <v>1.2</v>
      </c>
      <c r="K31">
        <f>SUM($C31:D31)</f>
        <v>3.6000000000000005</v>
      </c>
      <c r="L31">
        <f>SUM($C31:E31)</f>
        <v>11.3</v>
      </c>
      <c r="M31">
        <f>SUM($C31:F31)</f>
        <v>23.700000000000003</v>
      </c>
      <c r="N31">
        <f>SUM($C31:G31)</f>
        <v>43.300000000000004</v>
      </c>
      <c r="O31">
        <f>SUM($C31:H31)</f>
        <v>59.100000000000009</v>
      </c>
      <c r="P31">
        <f>SUM($C31:I31)</f>
        <v>100</v>
      </c>
    </row>
    <row r="32" spans="1:16" x14ac:dyDescent="0.35">
      <c r="A32" t="s">
        <v>563</v>
      </c>
      <c r="B32" t="s">
        <v>395</v>
      </c>
      <c r="C32">
        <f>VLOOKUP($B32,lowest_10!$B$5:$BH$270,59,0)</f>
        <v>0</v>
      </c>
      <c r="D32">
        <f>VLOOKUP($B32,lowest_20!$B$5:$BH$270,59,0)-C32</f>
        <v>0</v>
      </c>
      <c r="E32">
        <f>VLOOKUP($B32,second_20!$B$5:$BH$270,59,0)</f>
        <v>0</v>
      </c>
      <c r="F32">
        <f>VLOOKUP($B32,third_20!$B$5:$BH$270,59,0)</f>
        <v>0</v>
      </c>
      <c r="G32">
        <f>VLOOKUP($B32,fourth_20!$B$5:$BH$270,59,0)</f>
        <v>0</v>
      </c>
      <c r="H32">
        <f>VLOOKUP($B32,highest_20!$B$5:$BH$270,59,0)-I32</f>
        <v>0</v>
      </c>
      <c r="I32">
        <f>VLOOKUP($B32,highest_10!$B$5:$BH$270,59,0)</f>
        <v>0</v>
      </c>
      <c r="J32">
        <f>SUM($C32:C32)</f>
        <v>0</v>
      </c>
      <c r="K32">
        <f>SUM($C32:D32)</f>
        <v>0</v>
      </c>
      <c r="L32">
        <f>SUM($C32:E32)</f>
        <v>0</v>
      </c>
      <c r="M32">
        <f>SUM($C32:F32)</f>
        <v>0</v>
      </c>
      <c r="N32">
        <f>SUM($C32:G32)</f>
        <v>0</v>
      </c>
      <c r="O32">
        <f>SUM($C32:H32)</f>
        <v>0</v>
      </c>
      <c r="P32">
        <f>SUM($C32:I32)</f>
        <v>0</v>
      </c>
    </row>
    <row r="33" spans="1:16" x14ac:dyDescent="0.35">
      <c r="A33" t="s">
        <v>435</v>
      </c>
      <c r="B33" t="s">
        <v>129</v>
      </c>
      <c r="C33">
        <f>VLOOKUP($B33,lowest_10!$B$5:$BH$270,59,0)</f>
        <v>0</v>
      </c>
      <c r="D33">
        <f>VLOOKUP($B33,lowest_20!$B$5:$BH$270,59,0)-C33</f>
        <v>0</v>
      </c>
      <c r="E33">
        <f>VLOOKUP($B33,second_20!$B$5:$BH$270,59,0)</f>
        <v>0</v>
      </c>
      <c r="F33">
        <f>VLOOKUP($B33,third_20!$B$5:$BH$270,59,0)</f>
        <v>0</v>
      </c>
      <c r="G33">
        <f>VLOOKUP($B33,fourth_20!$B$5:$BH$270,59,0)</f>
        <v>0</v>
      </c>
      <c r="H33">
        <f>VLOOKUP($B33,highest_20!$B$5:$BH$270,59,0)-I33</f>
        <v>0</v>
      </c>
      <c r="I33">
        <f>VLOOKUP($B33,highest_10!$B$5:$BH$270,59,0)</f>
        <v>0</v>
      </c>
      <c r="J33">
        <f>SUM($C33:C33)</f>
        <v>0</v>
      </c>
      <c r="K33">
        <f>SUM($C33:D33)</f>
        <v>0</v>
      </c>
      <c r="L33">
        <f>SUM($C33:E33)</f>
        <v>0</v>
      </c>
      <c r="M33">
        <f>SUM($C33:F33)</f>
        <v>0</v>
      </c>
      <c r="N33">
        <f>SUM($C33:G33)</f>
        <v>0</v>
      </c>
      <c r="O33">
        <f>SUM($C33:H33)</f>
        <v>0</v>
      </c>
      <c r="P33">
        <f>SUM($C33:I33)</f>
        <v>0</v>
      </c>
    </row>
    <row r="34" spans="1:16" x14ac:dyDescent="0.35">
      <c r="A34" t="s">
        <v>572</v>
      </c>
      <c r="B34" t="s">
        <v>122</v>
      </c>
      <c r="C34">
        <f>VLOOKUP($B34,lowest_10!$B$5:$BH$270,59,0)</f>
        <v>0</v>
      </c>
      <c r="D34">
        <f>VLOOKUP($B34,lowest_20!$B$5:$BH$270,59,0)-C34</f>
        <v>0</v>
      </c>
      <c r="E34">
        <f>VLOOKUP($B34,second_20!$B$5:$BH$270,59,0)</f>
        <v>0</v>
      </c>
      <c r="F34">
        <f>VLOOKUP($B34,third_20!$B$5:$BH$270,59,0)</f>
        <v>0</v>
      </c>
      <c r="G34">
        <f>VLOOKUP($B34,fourth_20!$B$5:$BH$270,59,0)</f>
        <v>0</v>
      </c>
      <c r="H34">
        <f>VLOOKUP($B34,highest_20!$B$5:$BH$270,59,0)-I34</f>
        <v>0</v>
      </c>
      <c r="I34">
        <f>VLOOKUP($B34,highest_10!$B$5:$BH$270,59,0)</f>
        <v>0</v>
      </c>
      <c r="J34">
        <f>SUM($C34:C34)</f>
        <v>0</v>
      </c>
      <c r="K34">
        <f>SUM($C34:D34)</f>
        <v>0</v>
      </c>
      <c r="L34">
        <f>SUM($C34:E34)</f>
        <v>0</v>
      </c>
      <c r="M34">
        <f>SUM($C34:F34)</f>
        <v>0</v>
      </c>
      <c r="N34">
        <f>SUM($C34:G34)</f>
        <v>0</v>
      </c>
      <c r="O34">
        <f>SUM($C34:H34)</f>
        <v>0</v>
      </c>
      <c r="P34">
        <f>SUM($C34:I34)</f>
        <v>0</v>
      </c>
    </row>
    <row r="35" spans="1:16" x14ac:dyDescent="0.35">
      <c r="A35" t="s">
        <v>51</v>
      </c>
      <c r="B35" t="s">
        <v>402</v>
      </c>
      <c r="C35">
        <f>VLOOKUP($B35,lowest_10!$B$5:$BH$270,59,0)</f>
        <v>1.4</v>
      </c>
      <c r="D35">
        <f>VLOOKUP($B35,lowest_20!$B$5:$BH$270,59,0)-C35</f>
        <v>2.3000000000000003</v>
      </c>
      <c r="E35">
        <f>VLOOKUP($B35,second_20!$B$5:$BH$270,59,0)</f>
        <v>6.7</v>
      </c>
      <c r="F35">
        <f>VLOOKUP($B35,third_20!$B$5:$BH$270,59,0)</f>
        <v>10.7</v>
      </c>
      <c r="G35">
        <f>VLOOKUP($B35,fourth_20!$B$5:$BH$270,59,0)</f>
        <v>19.100000000000001</v>
      </c>
      <c r="H35">
        <f>VLOOKUP($B35,highest_20!$B$5:$BH$270,59,0)-I35</f>
        <v>17</v>
      </c>
      <c r="I35">
        <f>VLOOKUP($B35,highest_10!$B$5:$BH$270,59,0)</f>
        <v>42.9</v>
      </c>
      <c r="J35">
        <f>SUM($C35:C35)</f>
        <v>1.4</v>
      </c>
      <c r="K35">
        <f>SUM($C35:D35)</f>
        <v>3.7</v>
      </c>
      <c r="L35">
        <f>SUM($C35:E35)</f>
        <v>10.4</v>
      </c>
      <c r="M35">
        <f>SUM($C35:F35)</f>
        <v>21.1</v>
      </c>
      <c r="N35">
        <f>SUM($C35:G35)</f>
        <v>40.200000000000003</v>
      </c>
      <c r="O35">
        <f>SUM($C35:H35)</f>
        <v>57.2</v>
      </c>
      <c r="P35">
        <f>SUM($C35:I35)</f>
        <v>100.1</v>
      </c>
    </row>
    <row r="36" spans="1:16" x14ac:dyDescent="0.35">
      <c r="A36" t="s">
        <v>188</v>
      </c>
      <c r="B36" t="s">
        <v>492</v>
      </c>
      <c r="C36">
        <f>VLOOKUP($B36,lowest_10!$B$5:$BH$270,59,0)</f>
        <v>0</v>
      </c>
      <c r="D36">
        <f>VLOOKUP($B36,lowest_20!$B$5:$BH$270,59,0)-C36</f>
        <v>0</v>
      </c>
      <c r="E36">
        <f>VLOOKUP($B36,second_20!$B$5:$BH$270,59,0)</f>
        <v>0</v>
      </c>
      <c r="F36">
        <f>VLOOKUP($B36,third_20!$B$5:$BH$270,59,0)</f>
        <v>0</v>
      </c>
      <c r="G36">
        <f>VLOOKUP($B36,fourth_20!$B$5:$BH$270,59,0)</f>
        <v>0</v>
      </c>
      <c r="H36">
        <f>VLOOKUP($B36,highest_20!$B$5:$BH$270,59,0)-I36</f>
        <v>0</v>
      </c>
      <c r="I36">
        <f>VLOOKUP($B36,highest_10!$B$5:$BH$270,59,0)</f>
        <v>0</v>
      </c>
      <c r="J36">
        <f>SUM($C36:C36)</f>
        <v>0</v>
      </c>
      <c r="K36">
        <f>SUM($C36:D36)</f>
        <v>0</v>
      </c>
      <c r="L36">
        <f>SUM($C36:E36)</f>
        <v>0</v>
      </c>
      <c r="M36">
        <f>SUM($C36:F36)</f>
        <v>0</v>
      </c>
      <c r="N36">
        <f>SUM($C36:G36)</f>
        <v>0</v>
      </c>
      <c r="O36">
        <f>SUM($C36:H36)</f>
        <v>0</v>
      </c>
      <c r="P36">
        <f>SUM($C36:I36)</f>
        <v>0</v>
      </c>
    </row>
    <row r="37" spans="1:16" x14ac:dyDescent="0.35">
      <c r="A37" t="s">
        <v>203</v>
      </c>
      <c r="B37" t="s">
        <v>564</v>
      </c>
      <c r="C37">
        <f>VLOOKUP($B37,lowest_10!$B$5:$BH$270,59,0)</f>
        <v>2.6</v>
      </c>
      <c r="D37">
        <f>VLOOKUP($B37,lowest_20!$B$5:$BH$270,59,0)-C37</f>
        <v>4.4000000000000004</v>
      </c>
      <c r="E37">
        <f>VLOOKUP($B37,second_20!$B$5:$BH$270,59,0)</f>
        <v>12.5</v>
      </c>
      <c r="F37">
        <f>VLOOKUP($B37,third_20!$B$5:$BH$270,59,0)</f>
        <v>17</v>
      </c>
      <c r="G37">
        <f>VLOOKUP($B37,fourth_20!$B$5:$BH$270,59,0)</f>
        <v>23</v>
      </c>
      <c r="H37">
        <f>VLOOKUP($B37,highest_20!$B$5:$BH$270,59,0)-I37</f>
        <v>15.399999999999999</v>
      </c>
      <c r="I37">
        <f>VLOOKUP($B37,highest_10!$B$5:$BH$270,59,0)</f>
        <v>25.1</v>
      </c>
      <c r="J37">
        <f>SUM($C37:C37)</f>
        <v>2.6</v>
      </c>
      <c r="K37">
        <f>SUM($C37:D37)</f>
        <v>7</v>
      </c>
      <c r="L37">
        <f>SUM($C37:E37)</f>
        <v>19.5</v>
      </c>
      <c r="M37">
        <f>SUM($C37:F37)</f>
        <v>36.5</v>
      </c>
      <c r="N37">
        <f>SUM($C37:G37)</f>
        <v>59.5</v>
      </c>
      <c r="O37">
        <f>SUM($C37:H37)</f>
        <v>74.900000000000006</v>
      </c>
      <c r="P37">
        <f>SUM($C37:I37)</f>
        <v>100</v>
      </c>
    </row>
    <row r="38" spans="1:16" x14ac:dyDescent="0.35">
      <c r="A38" t="s">
        <v>444</v>
      </c>
      <c r="B38" t="s">
        <v>239</v>
      </c>
      <c r="C38">
        <f>VLOOKUP($B38,lowest_10!$B$5:$BH$270,59,0)</f>
        <v>0</v>
      </c>
      <c r="D38">
        <f>VLOOKUP($B38,lowest_20!$B$5:$BH$270,59,0)-C38</f>
        <v>0</v>
      </c>
      <c r="E38">
        <f>VLOOKUP($B38,second_20!$B$5:$BH$270,59,0)</f>
        <v>0</v>
      </c>
      <c r="F38">
        <f>VLOOKUP($B38,third_20!$B$5:$BH$270,59,0)</f>
        <v>0</v>
      </c>
      <c r="G38">
        <f>VLOOKUP($B38,fourth_20!$B$5:$BH$270,59,0)</f>
        <v>0</v>
      </c>
      <c r="H38">
        <f>VLOOKUP($B38,highest_20!$B$5:$BH$270,59,0)-I38</f>
        <v>0</v>
      </c>
      <c r="I38">
        <f>VLOOKUP($B38,highest_10!$B$5:$BH$270,59,0)</f>
        <v>0</v>
      </c>
      <c r="J38">
        <f>SUM($C38:C38)</f>
        <v>0</v>
      </c>
      <c r="K38">
        <f>SUM($C38:D38)</f>
        <v>0</v>
      </c>
      <c r="L38">
        <f>SUM($C38:E38)</f>
        <v>0</v>
      </c>
      <c r="M38">
        <f>SUM($C38:F38)</f>
        <v>0</v>
      </c>
      <c r="N38">
        <f>SUM($C38:G38)</f>
        <v>0</v>
      </c>
      <c r="O38">
        <f>SUM($C38:H38)</f>
        <v>0</v>
      </c>
      <c r="P38">
        <f>SUM($C38:I38)</f>
        <v>0</v>
      </c>
    </row>
    <row r="39" spans="1:16" x14ac:dyDescent="0.35">
      <c r="A39" t="s">
        <v>191</v>
      </c>
      <c r="B39" t="s">
        <v>648</v>
      </c>
      <c r="C39">
        <f>VLOOKUP($B39,lowest_10!$B$5:$BH$270,59,0)</f>
        <v>3.2</v>
      </c>
      <c r="D39">
        <f>VLOOKUP($B39,lowest_20!$B$5:$BH$270,59,0)-C39</f>
        <v>4.5999999999999996</v>
      </c>
      <c r="E39">
        <f>VLOOKUP($B39,second_20!$B$5:$BH$270,59,0)</f>
        <v>12.5</v>
      </c>
      <c r="F39">
        <f>VLOOKUP($B39,third_20!$B$5:$BH$270,59,0)</f>
        <v>16.8</v>
      </c>
      <c r="G39">
        <f>VLOOKUP($B39,fourth_20!$B$5:$BH$270,59,0)</f>
        <v>22.6</v>
      </c>
      <c r="H39">
        <f>VLOOKUP($B39,highest_20!$B$5:$BH$270,59,0)-I39</f>
        <v>15.000000000000004</v>
      </c>
      <c r="I39">
        <f>VLOOKUP($B39,highest_10!$B$5:$BH$270,59,0)</f>
        <v>25.2</v>
      </c>
      <c r="J39">
        <f>SUM($C39:C39)</f>
        <v>3.2</v>
      </c>
      <c r="K39">
        <f>SUM($C39:D39)</f>
        <v>7.8</v>
      </c>
      <c r="L39">
        <f>SUM($C39:E39)</f>
        <v>20.3</v>
      </c>
      <c r="M39">
        <f>SUM($C39:F39)</f>
        <v>37.1</v>
      </c>
      <c r="N39">
        <f>SUM($C39:G39)</f>
        <v>59.7</v>
      </c>
      <c r="O39">
        <f>SUM($C39:H39)</f>
        <v>74.7</v>
      </c>
      <c r="P39">
        <f>SUM($C39:I39)</f>
        <v>99.9</v>
      </c>
    </row>
    <row r="40" spans="1:16" x14ac:dyDescent="0.35">
      <c r="A40" t="s">
        <v>396</v>
      </c>
      <c r="B40" t="s">
        <v>320</v>
      </c>
      <c r="C40">
        <f>VLOOKUP($B40,lowest_10!$B$5:$BH$270,59,0)</f>
        <v>0</v>
      </c>
      <c r="D40">
        <f>VLOOKUP($B40,lowest_20!$B$5:$BH$270,59,0)-C40</f>
        <v>0</v>
      </c>
      <c r="E40">
        <f>VLOOKUP($B40,second_20!$B$5:$BH$270,59,0)</f>
        <v>0</v>
      </c>
      <c r="F40">
        <f>VLOOKUP($B40,third_20!$B$5:$BH$270,59,0)</f>
        <v>0</v>
      </c>
      <c r="G40">
        <f>VLOOKUP($B40,fourth_20!$B$5:$BH$270,59,0)</f>
        <v>0</v>
      </c>
      <c r="H40">
        <f>VLOOKUP($B40,highest_20!$B$5:$BH$270,59,0)-I40</f>
        <v>0</v>
      </c>
      <c r="I40">
        <f>VLOOKUP($B40,highest_10!$B$5:$BH$270,59,0)</f>
        <v>0</v>
      </c>
      <c r="J40">
        <f>SUM($C40:C40)</f>
        <v>0</v>
      </c>
      <c r="K40">
        <f>SUM($C40:D40)</f>
        <v>0</v>
      </c>
      <c r="L40">
        <f>SUM($C40:E40)</f>
        <v>0</v>
      </c>
      <c r="M40">
        <f>SUM($C40:F40)</f>
        <v>0</v>
      </c>
      <c r="N40">
        <f>SUM($C40:G40)</f>
        <v>0</v>
      </c>
      <c r="O40">
        <f>SUM($C40:H40)</f>
        <v>0</v>
      </c>
      <c r="P40">
        <f>SUM($C40:I40)</f>
        <v>0</v>
      </c>
    </row>
    <row r="41" spans="1:16" x14ac:dyDescent="0.35">
      <c r="A41" t="s">
        <v>167</v>
      </c>
      <c r="B41" t="s">
        <v>655</v>
      </c>
      <c r="C41">
        <f>VLOOKUP($B41,lowest_10!$B$5:$BH$270,59,0)</f>
        <v>2.2000000000000002</v>
      </c>
      <c r="D41">
        <f>VLOOKUP($B41,lowest_20!$B$5:$BH$270,59,0)-C41</f>
        <v>3.3999999999999995</v>
      </c>
      <c r="E41">
        <f>VLOOKUP($B41,second_20!$B$5:$BH$270,59,0)</f>
        <v>9.4</v>
      </c>
      <c r="F41">
        <f>VLOOKUP($B41,third_20!$B$5:$BH$270,59,0)</f>
        <v>13.3</v>
      </c>
      <c r="G41">
        <f>VLOOKUP($B41,fourth_20!$B$5:$BH$270,59,0)</f>
        <v>19.600000000000001</v>
      </c>
      <c r="H41">
        <f>VLOOKUP($B41,highest_20!$B$5:$BH$270,59,0)-I41</f>
        <v>15.300000000000004</v>
      </c>
      <c r="I41">
        <f>VLOOKUP($B41,highest_10!$B$5:$BH$270,59,0)</f>
        <v>36.799999999999997</v>
      </c>
      <c r="J41">
        <f>SUM($C41:C41)</f>
        <v>2.2000000000000002</v>
      </c>
      <c r="K41">
        <f>SUM($C41:D41)</f>
        <v>5.6</v>
      </c>
      <c r="L41">
        <f>SUM($C41:E41)</f>
        <v>15</v>
      </c>
      <c r="M41">
        <f>SUM($C41:F41)</f>
        <v>28.3</v>
      </c>
      <c r="N41">
        <f>SUM($C41:G41)</f>
        <v>47.900000000000006</v>
      </c>
      <c r="O41">
        <f>SUM($C41:H41)</f>
        <v>63.20000000000001</v>
      </c>
      <c r="P41">
        <f>SUM($C41:I41)</f>
        <v>100</v>
      </c>
    </row>
    <row r="42" spans="1:16" x14ac:dyDescent="0.35">
      <c r="A42" t="s">
        <v>506</v>
      </c>
      <c r="B42" t="s">
        <v>189</v>
      </c>
      <c r="C42">
        <f>VLOOKUP($B42,lowest_10!$B$5:$BH$270,59,0)</f>
        <v>2.6</v>
      </c>
      <c r="D42">
        <f>VLOOKUP($B42,lowest_20!$B$5:$BH$270,59,0)-C42</f>
        <v>3.8000000000000003</v>
      </c>
      <c r="E42">
        <f>VLOOKUP($B42,second_20!$B$5:$BH$270,59,0)</f>
        <v>10.6</v>
      </c>
      <c r="F42">
        <f>VLOOKUP($B42,third_20!$B$5:$BH$270,59,0)</f>
        <v>15.3</v>
      </c>
      <c r="G42">
        <f>VLOOKUP($B42,fourth_20!$B$5:$BH$270,59,0)</f>
        <v>22.3</v>
      </c>
      <c r="H42">
        <f>VLOOKUP($B42,highest_20!$B$5:$BH$270,59,0)-I42</f>
        <v>16</v>
      </c>
      <c r="I42">
        <f>VLOOKUP($B42,highest_10!$B$5:$BH$270,59,0)</f>
        <v>29.4</v>
      </c>
      <c r="J42">
        <f>SUM($C42:C42)</f>
        <v>2.6</v>
      </c>
      <c r="K42">
        <f>SUM($C42:D42)</f>
        <v>6.4</v>
      </c>
      <c r="L42">
        <f>SUM($C42:E42)</f>
        <v>17</v>
      </c>
      <c r="M42">
        <f>SUM($C42:F42)</f>
        <v>32.299999999999997</v>
      </c>
      <c r="N42">
        <f>SUM($C42:G42)</f>
        <v>54.599999999999994</v>
      </c>
      <c r="O42">
        <f>SUM($C42:H42)</f>
        <v>70.599999999999994</v>
      </c>
      <c r="P42">
        <f>SUM($C42:I42)</f>
        <v>100</v>
      </c>
    </row>
    <row r="43" spans="1:16" x14ac:dyDescent="0.35">
      <c r="A43" t="s">
        <v>688</v>
      </c>
      <c r="B43" t="s">
        <v>338</v>
      </c>
      <c r="C43">
        <f>VLOOKUP($B43,lowest_10!$B$5:$BH$270,59,0)</f>
        <v>2.1</v>
      </c>
      <c r="D43">
        <f>VLOOKUP($B43,lowest_20!$B$5:$BH$270,59,0)-C43</f>
        <v>3.6</v>
      </c>
      <c r="E43">
        <f>VLOOKUP($B43,second_20!$B$5:$BH$270,59,0)</f>
        <v>10.199999999999999</v>
      </c>
      <c r="F43">
        <f>VLOOKUP($B43,third_20!$B$5:$BH$270,59,0)</f>
        <v>14.6</v>
      </c>
      <c r="G43">
        <f>VLOOKUP($B43,fourth_20!$B$5:$BH$270,59,0)</f>
        <v>21.7</v>
      </c>
      <c r="H43">
        <f>VLOOKUP($B43,highest_20!$B$5:$BH$270,59,0)-I43</f>
        <v>15.800000000000004</v>
      </c>
      <c r="I43">
        <f>VLOOKUP($B43,highest_10!$B$5:$BH$270,59,0)</f>
        <v>31.9</v>
      </c>
      <c r="J43">
        <f>SUM($C43:C43)</f>
        <v>2.1</v>
      </c>
      <c r="K43">
        <f>SUM($C43:D43)</f>
        <v>5.7</v>
      </c>
      <c r="L43">
        <f>SUM($C43:E43)</f>
        <v>15.899999999999999</v>
      </c>
      <c r="M43">
        <f>SUM($C43:F43)</f>
        <v>30.5</v>
      </c>
      <c r="N43">
        <f>SUM($C43:G43)</f>
        <v>52.2</v>
      </c>
      <c r="O43">
        <f>SUM($C43:H43)</f>
        <v>68</v>
      </c>
      <c r="P43">
        <f>SUM($C43:I43)</f>
        <v>99.9</v>
      </c>
    </row>
    <row r="44" spans="1:16" x14ac:dyDescent="0.35">
      <c r="A44" t="s">
        <v>742</v>
      </c>
      <c r="B44" t="s">
        <v>79</v>
      </c>
      <c r="C44">
        <f>VLOOKUP($B44,lowest_10!$B$5:$BH$270,59,0)</f>
        <v>0</v>
      </c>
      <c r="D44">
        <f>VLOOKUP($B44,lowest_20!$B$5:$BH$270,59,0)-C44</f>
        <v>0</v>
      </c>
      <c r="E44">
        <f>VLOOKUP($B44,second_20!$B$5:$BH$270,59,0)</f>
        <v>0</v>
      </c>
      <c r="F44">
        <f>VLOOKUP($B44,third_20!$B$5:$BH$270,59,0)</f>
        <v>0</v>
      </c>
      <c r="G44">
        <f>VLOOKUP($B44,fourth_20!$B$5:$BH$270,59,0)</f>
        <v>0</v>
      </c>
      <c r="H44">
        <f>VLOOKUP($B44,highest_20!$B$5:$BH$270,59,0)-I44</f>
        <v>0</v>
      </c>
      <c r="I44">
        <f>VLOOKUP($B44,highest_10!$B$5:$BH$270,59,0)</f>
        <v>0</v>
      </c>
      <c r="J44">
        <f>SUM($C44:C44)</f>
        <v>0</v>
      </c>
      <c r="K44">
        <f>SUM($C44:D44)</f>
        <v>0</v>
      </c>
      <c r="L44">
        <f>SUM($C44:E44)</f>
        <v>0</v>
      </c>
      <c r="M44">
        <f>SUM($C44:F44)</f>
        <v>0</v>
      </c>
      <c r="N44">
        <f>SUM($C44:G44)</f>
        <v>0</v>
      </c>
      <c r="O44">
        <f>SUM($C44:H44)</f>
        <v>0</v>
      </c>
      <c r="P44">
        <f>SUM($C44:I44)</f>
        <v>0</v>
      </c>
    </row>
    <row r="45" spans="1:16" x14ac:dyDescent="0.35">
      <c r="A45" t="s">
        <v>498</v>
      </c>
      <c r="B45" t="s">
        <v>230</v>
      </c>
      <c r="C45">
        <f>VLOOKUP($B45,lowest_10!$B$5:$BH$270,59,0)</f>
        <v>0</v>
      </c>
      <c r="D45">
        <f>VLOOKUP($B45,lowest_20!$B$5:$BH$270,59,0)-C45</f>
        <v>0</v>
      </c>
      <c r="E45">
        <f>VLOOKUP($B45,second_20!$B$5:$BH$270,59,0)</f>
        <v>0</v>
      </c>
      <c r="F45">
        <f>VLOOKUP($B45,third_20!$B$5:$BH$270,59,0)</f>
        <v>0</v>
      </c>
      <c r="G45">
        <f>VLOOKUP($B45,fourth_20!$B$5:$BH$270,59,0)</f>
        <v>0</v>
      </c>
      <c r="H45">
        <f>VLOOKUP($B45,highest_20!$B$5:$BH$270,59,0)-I45</f>
        <v>0</v>
      </c>
      <c r="I45">
        <f>VLOOKUP($B45,highest_10!$B$5:$BH$270,59,0)</f>
        <v>0</v>
      </c>
      <c r="J45">
        <f>SUM($C45:C45)</f>
        <v>0</v>
      </c>
      <c r="K45">
        <f>SUM($C45:D45)</f>
        <v>0</v>
      </c>
      <c r="L45">
        <f>SUM($C45:E45)</f>
        <v>0</v>
      </c>
      <c r="M45">
        <f>SUM($C45:F45)</f>
        <v>0</v>
      </c>
      <c r="N45">
        <f>SUM($C45:G45)</f>
        <v>0</v>
      </c>
      <c r="O45">
        <f>SUM($C45:H45)</f>
        <v>0</v>
      </c>
      <c r="P45">
        <f>SUM($C45:I45)</f>
        <v>0</v>
      </c>
    </row>
    <row r="46" spans="1:16" x14ac:dyDescent="0.35">
      <c r="A46" t="s">
        <v>394</v>
      </c>
      <c r="B46" t="s">
        <v>411</v>
      </c>
      <c r="C46">
        <f>VLOOKUP($B46,lowest_10!$B$5:$BH$270,59,0)</f>
        <v>0</v>
      </c>
      <c r="D46">
        <f>VLOOKUP($B46,lowest_20!$B$5:$BH$270,59,0)-C46</f>
        <v>0</v>
      </c>
      <c r="E46">
        <f>VLOOKUP($B46,second_20!$B$5:$BH$270,59,0)</f>
        <v>0</v>
      </c>
      <c r="F46">
        <f>VLOOKUP($B46,third_20!$B$5:$BH$270,59,0)</f>
        <v>0</v>
      </c>
      <c r="G46">
        <f>VLOOKUP($B46,fourth_20!$B$5:$BH$270,59,0)</f>
        <v>0</v>
      </c>
      <c r="H46">
        <f>VLOOKUP($B46,highest_20!$B$5:$BH$270,59,0)-I46</f>
        <v>0</v>
      </c>
      <c r="I46">
        <f>VLOOKUP($B46,highest_10!$B$5:$BH$270,59,0)</f>
        <v>0</v>
      </c>
      <c r="J46">
        <f>SUM($C46:C46)</f>
        <v>0</v>
      </c>
      <c r="K46">
        <f>SUM($C46:D46)</f>
        <v>0</v>
      </c>
      <c r="L46">
        <f>SUM($C46:E46)</f>
        <v>0</v>
      </c>
      <c r="M46">
        <f>SUM($C46:F46)</f>
        <v>0</v>
      </c>
      <c r="N46">
        <f>SUM($C46:G46)</f>
        <v>0</v>
      </c>
      <c r="O46">
        <f>SUM($C46:H46)</f>
        <v>0</v>
      </c>
      <c r="P46">
        <f>SUM($C46:I46)</f>
        <v>0</v>
      </c>
    </row>
    <row r="47" spans="1:16" x14ac:dyDescent="0.35">
      <c r="A47" t="s">
        <v>559</v>
      </c>
      <c r="B47" t="s">
        <v>305</v>
      </c>
      <c r="C47">
        <f>VLOOKUP($B47,lowest_10!$B$5:$BH$270,59,0)</f>
        <v>1.3</v>
      </c>
      <c r="D47">
        <f>VLOOKUP($B47,lowest_20!$B$5:$BH$270,59,0)-C47</f>
        <v>2.5</v>
      </c>
      <c r="E47">
        <f>VLOOKUP($B47,second_20!$B$5:$BH$270,59,0)</f>
        <v>7.9</v>
      </c>
      <c r="F47">
        <f>VLOOKUP($B47,third_20!$B$5:$BH$270,59,0)</f>
        <v>12.5</v>
      </c>
      <c r="G47">
        <f>VLOOKUP($B47,fourth_20!$B$5:$BH$270,59,0)</f>
        <v>20</v>
      </c>
      <c r="H47">
        <f>VLOOKUP($B47,highest_20!$B$5:$BH$270,59,0)-I47</f>
        <v>15.899999999999999</v>
      </c>
      <c r="I47">
        <f>VLOOKUP($B47,highest_10!$B$5:$BH$270,59,0)</f>
        <v>39.9</v>
      </c>
      <c r="J47">
        <f>SUM($C47:C47)</f>
        <v>1.3</v>
      </c>
      <c r="K47">
        <f>SUM($C47:D47)</f>
        <v>3.8</v>
      </c>
      <c r="L47">
        <f>SUM($C47:E47)</f>
        <v>11.7</v>
      </c>
      <c r="M47">
        <f>SUM($C47:F47)</f>
        <v>24.2</v>
      </c>
      <c r="N47">
        <f>SUM($C47:G47)</f>
        <v>44.2</v>
      </c>
      <c r="O47">
        <f>SUM($C47:H47)</f>
        <v>60.1</v>
      </c>
      <c r="P47">
        <f>SUM($C47:I47)</f>
        <v>100</v>
      </c>
    </row>
    <row r="48" spans="1:16" x14ac:dyDescent="0.35">
      <c r="A48" t="s">
        <v>362</v>
      </c>
      <c r="B48" t="s">
        <v>358</v>
      </c>
      <c r="C48">
        <f>VLOOKUP($B48,lowest_10!$B$5:$BH$270,59,0)</f>
        <v>0</v>
      </c>
      <c r="D48">
        <f>VLOOKUP($B48,lowest_20!$B$5:$BH$270,59,0)-C48</f>
        <v>0</v>
      </c>
      <c r="E48">
        <f>VLOOKUP($B48,second_20!$B$5:$BH$270,59,0)</f>
        <v>0</v>
      </c>
      <c r="F48">
        <f>VLOOKUP($B48,third_20!$B$5:$BH$270,59,0)</f>
        <v>0</v>
      </c>
      <c r="G48">
        <f>VLOOKUP($B48,fourth_20!$B$5:$BH$270,59,0)</f>
        <v>0</v>
      </c>
      <c r="H48">
        <f>VLOOKUP($B48,highest_20!$B$5:$BH$270,59,0)-I48</f>
        <v>0</v>
      </c>
      <c r="I48">
        <f>VLOOKUP($B48,highest_10!$B$5:$BH$270,59,0)</f>
        <v>0</v>
      </c>
      <c r="J48">
        <f>SUM($C48:C48)</f>
        <v>0</v>
      </c>
      <c r="K48">
        <f>SUM($C48:D48)</f>
        <v>0</v>
      </c>
      <c r="L48">
        <f>SUM($C48:E48)</f>
        <v>0</v>
      </c>
      <c r="M48">
        <f>SUM($C48:F48)</f>
        <v>0</v>
      </c>
      <c r="N48">
        <f>SUM($C48:G48)</f>
        <v>0</v>
      </c>
      <c r="O48">
        <f>SUM($C48:H48)</f>
        <v>0</v>
      </c>
      <c r="P48">
        <f>SUM($C48:I48)</f>
        <v>0</v>
      </c>
    </row>
    <row r="49" spans="1:16" x14ac:dyDescent="0.35">
      <c r="A49" t="s">
        <v>496</v>
      </c>
      <c r="B49" t="s">
        <v>568</v>
      </c>
      <c r="C49">
        <f>VLOOKUP($B49,lowest_10!$B$5:$BH$270,59,0)</f>
        <v>2.2000000000000002</v>
      </c>
      <c r="D49">
        <f>VLOOKUP($B49,lowest_20!$B$5:$BH$270,59,0)-C49</f>
        <v>3.5</v>
      </c>
      <c r="E49">
        <f>VLOOKUP($B49,second_20!$B$5:$BH$270,59,0)</f>
        <v>9.6999999999999993</v>
      </c>
      <c r="F49">
        <f>VLOOKUP($B49,third_20!$B$5:$BH$270,59,0)</f>
        <v>14.3</v>
      </c>
      <c r="G49">
        <f>VLOOKUP($B49,fourth_20!$B$5:$BH$270,59,0)</f>
        <v>21.6</v>
      </c>
      <c r="H49">
        <f>VLOOKUP($B49,highest_20!$B$5:$BH$270,59,0)-I49</f>
        <v>16.400000000000006</v>
      </c>
      <c r="I49">
        <f>VLOOKUP($B49,highest_10!$B$5:$BH$270,59,0)</f>
        <v>32.299999999999997</v>
      </c>
      <c r="J49">
        <f>SUM($C49:C49)</f>
        <v>2.2000000000000002</v>
      </c>
      <c r="K49">
        <f>SUM($C49:D49)</f>
        <v>5.7</v>
      </c>
      <c r="L49">
        <f>SUM($C49:E49)</f>
        <v>15.399999999999999</v>
      </c>
      <c r="M49">
        <f>SUM($C49:F49)</f>
        <v>29.7</v>
      </c>
      <c r="N49">
        <f>SUM($C49:G49)</f>
        <v>51.3</v>
      </c>
      <c r="O49">
        <f>SUM($C49:H49)</f>
        <v>67.7</v>
      </c>
      <c r="P49">
        <f>SUM($C49:I49)</f>
        <v>100</v>
      </c>
    </row>
    <row r="50" spans="1:16" x14ac:dyDescent="0.35">
      <c r="A50" t="s">
        <v>346</v>
      </c>
      <c r="B50" t="s">
        <v>11</v>
      </c>
      <c r="C50">
        <f>VLOOKUP($B50,lowest_10!$B$5:$BH$270,59,0)</f>
        <v>1.5</v>
      </c>
      <c r="D50">
        <f>VLOOKUP($B50,lowest_20!$B$5:$BH$270,59,0)-C50</f>
        <v>2.8</v>
      </c>
      <c r="E50">
        <f>VLOOKUP($B50,second_20!$B$5:$BH$270,59,0)</f>
        <v>8.4</v>
      </c>
      <c r="F50">
        <f>VLOOKUP($B50,third_20!$B$5:$BH$270,59,0)</f>
        <v>12.8</v>
      </c>
      <c r="G50">
        <f>VLOOKUP($B50,fourth_20!$B$5:$BH$270,59,0)</f>
        <v>20.6</v>
      </c>
      <c r="H50">
        <f>VLOOKUP($B50,highest_20!$B$5:$BH$270,59,0)-I50</f>
        <v>17.100000000000001</v>
      </c>
      <c r="I50">
        <f>VLOOKUP($B50,highest_10!$B$5:$BH$270,59,0)</f>
        <v>36.799999999999997</v>
      </c>
      <c r="J50">
        <f>SUM($C50:C50)</f>
        <v>1.5</v>
      </c>
      <c r="K50">
        <f>SUM($C50:D50)</f>
        <v>4.3</v>
      </c>
      <c r="L50">
        <f>SUM($C50:E50)</f>
        <v>12.7</v>
      </c>
      <c r="M50">
        <f>SUM($C50:F50)</f>
        <v>25.5</v>
      </c>
      <c r="N50">
        <f>SUM($C50:G50)</f>
        <v>46.1</v>
      </c>
      <c r="O50">
        <f>SUM($C50:H50)</f>
        <v>63.2</v>
      </c>
      <c r="P50">
        <f>SUM($C50:I50)</f>
        <v>100</v>
      </c>
    </row>
    <row r="51" spans="1:16" x14ac:dyDescent="0.35">
      <c r="A51" t="s">
        <v>347</v>
      </c>
      <c r="B51" t="s">
        <v>300</v>
      </c>
      <c r="C51">
        <f>VLOOKUP($B51,lowest_10!$B$5:$BH$270,59,0)</f>
        <v>0</v>
      </c>
      <c r="D51">
        <f>VLOOKUP($B51,lowest_20!$B$5:$BH$270,59,0)-C51</f>
        <v>0</v>
      </c>
      <c r="E51">
        <f>VLOOKUP($B51,second_20!$B$5:$BH$270,59,0)</f>
        <v>0</v>
      </c>
      <c r="F51">
        <f>VLOOKUP($B51,third_20!$B$5:$BH$270,59,0)</f>
        <v>0</v>
      </c>
      <c r="G51">
        <f>VLOOKUP($B51,fourth_20!$B$5:$BH$270,59,0)</f>
        <v>0</v>
      </c>
      <c r="H51">
        <f>VLOOKUP($B51,highest_20!$B$5:$BH$270,59,0)-I51</f>
        <v>0</v>
      </c>
      <c r="I51">
        <f>VLOOKUP($B51,highest_10!$B$5:$BH$270,59,0)</f>
        <v>0</v>
      </c>
      <c r="J51">
        <f>SUM($C51:C51)</f>
        <v>0</v>
      </c>
      <c r="K51">
        <f>SUM($C51:D51)</f>
        <v>0</v>
      </c>
      <c r="L51">
        <f>SUM($C51:E51)</f>
        <v>0</v>
      </c>
      <c r="M51">
        <f>SUM($C51:F51)</f>
        <v>0</v>
      </c>
      <c r="N51">
        <f>SUM($C51:G51)</f>
        <v>0</v>
      </c>
      <c r="O51">
        <f>SUM($C51:H51)</f>
        <v>0</v>
      </c>
      <c r="P51">
        <f>SUM($C51:I51)</f>
        <v>0</v>
      </c>
    </row>
    <row r="52" spans="1:16" x14ac:dyDescent="0.35">
      <c r="A52" t="s">
        <v>99</v>
      </c>
      <c r="B52" t="s">
        <v>257</v>
      </c>
      <c r="C52">
        <f>VLOOKUP($B52,lowest_10!$B$5:$BH$270,59,0)</f>
        <v>0</v>
      </c>
      <c r="D52">
        <f>VLOOKUP($B52,lowest_20!$B$5:$BH$270,59,0)-C52</f>
        <v>0</v>
      </c>
      <c r="E52">
        <f>VLOOKUP($B52,second_20!$B$5:$BH$270,59,0)</f>
        <v>0</v>
      </c>
      <c r="F52">
        <f>VLOOKUP($B52,third_20!$B$5:$BH$270,59,0)</f>
        <v>0</v>
      </c>
      <c r="G52">
        <f>VLOOKUP($B52,fourth_20!$B$5:$BH$270,59,0)</f>
        <v>0</v>
      </c>
      <c r="H52">
        <f>VLOOKUP($B52,highest_20!$B$5:$BH$270,59,0)-I52</f>
        <v>0</v>
      </c>
      <c r="I52">
        <f>VLOOKUP($B52,highest_10!$B$5:$BH$270,59,0)</f>
        <v>0</v>
      </c>
      <c r="J52">
        <f>SUM($C52:C52)</f>
        <v>0</v>
      </c>
      <c r="K52">
        <f>SUM($C52:D52)</f>
        <v>0</v>
      </c>
      <c r="L52">
        <f>SUM($C52:E52)</f>
        <v>0</v>
      </c>
      <c r="M52">
        <f>SUM($C52:F52)</f>
        <v>0</v>
      </c>
      <c r="N52">
        <f>SUM($C52:G52)</f>
        <v>0</v>
      </c>
      <c r="O52">
        <f>SUM($C52:H52)</f>
        <v>0</v>
      </c>
      <c r="P52">
        <f>SUM($C52:I52)</f>
        <v>0</v>
      </c>
    </row>
    <row r="53" spans="1:16" x14ac:dyDescent="0.35">
      <c r="A53" t="s">
        <v>375</v>
      </c>
      <c r="B53" t="s">
        <v>100</v>
      </c>
      <c r="C53">
        <f>VLOOKUP($B53,lowest_10!$B$5:$BH$270,59,0)</f>
        <v>0</v>
      </c>
      <c r="D53">
        <f>VLOOKUP($B53,lowest_20!$B$5:$BH$270,59,0)-C53</f>
        <v>0</v>
      </c>
      <c r="E53">
        <f>VLOOKUP($B53,second_20!$B$5:$BH$270,59,0)</f>
        <v>0</v>
      </c>
      <c r="F53">
        <f>VLOOKUP($B53,third_20!$B$5:$BH$270,59,0)</f>
        <v>0</v>
      </c>
      <c r="G53">
        <f>VLOOKUP($B53,fourth_20!$B$5:$BH$270,59,0)</f>
        <v>0</v>
      </c>
      <c r="H53">
        <f>VLOOKUP($B53,highest_20!$B$5:$BH$270,59,0)-I53</f>
        <v>0</v>
      </c>
      <c r="I53">
        <f>VLOOKUP($B53,highest_10!$B$5:$BH$270,59,0)</f>
        <v>0</v>
      </c>
      <c r="J53">
        <f>SUM($C53:C53)</f>
        <v>0</v>
      </c>
      <c r="K53">
        <f>SUM($C53:D53)</f>
        <v>0</v>
      </c>
      <c r="L53">
        <f>SUM($C53:E53)</f>
        <v>0</v>
      </c>
      <c r="M53">
        <f>SUM($C53:F53)</f>
        <v>0</v>
      </c>
      <c r="N53">
        <f>SUM($C53:G53)</f>
        <v>0</v>
      </c>
      <c r="O53">
        <f>SUM($C53:H53)</f>
        <v>0</v>
      </c>
      <c r="P53">
        <f>SUM($C53:I53)</f>
        <v>0</v>
      </c>
    </row>
    <row r="54" spans="1:16" x14ac:dyDescent="0.35">
      <c r="A54" t="s">
        <v>482</v>
      </c>
      <c r="B54" t="s">
        <v>651</v>
      </c>
      <c r="C54">
        <f>VLOOKUP($B54,lowest_10!$B$5:$BH$270,59,0)</f>
        <v>0</v>
      </c>
      <c r="D54">
        <f>VLOOKUP($B54,lowest_20!$B$5:$BH$270,59,0)-C54</f>
        <v>0</v>
      </c>
      <c r="E54">
        <f>VLOOKUP($B54,second_20!$B$5:$BH$270,59,0)</f>
        <v>0</v>
      </c>
      <c r="F54">
        <f>VLOOKUP($B54,third_20!$B$5:$BH$270,59,0)</f>
        <v>0</v>
      </c>
      <c r="G54">
        <f>VLOOKUP($B54,fourth_20!$B$5:$BH$270,59,0)</f>
        <v>0</v>
      </c>
      <c r="H54">
        <f>VLOOKUP($B54,highest_20!$B$5:$BH$270,59,0)-I54</f>
        <v>0</v>
      </c>
      <c r="I54">
        <f>VLOOKUP($B54,highest_10!$B$5:$BH$270,59,0)</f>
        <v>0</v>
      </c>
      <c r="J54">
        <f>SUM($C54:C54)</f>
        <v>0</v>
      </c>
      <c r="K54">
        <f>SUM($C54:D54)</f>
        <v>0</v>
      </c>
      <c r="L54">
        <f>SUM($C54:E54)</f>
        <v>0</v>
      </c>
      <c r="M54">
        <f>SUM($C54:F54)</f>
        <v>0</v>
      </c>
      <c r="N54">
        <f>SUM($C54:G54)</f>
        <v>0</v>
      </c>
      <c r="O54">
        <f>SUM($C54:H54)</f>
        <v>0</v>
      </c>
      <c r="P54">
        <f>SUM($C54:I54)</f>
        <v>0</v>
      </c>
    </row>
    <row r="55" spans="1:16" x14ac:dyDescent="0.35">
      <c r="A55" t="s">
        <v>448</v>
      </c>
      <c r="B55" t="s">
        <v>258</v>
      </c>
      <c r="C55">
        <f>VLOOKUP($B55,lowest_10!$B$5:$BH$270,59,0)</f>
        <v>3.2</v>
      </c>
      <c r="D55">
        <f>VLOOKUP($B55,lowest_20!$B$5:$BH$270,59,0)-C55</f>
        <v>4.7</v>
      </c>
      <c r="E55">
        <f>VLOOKUP($B55,second_20!$B$5:$BH$270,59,0)</f>
        <v>12.1</v>
      </c>
      <c r="F55">
        <f>VLOOKUP($B55,third_20!$B$5:$BH$270,59,0)</f>
        <v>16.2</v>
      </c>
      <c r="G55">
        <f>VLOOKUP($B55,fourth_20!$B$5:$BH$270,59,0)</f>
        <v>21.7</v>
      </c>
      <c r="H55">
        <f>VLOOKUP($B55,highest_20!$B$5:$BH$270,59,0)-I55</f>
        <v>14.600000000000001</v>
      </c>
      <c r="I55">
        <f>VLOOKUP($B55,highest_10!$B$5:$BH$270,59,0)</f>
        <v>27.5</v>
      </c>
      <c r="J55">
        <f>SUM($C55:C55)</f>
        <v>3.2</v>
      </c>
      <c r="K55">
        <f>SUM($C55:D55)</f>
        <v>7.9</v>
      </c>
      <c r="L55">
        <f>SUM($C55:E55)</f>
        <v>20</v>
      </c>
      <c r="M55">
        <f>SUM($C55:F55)</f>
        <v>36.200000000000003</v>
      </c>
      <c r="N55">
        <f>SUM($C55:G55)</f>
        <v>57.900000000000006</v>
      </c>
      <c r="O55">
        <f>SUM($C55:H55)</f>
        <v>72.5</v>
      </c>
      <c r="P55">
        <f>SUM($C55:I55)</f>
        <v>100</v>
      </c>
    </row>
    <row r="56" spans="1:16" x14ac:dyDescent="0.35">
      <c r="A56" t="s">
        <v>354</v>
      </c>
      <c r="B56" t="s">
        <v>668</v>
      </c>
      <c r="C56">
        <f>VLOOKUP($B56,lowest_10!$B$5:$BH$270,59,0)</f>
        <v>3.9</v>
      </c>
      <c r="D56">
        <f>VLOOKUP($B56,lowest_20!$B$5:$BH$270,59,0)-C56</f>
        <v>5.7999999999999989</v>
      </c>
      <c r="E56">
        <f>VLOOKUP($B56,second_20!$B$5:$BH$270,59,0)</f>
        <v>14.7</v>
      </c>
      <c r="F56">
        <f>VLOOKUP($B56,third_20!$B$5:$BH$270,59,0)</f>
        <v>17.8</v>
      </c>
      <c r="G56">
        <f>VLOOKUP($B56,fourth_20!$B$5:$BH$270,59,0)</f>
        <v>21.9</v>
      </c>
      <c r="H56">
        <f>VLOOKUP($B56,highest_20!$B$5:$BH$270,59,0)-I56</f>
        <v>13.799999999999997</v>
      </c>
      <c r="I56">
        <f>VLOOKUP($B56,highest_10!$B$5:$BH$270,59,0)</f>
        <v>22.1</v>
      </c>
      <c r="J56">
        <f>SUM($C56:C56)</f>
        <v>3.9</v>
      </c>
      <c r="K56">
        <f>SUM($C56:D56)</f>
        <v>9.6999999999999993</v>
      </c>
      <c r="L56">
        <f>SUM($C56:E56)</f>
        <v>24.4</v>
      </c>
      <c r="M56">
        <f>SUM($C56:F56)</f>
        <v>42.2</v>
      </c>
      <c r="N56">
        <f>SUM($C56:G56)</f>
        <v>64.099999999999994</v>
      </c>
      <c r="O56">
        <f>SUM($C56:H56)</f>
        <v>77.899999999999991</v>
      </c>
      <c r="P56">
        <f>SUM($C56:I56)</f>
        <v>100</v>
      </c>
    </row>
    <row r="57" spans="1:16" x14ac:dyDescent="0.35">
      <c r="A57" t="s">
        <v>485</v>
      </c>
      <c r="B57" t="s">
        <v>488</v>
      </c>
      <c r="C57">
        <f>VLOOKUP($B57,lowest_10!$B$5:$BH$270,59,0)</f>
        <v>3.2</v>
      </c>
      <c r="D57">
        <f>VLOOKUP($B57,lowest_20!$B$5:$BH$270,59,0)-C57</f>
        <v>4.8999999999999995</v>
      </c>
      <c r="E57">
        <f>VLOOKUP($B57,second_20!$B$5:$BH$270,59,0)</f>
        <v>12.9</v>
      </c>
      <c r="F57">
        <f>VLOOKUP($B57,third_20!$B$5:$BH$270,59,0)</f>
        <v>17</v>
      </c>
      <c r="G57">
        <f>VLOOKUP($B57,fourth_20!$B$5:$BH$270,59,0)</f>
        <v>22.6</v>
      </c>
      <c r="H57">
        <f>VLOOKUP($B57,highest_20!$B$5:$BH$270,59,0)-I57</f>
        <v>14.799999999999997</v>
      </c>
      <c r="I57">
        <f>VLOOKUP($B57,highest_10!$B$5:$BH$270,59,0)</f>
        <v>24.6</v>
      </c>
      <c r="J57">
        <f>SUM($C57:C57)</f>
        <v>3.2</v>
      </c>
      <c r="K57">
        <f>SUM($C57:D57)</f>
        <v>8.1</v>
      </c>
      <c r="L57">
        <f>SUM($C57:E57)</f>
        <v>21</v>
      </c>
      <c r="M57">
        <f>SUM($C57:F57)</f>
        <v>38</v>
      </c>
      <c r="N57">
        <f>SUM($C57:G57)</f>
        <v>60.6</v>
      </c>
      <c r="O57">
        <f>SUM($C57:H57)</f>
        <v>75.400000000000006</v>
      </c>
      <c r="P57">
        <f>SUM($C57:I57)</f>
        <v>100</v>
      </c>
    </row>
    <row r="58" spans="1:16" x14ac:dyDescent="0.35">
      <c r="A58" t="s">
        <v>22</v>
      </c>
      <c r="B58" t="s">
        <v>250</v>
      </c>
      <c r="C58">
        <f>VLOOKUP($B58,lowest_10!$B$5:$BH$270,59,0)</f>
        <v>0</v>
      </c>
      <c r="D58">
        <f>VLOOKUP($B58,lowest_20!$B$5:$BH$270,59,0)-C58</f>
        <v>0</v>
      </c>
      <c r="E58">
        <f>VLOOKUP($B58,second_20!$B$5:$BH$270,59,0)</f>
        <v>0</v>
      </c>
      <c r="F58">
        <f>VLOOKUP($B58,third_20!$B$5:$BH$270,59,0)</f>
        <v>0</v>
      </c>
      <c r="G58">
        <f>VLOOKUP($B58,fourth_20!$B$5:$BH$270,59,0)</f>
        <v>0</v>
      </c>
      <c r="H58">
        <f>VLOOKUP($B58,highest_20!$B$5:$BH$270,59,0)-I58</f>
        <v>0</v>
      </c>
      <c r="I58">
        <f>VLOOKUP($B58,highest_10!$B$5:$BH$270,59,0)</f>
        <v>0</v>
      </c>
      <c r="J58">
        <f>SUM($C58:C58)</f>
        <v>0</v>
      </c>
      <c r="K58">
        <f>SUM($C58:D58)</f>
        <v>0</v>
      </c>
      <c r="L58">
        <f>SUM($C58:E58)</f>
        <v>0</v>
      </c>
      <c r="M58">
        <f>SUM($C58:F58)</f>
        <v>0</v>
      </c>
      <c r="N58">
        <f>SUM($C58:G58)</f>
        <v>0</v>
      </c>
      <c r="O58">
        <f>SUM($C58:H58)</f>
        <v>0</v>
      </c>
      <c r="P58">
        <f>SUM($C58:I58)</f>
        <v>0</v>
      </c>
    </row>
    <row r="59" spans="1:16" x14ac:dyDescent="0.35">
      <c r="A59" t="s">
        <v>690</v>
      </c>
      <c r="B59" t="s">
        <v>265</v>
      </c>
      <c r="C59">
        <f>VLOOKUP($B59,lowest_10!$B$5:$BH$270,59,0)</f>
        <v>0</v>
      </c>
      <c r="D59">
        <f>VLOOKUP($B59,lowest_20!$B$5:$BH$270,59,0)-C59</f>
        <v>0</v>
      </c>
      <c r="E59">
        <f>VLOOKUP($B59,second_20!$B$5:$BH$270,59,0)</f>
        <v>0</v>
      </c>
      <c r="F59">
        <f>VLOOKUP($B59,third_20!$B$5:$BH$270,59,0)</f>
        <v>0</v>
      </c>
      <c r="G59">
        <f>VLOOKUP($B59,fourth_20!$B$5:$BH$270,59,0)</f>
        <v>0</v>
      </c>
      <c r="H59">
        <f>VLOOKUP($B59,highest_20!$B$5:$BH$270,59,0)-I59</f>
        <v>0</v>
      </c>
      <c r="I59">
        <f>VLOOKUP($B59,highest_10!$B$5:$BH$270,59,0)</f>
        <v>0</v>
      </c>
      <c r="J59">
        <f>SUM($C59:C59)</f>
        <v>0</v>
      </c>
      <c r="K59">
        <f>SUM($C59:D59)</f>
        <v>0</v>
      </c>
      <c r="L59">
        <f>SUM($C59:E59)</f>
        <v>0</v>
      </c>
      <c r="M59">
        <f>SUM($C59:F59)</f>
        <v>0</v>
      </c>
      <c r="N59">
        <f>SUM($C59:G59)</f>
        <v>0</v>
      </c>
      <c r="O59">
        <f>SUM($C59:H59)</f>
        <v>0</v>
      </c>
      <c r="P59">
        <f>SUM($C59:I59)</f>
        <v>0</v>
      </c>
    </row>
    <row r="60" spans="1:16" x14ac:dyDescent="0.35">
      <c r="A60" t="s">
        <v>312</v>
      </c>
      <c r="B60" t="s">
        <v>531</v>
      </c>
      <c r="C60">
        <f>VLOOKUP($B60,lowest_10!$B$5:$BH$270,59,0)</f>
        <v>3.7</v>
      </c>
      <c r="D60">
        <f>VLOOKUP($B60,lowest_20!$B$5:$BH$270,59,0)-C60</f>
        <v>5.7</v>
      </c>
      <c r="E60">
        <f>VLOOKUP($B60,second_20!$B$5:$BH$270,59,0)</f>
        <v>13.9</v>
      </c>
      <c r="F60">
        <f>VLOOKUP($B60,third_20!$B$5:$BH$270,59,0)</f>
        <v>17.2</v>
      </c>
      <c r="G60">
        <f>VLOOKUP($B60,fourth_20!$B$5:$BH$270,59,0)</f>
        <v>21.8</v>
      </c>
      <c r="H60">
        <f>VLOOKUP($B60,highest_20!$B$5:$BH$270,59,0)-I60</f>
        <v>13.900000000000002</v>
      </c>
      <c r="I60">
        <f>VLOOKUP($B60,highest_10!$B$5:$BH$270,59,0)</f>
        <v>23.8</v>
      </c>
      <c r="J60">
        <f>SUM($C60:C60)</f>
        <v>3.7</v>
      </c>
      <c r="K60">
        <f>SUM($C60:D60)</f>
        <v>9.4</v>
      </c>
      <c r="L60">
        <f>SUM($C60:E60)</f>
        <v>23.3</v>
      </c>
      <c r="M60">
        <f>SUM($C60:F60)</f>
        <v>40.5</v>
      </c>
      <c r="N60">
        <f>SUM($C60:G60)</f>
        <v>62.3</v>
      </c>
      <c r="O60">
        <f>SUM($C60:H60)</f>
        <v>76.2</v>
      </c>
      <c r="P60">
        <f>SUM($C60:I60)</f>
        <v>100</v>
      </c>
    </row>
    <row r="61" spans="1:16" x14ac:dyDescent="0.35">
      <c r="A61" t="s">
        <v>422</v>
      </c>
      <c r="B61" t="s">
        <v>715</v>
      </c>
      <c r="C61">
        <f>VLOOKUP($B61,lowest_10!$B$5:$BH$270,59,0)</f>
        <v>1.9</v>
      </c>
      <c r="D61">
        <f>VLOOKUP($B61,lowest_20!$B$5:$BH$270,59,0)-C61</f>
        <v>3.1</v>
      </c>
      <c r="E61">
        <f>VLOOKUP($B61,second_20!$B$5:$BH$270,59,0)</f>
        <v>9.3000000000000007</v>
      </c>
      <c r="F61">
        <f>VLOOKUP($B61,third_20!$B$5:$BH$270,59,0)</f>
        <v>13.8</v>
      </c>
      <c r="G61">
        <f>VLOOKUP($B61,fourth_20!$B$5:$BH$270,59,0)</f>
        <v>20.9</v>
      </c>
      <c r="H61">
        <f>VLOOKUP($B61,highest_20!$B$5:$BH$270,59,0)-I61</f>
        <v>16.300000000000004</v>
      </c>
      <c r="I61">
        <f>VLOOKUP($B61,highest_10!$B$5:$BH$270,59,0)</f>
        <v>34.799999999999997</v>
      </c>
      <c r="J61">
        <f>SUM($C61:C61)</f>
        <v>1.9</v>
      </c>
      <c r="K61">
        <f>SUM($C61:D61)</f>
        <v>5</v>
      </c>
      <c r="L61">
        <f>SUM($C61:E61)</f>
        <v>14.3</v>
      </c>
      <c r="M61">
        <f>SUM($C61:F61)</f>
        <v>28.1</v>
      </c>
      <c r="N61">
        <f>SUM($C61:G61)</f>
        <v>49</v>
      </c>
      <c r="O61">
        <f>SUM($C61:H61)</f>
        <v>65.300000000000011</v>
      </c>
      <c r="P61">
        <f>SUM($C61:I61)</f>
        <v>100.10000000000001</v>
      </c>
    </row>
    <row r="62" spans="1:16" x14ac:dyDescent="0.35">
      <c r="A62" t="s">
        <v>689</v>
      </c>
      <c r="B62" t="s">
        <v>31</v>
      </c>
      <c r="C62">
        <f>VLOOKUP($B62,lowest_10!$B$5:$BH$270,59,0)</f>
        <v>0</v>
      </c>
      <c r="D62">
        <f>VLOOKUP($B62,lowest_20!$B$5:$BH$270,59,0)-C62</f>
        <v>0</v>
      </c>
      <c r="E62">
        <f>VLOOKUP($B62,second_20!$B$5:$BH$270,59,0)</f>
        <v>0</v>
      </c>
      <c r="F62">
        <f>VLOOKUP($B62,third_20!$B$5:$BH$270,59,0)</f>
        <v>0</v>
      </c>
      <c r="G62">
        <f>VLOOKUP($B62,fourth_20!$B$5:$BH$270,59,0)</f>
        <v>0</v>
      </c>
      <c r="H62">
        <f>VLOOKUP($B62,highest_20!$B$5:$BH$270,59,0)-I62</f>
        <v>0</v>
      </c>
      <c r="I62">
        <f>VLOOKUP($B62,highest_10!$B$5:$BH$270,59,0)</f>
        <v>0</v>
      </c>
      <c r="J62">
        <f>SUM($C62:C62)</f>
        <v>0</v>
      </c>
      <c r="K62">
        <f>SUM($C62:D62)</f>
        <v>0</v>
      </c>
      <c r="L62">
        <f>SUM($C62:E62)</f>
        <v>0</v>
      </c>
      <c r="M62">
        <f>SUM($C62:F62)</f>
        <v>0</v>
      </c>
      <c r="N62">
        <f>SUM($C62:G62)</f>
        <v>0</v>
      </c>
      <c r="O62">
        <f>SUM($C62:H62)</f>
        <v>0</v>
      </c>
      <c r="P62">
        <f>SUM($C62:I62)</f>
        <v>0</v>
      </c>
    </row>
    <row r="63" spans="1:16" x14ac:dyDescent="0.35">
      <c r="A63" t="s">
        <v>213</v>
      </c>
      <c r="B63" t="s">
        <v>241</v>
      </c>
      <c r="C63">
        <f>VLOOKUP($B63,lowest_10!$B$5:$BH$270,59,0)</f>
        <v>0</v>
      </c>
      <c r="D63">
        <f>VLOOKUP($B63,lowest_20!$B$5:$BH$270,59,0)-C63</f>
        <v>0</v>
      </c>
      <c r="E63">
        <f>VLOOKUP($B63,second_20!$B$5:$BH$270,59,0)</f>
        <v>0</v>
      </c>
      <c r="F63">
        <f>VLOOKUP($B63,third_20!$B$5:$BH$270,59,0)</f>
        <v>0</v>
      </c>
      <c r="G63">
        <f>VLOOKUP($B63,fourth_20!$B$5:$BH$270,59,0)</f>
        <v>0</v>
      </c>
      <c r="H63">
        <f>VLOOKUP($B63,highest_20!$B$5:$BH$270,59,0)-I63</f>
        <v>0</v>
      </c>
      <c r="I63">
        <f>VLOOKUP($B63,highest_10!$B$5:$BH$270,59,0)</f>
        <v>0</v>
      </c>
      <c r="J63">
        <f>SUM($C63:C63)</f>
        <v>0</v>
      </c>
      <c r="K63">
        <f>SUM($C63:D63)</f>
        <v>0</v>
      </c>
      <c r="L63">
        <f>SUM($C63:E63)</f>
        <v>0</v>
      </c>
      <c r="M63">
        <f>SUM($C63:F63)</f>
        <v>0</v>
      </c>
      <c r="N63">
        <f>SUM($C63:G63)</f>
        <v>0</v>
      </c>
      <c r="O63">
        <f>SUM($C63:H63)</f>
        <v>0</v>
      </c>
      <c r="P63">
        <f>SUM($C63:I63)</f>
        <v>0</v>
      </c>
    </row>
    <row r="64" spans="1:16" x14ac:dyDescent="0.35">
      <c r="A64" t="s">
        <v>693</v>
      </c>
      <c r="B64" t="s">
        <v>363</v>
      </c>
      <c r="C64">
        <f>VLOOKUP($B64,lowest_10!$B$5:$BH$270,59,0)</f>
        <v>0</v>
      </c>
      <c r="D64">
        <f>VLOOKUP($B64,lowest_20!$B$5:$BH$270,59,0)-C64</f>
        <v>0</v>
      </c>
      <c r="E64">
        <f>VLOOKUP($B64,second_20!$B$5:$BH$270,59,0)</f>
        <v>0</v>
      </c>
      <c r="F64">
        <f>VLOOKUP($B64,third_20!$B$5:$BH$270,59,0)</f>
        <v>0</v>
      </c>
      <c r="G64">
        <f>VLOOKUP($B64,fourth_20!$B$5:$BH$270,59,0)</f>
        <v>0</v>
      </c>
      <c r="H64">
        <f>VLOOKUP($B64,highest_20!$B$5:$BH$270,59,0)-I64</f>
        <v>0</v>
      </c>
      <c r="I64">
        <f>VLOOKUP($B64,highest_10!$B$5:$BH$270,59,0)</f>
        <v>0</v>
      </c>
      <c r="J64">
        <f>SUM($C64:C64)</f>
        <v>0</v>
      </c>
      <c r="K64">
        <f>SUM($C64:D64)</f>
        <v>0</v>
      </c>
      <c r="L64">
        <f>SUM($C64:E64)</f>
        <v>0</v>
      </c>
      <c r="M64">
        <f>SUM($C64:F64)</f>
        <v>0</v>
      </c>
      <c r="N64">
        <f>SUM($C64:G64)</f>
        <v>0</v>
      </c>
      <c r="O64">
        <f>SUM($C64:H64)</f>
        <v>0</v>
      </c>
      <c r="P64">
        <f>SUM($C64:I64)</f>
        <v>0</v>
      </c>
    </row>
    <row r="65" spans="1:16" x14ac:dyDescent="0.35">
      <c r="A65" t="s">
        <v>490</v>
      </c>
      <c r="B65" t="s">
        <v>586</v>
      </c>
      <c r="C65">
        <f>VLOOKUP($B65,lowest_10!$B$5:$BH$270,59,0)</f>
        <v>0</v>
      </c>
      <c r="D65">
        <f>VLOOKUP($B65,lowest_20!$B$5:$BH$270,59,0)-C65</f>
        <v>0</v>
      </c>
      <c r="E65">
        <f>VLOOKUP($B65,second_20!$B$5:$BH$270,59,0)</f>
        <v>0</v>
      </c>
      <c r="F65">
        <f>VLOOKUP($B65,third_20!$B$5:$BH$270,59,0)</f>
        <v>0</v>
      </c>
      <c r="G65">
        <f>VLOOKUP($B65,fourth_20!$B$5:$BH$270,59,0)</f>
        <v>0</v>
      </c>
      <c r="H65">
        <f>VLOOKUP($B65,highest_20!$B$5:$BH$270,59,0)-I65</f>
        <v>0</v>
      </c>
      <c r="I65">
        <f>VLOOKUP($B65,highest_10!$B$5:$BH$270,59,0)</f>
        <v>0</v>
      </c>
      <c r="J65">
        <f>SUM($C65:C65)</f>
        <v>0</v>
      </c>
      <c r="K65">
        <f>SUM($C65:D65)</f>
        <v>0</v>
      </c>
      <c r="L65">
        <f>SUM($C65:E65)</f>
        <v>0</v>
      </c>
      <c r="M65">
        <f>SUM($C65:F65)</f>
        <v>0</v>
      </c>
      <c r="N65">
        <f>SUM($C65:G65)</f>
        <v>0</v>
      </c>
      <c r="O65">
        <f>SUM($C65:H65)</f>
        <v>0</v>
      </c>
      <c r="P65">
        <f>SUM($C65:I65)</f>
        <v>0</v>
      </c>
    </row>
    <row r="66" spans="1:16" x14ac:dyDescent="0.35">
      <c r="A66" t="s">
        <v>279</v>
      </c>
      <c r="B66" t="s">
        <v>328</v>
      </c>
      <c r="C66">
        <f>VLOOKUP($B66,lowest_10!$B$5:$BH$270,59,0)</f>
        <v>0</v>
      </c>
      <c r="D66">
        <f>VLOOKUP($B66,lowest_20!$B$5:$BH$270,59,0)-C66</f>
        <v>0</v>
      </c>
      <c r="E66">
        <f>VLOOKUP($B66,second_20!$B$5:$BH$270,59,0)</f>
        <v>0</v>
      </c>
      <c r="F66">
        <f>VLOOKUP($B66,third_20!$B$5:$BH$270,59,0)</f>
        <v>0</v>
      </c>
      <c r="G66">
        <f>VLOOKUP($B66,fourth_20!$B$5:$BH$270,59,0)</f>
        <v>0</v>
      </c>
      <c r="H66">
        <f>VLOOKUP($B66,highest_20!$B$5:$BH$270,59,0)-I66</f>
        <v>0</v>
      </c>
      <c r="I66">
        <f>VLOOKUP($B66,highest_10!$B$5:$BH$270,59,0)</f>
        <v>0</v>
      </c>
      <c r="J66">
        <f>SUM($C66:C66)</f>
        <v>0</v>
      </c>
      <c r="K66">
        <f>SUM($C66:D66)</f>
        <v>0</v>
      </c>
      <c r="L66">
        <f>SUM($C66:E66)</f>
        <v>0</v>
      </c>
      <c r="M66">
        <f>SUM($C66:F66)</f>
        <v>0</v>
      </c>
      <c r="N66">
        <f>SUM($C66:G66)</f>
        <v>0</v>
      </c>
      <c r="O66">
        <f>SUM($C66:H66)</f>
        <v>0</v>
      </c>
      <c r="P66">
        <f>SUM($C66:I66)</f>
        <v>0</v>
      </c>
    </row>
    <row r="67" spans="1:16" x14ac:dyDescent="0.35">
      <c r="A67" t="s">
        <v>400</v>
      </c>
      <c r="B67" t="s">
        <v>585</v>
      </c>
      <c r="C67">
        <f>VLOOKUP($B67,lowest_10!$B$5:$BH$270,59,0)</f>
        <v>0</v>
      </c>
      <c r="D67">
        <f>VLOOKUP($B67,lowest_20!$B$5:$BH$270,59,0)-C67</f>
        <v>0</v>
      </c>
      <c r="E67">
        <f>VLOOKUP($B67,second_20!$B$5:$BH$270,59,0)</f>
        <v>0</v>
      </c>
      <c r="F67">
        <f>VLOOKUP($B67,third_20!$B$5:$BH$270,59,0)</f>
        <v>0</v>
      </c>
      <c r="G67">
        <f>VLOOKUP($B67,fourth_20!$B$5:$BH$270,59,0)</f>
        <v>0</v>
      </c>
      <c r="H67">
        <f>VLOOKUP($B67,highest_20!$B$5:$BH$270,59,0)-I67</f>
        <v>0</v>
      </c>
      <c r="I67">
        <f>VLOOKUP($B67,highest_10!$B$5:$BH$270,59,0)</f>
        <v>0</v>
      </c>
      <c r="J67">
        <f>SUM($C67:C67)</f>
        <v>0</v>
      </c>
      <c r="K67">
        <f>SUM($C67:D67)</f>
        <v>0</v>
      </c>
      <c r="L67">
        <f>SUM($C67:E67)</f>
        <v>0</v>
      </c>
      <c r="M67">
        <f>SUM($C67:F67)</f>
        <v>0</v>
      </c>
      <c r="N67">
        <f>SUM($C67:G67)</f>
        <v>0</v>
      </c>
      <c r="O67">
        <f>SUM($C67:H67)</f>
        <v>0</v>
      </c>
      <c r="P67">
        <f>SUM($C67:I67)</f>
        <v>0</v>
      </c>
    </row>
    <row r="68" spans="1:16" x14ac:dyDescent="0.35">
      <c r="A68" t="s">
        <v>251</v>
      </c>
      <c r="B68" t="s">
        <v>111</v>
      </c>
      <c r="C68">
        <f>VLOOKUP($B68,lowest_10!$B$5:$BH$270,59,0)</f>
        <v>1.6</v>
      </c>
      <c r="D68">
        <f>VLOOKUP($B68,lowest_20!$B$5:$BH$270,59,0)-C68</f>
        <v>2.9999999999999996</v>
      </c>
      <c r="E68">
        <f>VLOOKUP($B68,second_20!$B$5:$BH$270,59,0)</f>
        <v>9.1</v>
      </c>
      <c r="F68">
        <f>VLOOKUP($B68,third_20!$B$5:$BH$270,59,0)</f>
        <v>13.8</v>
      </c>
      <c r="G68">
        <f>VLOOKUP($B68,fourth_20!$B$5:$BH$270,59,0)</f>
        <v>21.3</v>
      </c>
      <c r="H68">
        <f>VLOOKUP($B68,highest_20!$B$5:$BH$270,59,0)-I68</f>
        <v>16.399999999999999</v>
      </c>
      <c r="I68">
        <f>VLOOKUP($B68,highest_10!$B$5:$BH$270,59,0)</f>
        <v>34.9</v>
      </c>
      <c r="J68">
        <f>SUM($C68:C68)</f>
        <v>1.6</v>
      </c>
      <c r="K68">
        <f>SUM($C68:D68)</f>
        <v>4.5999999999999996</v>
      </c>
      <c r="L68">
        <f>SUM($C68:E68)</f>
        <v>13.7</v>
      </c>
      <c r="M68">
        <f>SUM($C68:F68)</f>
        <v>27.5</v>
      </c>
      <c r="N68">
        <f>SUM($C68:G68)</f>
        <v>48.8</v>
      </c>
      <c r="O68">
        <f>SUM($C68:H68)</f>
        <v>65.199999999999989</v>
      </c>
      <c r="P68">
        <f>SUM($C68:I68)</f>
        <v>100.1</v>
      </c>
    </row>
    <row r="69" spans="1:16" x14ac:dyDescent="0.35">
      <c r="A69" t="s">
        <v>263</v>
      </c>
      <c r="B69" t="s">
        <v>672</v>
      </c>
      <c r="C69">
        <f>VLOOKUP($B69,lowest_10!$B$5:$BH$270,59,0)</f>
        <v>3.9</v>
      </c>
      <c r="D69">
        <f>VLOOKUP($B69,lowest_20!$B$5:$BH$270,59,0)-C69</f>
        <v>5.1999999999999993</v>
      </c>
      <c r="E69">
        <f>VLOOKUP($B69,second_20!$B$5:$BH$270,59,0)</f>
        <v>12.8</v>
      </c>
      <c r="F69">
        <f>VLOOKUP($B69,third_20!$B$5:$BH$270,59,0)</f>
        <v>16</v>
      </c>
      <c r="G69">
        <f>VLOOKUP($B69,fourth_20!$B$5:$BH$270,59,0)</f>
        <v>20.6</v>
      </c>
      <c r="H69">
        <f>VLOOKUP($B69,highest_20!$B$5:$BH$270,59,0)-I69</f>
        <v>13.7</v>
      </c>
      <c r="I69">
        <f>VLOOKUP($B69,highest_10!$B$5:$BH$270,59,0)</f>
        <v>27.8</v>
      </c>
      <c r="J69">
        <f>SUM($C69:C69)</f>
        <v>3.9</v>
      </c>
      <c r="K69">
        <f>SUM($C69:D69)</f>
        <v>9.1</v>
      </c>
      <c r="L69">
        <f>SUM($C69:E69)</f>
        <v>21.9</v>
      </c>
      <c r="M69">
        <f>SUM($C69:F69)</f>
        <v>37.9</v>
      </c>
      <c r="N69">
        <f>SUM($C69:G69)</f>
        <v>58.5</v>
      </c>
      <c r="O69">
        <f>SUM($C69:H69)</f>
        <v>72.2</v>
      </c>
      <c r="P69">
        <f>SUM($C69:I69)</f>
        <v>100</v>
      </c>
    </row>
    <row r="70" spans="1:16" x14ac:dyDescent="0.35">
      <c r="A70" t="s">
        <v>144</v>
      </c>
      <c r="B70" t="s">
        <v>410</v>
      </c>
      <c r="C70">
        <f>VLOOKUP($B70,lowest_10!$B$5:$BH$270,59,0)</f>
        <v>0</v>
      </c>
      <c r="D70">
        <f>VLOOKUP($B70,lowest_20!$B$5:$BH$270,59,0)-C70</f>
        <v>0</v>
      </c>
      <c r="E70">
        <f>VLOOKUP($B70,second_20!$B$5:$BH$270,59,0)</f>
        <v>0</v>
      </c>
      <c r="F70">
        <f>VLOOKUP($B70,third_20!$B$5:$BH$270,59,0)</f>
        <v>0</v>
      </c>
      <c r="G70">
        <f>VLOOKUP($B70,fourth_20!$B$5:$BH$270,59,0)</f>
        <v>0</v>
      </c>
      <c r="H70">
        <f>VLOOKUP($B70,highest_20!$B$5:$BH$270,59,0)-I70</f>
        <v>0</v>
      </c>
      <c r="I70">
        <f>VLOOKUP($B70,highest_10!$B$5:$BH$270,59,0)</f>
        <v>0</v>
      </c>
      <c r="J70">
        <f>SUM($C70:C70)</f>
        <v>0</v>
      </c>
      <c r="K70">
        <f>SUM($C70:D70)</f>
        <v>0</v>
      </c>
      <c r="L70">
        <f>SUM($C70:E70)</f>
        <v>0</v>
      </c>
      <c r="M70">
        <f>SUM($C70:F70)</f>
        <v>0</v>
      </c>
      <c r="N70">
        <f>SUM($C70:G70)</f>
        <v>0</v>
      </c>
      <c r="O70">
        <f>SUM($C70:H70)</f>
        <v>0</v>
      </c>
      <c r="P70">
        <f>SUM($C70:I70)</f>
        <v>0</v>
      </c>
    </row>
    <row r="71" spans="1:16" x14ac:dyDescent="0.35">
      <c r="A71" t="s">
        <v>725</v>
      </c>
      <c r="B71" t="s">
        <v>172</v>
      </c>
      <c r="C71">
        <f>VLOOKUP($B71,lowest_10!$B$5:$BH$270,59,0)</f>
        <v>0</v>
      </c>
      <c r="D71">
        <f>VLOOKUP($B71,lowest_20!$B$5:$BH$270,59,0)-C71</f>
        <v>0</v>
      </c>
      <c r="E71">
        <f>VLOOKUP($B71,second_20!$B$5:$BH$270,59,0)</f>
        <v>0</v>
      </c>
      <c r="F71">
        <f>VLOOKUP($B71,third_20!$B$5:$BH$270,59,0)</f>
        <v>0</v>
      </c>
      <c r="G71">
        <f>VLOOKUP($B71,fourth_20!$B$5:$BH$270,59,0)</f>
        <v>0</v>
      </c>
      <c r="H71">
        <f>VLOOKUP($B71,highest_20!$B$5:$BH$270,59,0)-I71</f>
        <v>0</v>
      </c>
      <c r="I71">
        <f>VLOOKUP($B71,highest_10!$B$5:$BH$270,59,0)</f>
        <v>0</v>
      </c>
      <c r="J71">
        <f>SUM($C71:C71)</f>
        <v>0</v>
      </c>
      <c r="K71">
        <f>SUM($C71:D71)</f>
        <v>0</v>
      </c>
      <c r="L71">
        <f>SUM($C71:E71)</f>
        <v>0</v>
      </c>
      <c r="M71">
        <f>SUM($C71:F71)</f>
        <v>0</v>
      </c>
      <c r="N71">
        <f>SUM($C71:G71)</f>
        <v>0</v>
      </c>
      <c r="O71">
        <f>SUM($C71:H71)</f>
        <v>0</v>
      </c>
      <c r="P71">
        <f>SUM($C71:I71)</f>
        <v>0</v>
      </c>
    </row>
    <row r="72" spans="1:16" x14ac:dyDescent="0.35">
      <c r="A72" t="s">
        <v>82</v>
      </c>
      <c r="B72" t="s">
        <v>256</v>
      </c>
      <c r="C72">
        <f>VLOOKUP($B72,lowest_10!$B$5:$BH$270,59,0)</f>
        <v>1.9</v>
      </c>
      <c r="D72">
        <f>VLOOKUP($B72,lowest_20!$B$5:$BH$270,59,0)-C72</f>
        <v>3.9</v>
      </c>
      <c r="E72">
        <f>VLOOKUP($B72,second_20!$B$5:$BH$270,59,0)</f>
        <v>11.8</v>
      </c>
      <c r="F72">
        <f>VLOOKUP($B72,third_20!$B$5:$BH$270,59,0)</f>
        <v>17</v>
      </c>
      <c r="G72">
        <f>VLOOKUP($B72,fourth_20!$B$5:$BH$270,59,0)</f>
        <v>23.5</v>
      </c>
      <c r="H72">
        <f>VLOOKUP($B72,highest_20!$B$5:$BH$270,59,0)-I72</f>
        <v>15.900000000000002</v>
      </c>
      <c r="I72">
        <f>VLOOKUP($B72,highest_10!$B$5:$BH$270,59,0)</f>
        <v>26.2</v>
      </c>
      <c r="J72">
        <f>SUM($C72:C72)</f>
        <v>1.9</v>
      </c>
      <c r="K72">
        <f>SUM($C72:D72)</f>
        <v>5.8</v>
      </c>
      <c r="L72">
        <f>SUM($C72:E72)</f>
        <v>17.600000000000001</v>
      </c>
      <c r="M72">
        <f>SUM($C72:F72)</f>
        <v>34.6</v>
      </c>
      <c r="N72">
        <f>SUM($C72:G72)</f>
        <v>58.1</v>
      </c>
      <c r="O72">
        <f>SUM($C72:H72)</f>
        <v>74</v>
      </c>
      <c r="P72">
        <f>SUM($C72:I72)</f>
        <v>100.2</v>
      </c>
    </row>
    <row r="73" spans="1:16" x14ac:dyDescent="0.35">
      <c r="A73" t="s">
        <v>516</v>
      </c>
      <c r="B73" t="s">
        <v>657</v>
      </c>
      <c r="C73">
        <f>VLOOKUP($B73,lowest_10!$B$5:$BH$270,59,0)</f>
        <v>2.7</v>
      </c>
      <c r="D73">
        <f>VLOOKUP($B73,lowest_20!$B$5:$BH$270,59,0)-C73</f>
        <v>4.8</v>
      </c>
      <c r="E73">
        <f>VLOOKUP($B73,second_20!$B$5:$BH$270,59,0)</f>
        <v>12.5</v>
      </c>
      <c r="F73">
        <f>VLOOKUP($B73,third_20!$B$5:$BH$270,59,0)</f>
        <v>16.399999999999999</v>
      </c>
      <c r="G73">
        <f>VLOOKUP($B73,fourth_20!$B$5:$BH$270,59,0)</f>
        <v>23.2</v>
      </c>
      <c r="H73">
        <f>VLOOKUP($B73,highest_20!$B$5:$BH$270,59,0)-I73</f>
        <v>16</v>
      </c>
      <c r="I73">
        <f>VLOOKUP($B73,highest_10!$B$5:$BH$270,59,0)</f>
        <v>24.4</v>
      </c>
      <c r="J73">
        <f>SUM($C73:C73)</f>
        <v>2.7</v>
      </c>
      <c r="K73">
        <f>SUM($C73:D73)</f>
        <v>7.5</v>
      </c>
      <c r="L73">
        <f>SUM($C73:E73)</f>
        <v>20</v>
      </c>
      <c r="M73">
        <f>SUM($C73:F73)</f>
        <v>36.4</v>
      </c>
      <c r="N73">
        <f>SUM($C73:G73)</f>
        <v>59.599999999999994</v>
      </c>
      <c r="O73">
        <f>SUM($C73:H73)</f>
        <v>75.599999999999994</v>
      </c>
      <c r="P73">
        <f>SUM($C73:I73)</f>
        <v>100</v>
      </c>
    </row>
    <row r="74" spans="1:16" x14ac:dyDescent="0.35">
      <c r="A74" t="s">
        <v>159</v>
      </c>
      <c r="B74" t="s">
        <v>102</v>
      </c>
      <c r="C74">
        <f>VLOOKUP($B74,lowest_10!$B$5:$BH$270,59,0)</f>
        <v>2.9</v>
      </c>
      <c r="D74">
        <f>VLOOKUP($B74,lowest_20!$B$5:$BH$270,59,0)-C74</f>
        <v>4.4000000000000004</v>
      </c>
      <c r="E74">
        <f>VLOOKUP($B74,second_20!$B$5:$BH$270,59,0)</f>
        <v>12.1</v>
      </c>
      <c r="F74">
        <f>VLOOKUP($B74,third_20!$B$5:$BH$270,59,0)</f>
        <v>16.3</v>
      </c>
      <c r="G74">
        <f>VLOOKUP($B74,fourth_20!$B$5:$BH$270,59,0)</f>
        <v>21.2</v>
      </c>
      <c r="H74">
        <f>VLOOKUP($B74,highest_20!$B$5:$BH$270,59,0)-I74</f>
        <v>14.5</v>
      </c>
      <c r="I74">
        <f>VLOOKUP($B74,highest_10!$B$5:$BH$270,59,0)</f>
        <v>28.5</v>
      </c>
      <c r="J74">
        <f>SUM($C74:C74)</f>
        <v>2.9</v>
      </c>
      <c r="K74">
        <f>SUM($C74:D74)</f>
        <v>7.3000000000000007</v>
      </c>
      <c r="L74">
        <f>SUM($C74:E74)</f>
        <v>19.399999999999999</v>
      </c>
      <c r="M74">
        <f>SUM($C74:F74)</f>
        <v>35.700000000000003</v>
      </c>
      <c r="N74">
        <f>SUM($C74:G74)</f>
        <v>56.900000000000006</v>
      </c>
      <c r="O74">
        <f>SUM($C74:H74)</f>
        <v>71.400000000000006</v>
      </c>
      <c r="P74">
        <f>SUM($C74:I74)</f>
        <v>99.9</v>
      </c>
    </row>
    <row r="75" spans="1:16" x14ac:dyDescent="0.35">
      <c r="A75" t="s">
        <v>42</v>
      </c>
      <c r="B75" t="s">
        <v>704</v>
      </c>
      <c r="C75">
        <f>VLOOKUP($B75,lowest_10!$B$5:$BH$270,59,0)</f>
        <v>0</v>
      </c>
      <c r="D75">
        <f>VLOOKUP($B75,lowest_20!$B$5:$BH$270,59,0)-C75</f>
        <v>0</v>
      </c>
      <c r="E75">
        <f>VLOOKUP($B75,second_20!$B$5:$BH$270,59,0)</f>
        <v>0</v>
      </c>
      <c r="F75">
        <f>VLOOKUP($B75,third_20!$B$5:$BH$270,59,0)</f>
        <v>0</v>
      </c>
      <c r="G75">
        <f>VLOOKUP($B75,fourth_20!$B$5:$BH$270,59,0)</f>
        <v>0</v>
      </c>
      <c r="H75">
        <f>VLOOKUP($B75,highest_20!$B$5:$BH$270,59,0)-I75</f>
        <v>0</v>
      </c>
      <c r="I75">
        <f>VLOOKUP($B75,highest_10!$B$5:$BH$270,59,0)</f>
        <v>0</v>
      </c>
      <c r="J75">
        <f>SUM($C75:C75)</f>
        <v>0</v>
      </c>
      <c r="K75">
        <f>SUM($C75:D75)</f>
        <v>0</v>
      </c>
      <c r="L75">
        <f>SUM($C75:E75)</f>
        <v>0</v>
      </c>
      <c r="M75">
        <f>SUM($C75:F75)</f>
        <v>0</v>
      </c>
      <c r="N75">
        <f>SUM($C75:G75)</f>
        <v>0</v>
      </c>
      <c r="O75">
        <f>SUM($C75:H75)</f>
        <v>0</v>
      </c>
      <c r="P75">
        <f>SUM($C75:I75)</f>
        <v>0</v>
      </c>
    </row>
    <row r="76" spans="1:16" x14ac:dyDescent="0.35">
      <c r="A76" t="s">
        <v>222</v>
      </c>
      <c r="B76" t="s">
        <v>359</v>
      </c>
      <c r="C76">
        <f>VLOOKUP($B76,lowest_10!$B$5:$BH$270,59,0)</f>
        <v>0</v>
      </c>
      <c r="D76">
        <f>VLOOKUP($B76,lowest_20!$B$5:$BH$270,59,0)-C76</f>
        <v>0</v>
      </c>
      <c r="E76">
        <f>VLOOKUP($B76,second_20!$B$5:$BH$270,59,0)</f>
        <v>0</v>
      </c>
      <c r="F76">
        <f>VLOOKUP($B76,third_20!$B$5:$BH$270,59,0)</f>
        <v>0</v>
      </c>
      <c r="G76">
        <f>VLOOKUP($B76,fourth_20!$B$5:$BH$270,59,0)</f>
        <v>0</v>
      </c>
      <c r="H76">
        <f>VLOOKUP($B76,highest_20!$B$5:$BH$270,59,0)-I76</f>
        <v>0</v>
      </c>
      <c r="I76">
        <f>VLOOKUP($B76,highest_10!$B$5:$BH$270,59,0)</f>
        <v>0</v>
      </c>
      <c r="J76">
        <f>SUM($C76:C76)</f>
        <v>0</v>
      </c>
      <c r="K76">
        <f>SUM($C76:D76)</f>
        <v>0</v>
      </c>
      <c r="L76">
        <f>SUM($C76:E76)</f>
        <v>0</v>
      </c>
      <c r="M76">
        <f>SUM($C76:F76)</f>
        <v>0</v>
      </c>
      <c r="N76">
        <f>SUM($C76:G76)</f>
        <v>0</v>
      </c>
      <c r="O76">
        <f>SUM($C76:H76)</f>
        <v>0</v>
      </c>
      <c r="P76">
        <f>SUM($C76:I76)</f>
        <v>0</v>
      </c>
    </row>
    <row r="77" spans="1:16" x14ac:dyDescent="0.35">
      <c r="A77" t="s">
        <v>54</v>
      </c>
      <c r="B77" t="s">
        <v>27</v>
      </c>
      <c r="C77">
        <f>VLOOKUP($B77,lowest_10!$B$5:$BH$270,59,0)</f>
        <v>3.8</v>
      </c>
      <c r="D77">
        <f>VLOOKUP($B77,lowest_20!$B$5:$BH$270,59,0)-C77</f>
        <v>5.6000000000000005</v>
      </c>
      <c r="E77">
        <f>VLOOKUP($B77,second_20!$B$5:$BH$270,59,0)</f>
        <v>14</v>
      </c>
      <c r="F77">
        <f>VLOOKUP($B77,third_20!$B$5:$BH$270,59,0)</f>
        <v>17.5</v>
      </c>
      <c r="G77">
        <f>VLOOKUP($B77,fourth_20!$B$5:$BH$270,59,0)</f>
        <v>22.4</v>
      </c>
      <c r="H77">
        <f>VLOOKUP($B77,highest_20!$B$5:$BH$270,59,0)-I77</f>
        <v>14.300000000000004</v>
      </c>
      <c r="I77">
        <f>VLOOKUP($B77,highest_10!$B$5:$BH$270,59,0)</f>
        <v>22.4</v>
      </c>
      <c r="J77">
        <f>SUM($C77:C77)</f>
        <v>3.8</v>
      </c>
      <c r="K77">
        <f>SUM($C77:D77)</f>
        <v>9.4</v>
      </c>
      <c r="L77">
        <f>SUM($C77:E77)</f>
        <v>23.4</v>
      </c>
      <c r="M77">
        <f>SUM($C77:F77)</f>
        <v>40.9</v>
      </c>
      <c r="N77">
        <f>SUM($C77:G77)</f>
        <v>63.3</v>
      </c>
      <c r="O77">
        <f>SUM($C77:H77)</f>
        <v>77.599999999999994</v>
      </c>
      <c r="P77">
        <f>SUM($C77:I77)</f>
        <v>100</v>
      </c>
    </row>
    <row r="78" spans="1:16" x14ac:dyDescent="0.35">
      <c r="A78" t="s">
        <v>149</v>
      </c>
      <c r="B78" t="s">
        <v>392</v>
      </c>
      <c r="C78">
        <f>VLOOKUP($B78,lowest_10!$B$5:$BH$270,59,0)</f>
        <v>0</v>
      </c>
      <c r="D78">
        <f>VLOOKUP($B78,lowest_20!$B$5:$BH$270,59,0)-C78</f>
        <v>0</v>
      </c>
      <c r="E78">
        <f>VLOOKUP($B78,second_20!$B$5:$BH$270,59,0)</f>
        <v>0</v>
      </c>
      <c r="F78">
        <f>VLOOKUP($B78,third_20!$B$5:$BH$270,59,0)</f>
        <v>0</v>
      </c>
      <c r="G78">
        <f>VLOOKUP($B78,fourth_20!$B$5:$BH$270,59,0)</f>
        <v>0</v>
      </c>
      <c r="H78">
        <f>VLOOKUP($B78,highest_20!$B$5:$BH$270,59,0)-I78</f>
        <v>0</v>
      </c>
      <c r="I78">
        <f>VLOOKUP($B78,highest_10!$B$5:$BH$270,59,0)</f>
        <v>0</v>
      </c>
      <c r="J78">
        <f>SUM($C78:C78)</f>
        <v>0</v>
      </c>
      <c r="K78">
        <f>SUM($C78:D78)</f>
        <v>0</v>
      </c>
      <c r="L78">
        <f>SUM($C78:E78)</f>
        <v>0</v>
      </c>
      <c r="M78">
        <f>SUM($C78:F78)</f>
        <v>0</v>
      </c>
      <c r="N78">
        <f>SUM($C78:G78)</f>
        <v>0</v>
      </c>
      <c r="O78">
        <f>SUM($C78:H78)</f>
        <v>0</v>
      </c>
      <c r="P78">
        <f>SUM($C78:I78)</f>
        <v>0</v>
      </c>
    </row>
    <row r="79" spans="1:16" x14ac:dyDescent="0.35">
      <c r="A79" t="s">
        <v>381</v>
      </c>
      <c r="B79" t="s">
        <v>626</v>
      </c>
      <c r="C79">
        <f>VLOOKUP($B79,lowest_10!$B$5:$BH$270,59,0)</f>
        <v>3.1</v>
      </c>
      <c r="D79">
        <f>VLOOKUP($B79,lowest_20!$B$5:$BH$270,59,0)-C79</f>
        <v>4.8000000000000007</v>
      </c>
      <c r="E79">
        <f>VLOOKUP($B79,second_20!$B$5:$BH$270,59,0)</f>
        <v>12.8</v>
      </c>
      <c r="F79">
        <f>VLOOKUP($B79,third_20!$B$5:$BH$270,59,0)</f>
        <v>16.7</v>
      </c>
      <c r="G79">
        <f>VLOOKUP($B79,fourth_20!$B$5:$BH$270,59,0)</f>
        <v>21.7</v>
      </c>
      <c r="H79">
        <f>VLOOKUP($B79,highest_20!$B$5:$BH$270,59,0)-I79</f>
        <v>14.299999999999997</v>
      </c>
      <c r="I79">
        <f>VLOOKUP($B79,highest_10!$B$5:$BH$270,59,0)</f>
        <v>26.6</v>
      </c>
      <c r="J79">
        <f>SUM($C79:C79)</f>
        <v>3.1</v>
      </c>
      <c r="K79">
        <f>SUM($C79:D79)</f>
        <v>7.9</v>
      </c>
      <c r="L79">
        <f>SUM($C79:E79)</f>
        <v>20.700000000000003</v>
      </c>
      <c r="M79">
        <f>SUM($C79:F79)</f>
        <v>37.400000000000006</v>
      </c>
      <c r="N79">
        <f>SUM($C79:G79)</f>
        <v>59.100000000000009</v>
      </c>
      <c r="O79">
        <f>SUM($C79:H79)</f>
        <v>73.400000000000006</v>
      </c>
      <c r="P79">
        <f>SUM($C79:I79)</f>
        <v>100</v>
      </c>
    </row>
    <row r="80" spans="1:16" x14ac:dyDescent="0.35">
      <c r="A80" t="s">
        <v>345</v>
      </c>
      <c r="B80" t="s">
        <v>473</v>
      </c>
      <c r="C80">
        <f>VLOOKUP($B80,lowest_10!$B$5:$BH$270,59,0)</f>
        <v>0</v>
      </c>
      <c r="D80">
        <f>VLOOKUP($B80,lowest_20!$B$5:$BH$270,59,0)-C80</f>
        <v>0</v>
      </c>
      <c r="E80">
        <f>VLOOKUP($B80,second_20!$B$5:$BH$270,59,0)</f>
        <v>0</v>
      </c>
      <c r="F80">
        <f>VLOOKUP($B80,third_20!$B$5:$BH$270,59,0)</f>
        <v>0</v>
      </c>
      <c r="G80">
        <f>VLOOKUP($B80,fourth_20!$B$5:$BH$270,59,0)</f>
        <v>0</v>
      </c>
      <c r="H80">
        <f>VLOOKUP($B80,highest_20!$B$5:$BH$270,59,0)-I80</f>
        <v>0</v>
      </c>
      <c r="I80">
        <f>VLOOKUP($B80,highest_10!$B$5:$BH$270,59,0)</f>
        <v>0</v>
      </c>
      <c r="J80">
        <f>SUM($C80:C80)</f>
        <v>0</v>
      </c>
      <c r="K80">
        <f>SUM($C80:D80)</f>
        <v>0</v>
      </c>
      <c r="L80">
        <f>SUM($C80:E80)</f>
        <v>0</v>
      </c>
      <c r="M80">
        <f>SUM($C80:F80)</f>
        <v>0</v>
      </c>
      <c r="N80">
        <f>SUM($C80:G80)</f>
        <v>0</v>
      </c>
      <c r="O80">
        <f>SUM($C80:H80)</f>
        <v>0</v>
      </c>
      <c r="P80">
        <f>SUM($C80:I80)</f>
        <v>0</v>
      </c>
    </row>
    <row r="81" spans="1:16" x14ac:dyDescent="0.35">
      <c r="A81" t="s">
        <v>389</v>
      </c>
      <c r="B81" t="s">
        <v>286</v>
      </c>
      <c r="C81">
        <f>VLOOKUP($B81,lowest_10!$B$5:$BH$270,59,0)</f>
        <v>0</v>
      </c>
      <c r="D81">
        <f>VLOOKUP($B81,lowest_20!$B$5:$BH$270,59,0)-C81</f>
        <v>0</v>
      </c>
      <c r="E81">
        <f>VLOOKUP($B81,second_20!$B$5:$BH$270,59,0)</f>
        <v>0</v>
      </c>
      <c r="F81">
        <f>VLOOKUP($B81,third_20!$B$5:$BH$270,59,0)</f>
        <v>0</v>
      </c>
      <c r="G81">
        <f>VLOOKUP($B81,fourth_20!$B$5:$BH$270,59,0)</f>
        <v>0</v>
      </c>
      <c r="H81">
        <f>VLOOKUP($B81,highest_20!$B$5:$BH$270,59,0)-I81</f>
        <v>0</v>
      </c>
      <c r="I81">
        <f>VLOOKUP($B81,highest_10!$B$5:$BH$270,59,0)</f>
        <v>0</v>
      </c>
      <c r="J81">
        <f>SUM($C81:C81)</f>
        <v>0</v>
      </c>
      <c r="K81">
        <f>SUM($C81:D81)</f>
        <v>0</v>
      </c>
      <c r="L81">
        <f>SUM($C81:E81)</f>
        <v>0</v>
      </c>
      <c r="M81">
        <f>SUM($C81:F81)</f>
        <v>0</v>
      </c>
      <c r="N81">
        <f>SUM($C81:G81)</f>
        <v>0</v>
      </c>
      <c r="O81">
        <f>SUM($C81:H81)</f>
        <v>0</v>
      </c>
      <c r="P81">
        <f>SUM($C81:I81)</f>
        <v>0</v>
      </c>
    </row>
    <row r="82" spans="1:16" x14ac:dyDescent="0.35">
      <c r="A82" t="s">
        <v>501</v>
      </c>
      <c r="B82" t="s">
        <v>373</v>
      </c>
      <c r="C82">
        <f>VLOOKUP($B82,lowest_10!$B$5:$BH$270,59,0)</f>
        <v>0</v>
      </c>
      <c r="D82">
        <f>VLOOKUP($B82,lowest_20!$B$5:$BH$270,59,0)-C82</f>
        <v>0</v>
      </c>
      <c r="E82">
        <f>VLOOKUP($B82,second_20!$B$5:$BH$270,59,0)</f>
        <v>0</v>
      </c>
      <c r="F82">
        <f>VLOOKUP($B82,third_20!$B$5:$BH$270,59,0)</f>
        <v>0</v>
      </c>
      <c r="G82">
        <f>VLOOKUP($B82,fourth_20!$B$5:$BH$270,59,0)</f>
        <v>0</v>
      </c>
      <c r="H82">
        <f>VLOOKUP($B82,highest_20!$B$5:$BH$270,59,0)-I82</f>
        <v>0</v>
      </c>
      <c r="I82">
        <f>VLOOKUP($B82,highest_10!$B$5:$BH$270,59,0)</f>
        <v>0</v>
      </c>
      <c r="J82">
        <f>SUM($C82:C82)</f>
        <v>0</v>
      </c>
      <c r="K82">
        <f>SUM($C82:D82)</f>
        <v>0</v>
      </c>
      <c r="L82">
        <f>SUM($C82:E82)</f>
        <v>0</v>
      </c>
      <c r="M82">
        <f>SUM($C82:F82)</f>
        <v>0</v>
      </c>
      <c r="N82">
        <f>SUM($C82:G82)</f>
        <v>0</v>
      </c>
      <c r="O82">
        <f>SUM($C82:H82)</f>
        <v>0</v>
      </c>
      <c r="P82">
        <f>SUM($C82:I82)</f>
        <v>0</v>
      </c>
    </row>
    <row r="83" spans="1:16" x14ac:dyDescent="0.35">
      <c r="A83" t="s">
        <v>669</v>
      </c>
      <c r="B83" t="s">
        <v>587</v>
      </c>
      <c r="C83">
        <f>VLOOKUP($B83,lowest_10!$B$5:$BH$270,59,0)</f>
        <v>3.1</v>
      </c>
      <c r="D83">
        <f>VLOOKUP($B83,lowest_20!$B$5:$BH$270,59,0)-C83</f>
        <v>4.5</v>
      </c>
      <c r="E83">
        <f>VLOOKUP($B83,second_20!$B$5:$BH$270,59,0)</f>
        <v>12.3</v>
      </c>
      <c r="F83">
        <f>VLOOKUP($B83,third_20!$B$5:$BH$270,59,0)</f>
        <v>16.8</v>
      </c>
      <c r="G83">
        <f>VLOOKUP($B83,fourth_20!$B$5:$BH$270,59,0)</f>
        <v>22.8</v>
      </c>
      <c r="H83">
        <f>VLOOKUP($B83,highest_20!$B$5:$BH$270,59,0)-I83</f>
        <v>15.2</v>
      </c>
      <c r="I83">
        <f>VLOOKUP($B83,highest_10!$B$5:$BH$270,59,0)</f>
        <v>25.3</v>
      </c>
      <c r="J83">
        <f>SUM($C83:C83)</f>
        <v>3.1</v>
      </c>
      <c r="K83">
        <f>SUM($C83:D83)</f>
        <v>7.6</v>
      </c>
      <c r="L83">
        <f>SUM($C83:E83)</f>
        <v>19.899999999999999</v>
      </c>
      <c r="M83">
        <f>SUM($C83:F83)</f>
        <v>36.700000000000003</v>
      </c>
      <c r="N83">
        <f>SUM($C83:G83)</f>
        <v>59.5</v>
      </c>
      <c r="O83">
        <f>SUM($C83:H83)</f>
        <v>74.7</v>
      </c>
      <c r="P83">
        <f>SUM($C83:I83)</f>
        <v>100</v>
      </c>
    </row>
    <row r="84" spans="1:16" x14ac:dyDescent="0.35">
      <c r="A84" t="s">
        <v>620</v>
      </c>
      <c r="B84" t="s">
        <v>468</v>
      </c>
      <c r="C84">
        <f>VLOOKUP($B84,lowest_10!$B$5:$BH$270,59,0)</f>
        <v>2.6</v>
      </c>
      <c r="D84">
        <f>VLOOKUP($B84,lowest_20!$B$5:$BH$270,59,0)-C84</f>
        <v>4.0999999999999996</v>
      </c>
      <c r="E84">
        <f>VLOOKUP($B84,second_20!$B$5:$BH$270,59,0)</f>
        <v>11.3</v>
      </c>
      <c r="F84">
        <f>VLOOKUP($B84,third_20!$B$5:$BH$270,59,0)</f>
        <v>15.9</v>
      </c>
      <c r="G84">
        <f>VLOOKUP($B84,fourth_20!$B$5:$BH$270,59,0)</f>
        <v>22.6</v>
      </c>
      <c r="H84">
        <f>VLOOKUP($B84,highest_20!$B$5:$BH$270,59,0)-I84</f>
        <v>15.599999999999998</v>
      </c>
      <c r="I84">
        <f>VLOOKUP($B84,highest_10!$B$5:$BH$270,59,0)</f>
        <v>27.8</v>
      </c>
      <c r="J84">
        <f>SUM($C84:C84)</f>
        <v>2.6</v>
      </c>
      <c r="K84">
        <f>SUM($C84:D84)</f>
        <v>6.6999999999999993</v>
      </c>
      <c r="L84">
        <f>SUM($C84:E84)</f>
        <v>18</v>
      </c>
      <c r="M84">
        <f>SUM($C84:F84)</f>
        <v>33.9</v>
      </c>
      <c r="N84">
        <f>SUM($C84:G84)</f>
        <v>56.5</v>
      </c>
      <c r="O84">
        <f>SUM($C84:H84)</f>
        <v>72.099999999999994</v>
      </c>
      <c r="P84">
        <f>SUM($C84:I84)</f>
        <v>99.899999999999991</v>
      </c>
    </row>
    <row r="85" spans="1:16" x14ac:dyDescent="0.35">
      <c r="A85" t="s">
        <v>170</v>
      </c>
      <c r="B85" t="s">
        <v>551</v>
      </c>
      <c r="C85">
        <f>VLOOKUP($B85,lowest_10!$B$5:$BH$270,59,0)</f>
        <v>0</v>
      </c>
      <c r="D85">
        <f>VLOOKUP($B85,lowest_20!$B$5:$BH$270,59,0)-C85</f>
        <v>0</v>
      </c>
      <c r="E85">
        <f>VLOOKUP($B85,second_20!$B$5:$BH$270,59,0)</f>
        <v>0</v>
      </c>
      <c r="F85">
        <f>VLOOKUP($B85,third_20!$B$5:$BH$270,59,0)</f>
        <v>0</v>
      </c>
      <c r="G85">
        <f>VLOOKUP($B85,fourth_20!$B$5:$BH$270,59,0)</f>
        <v>0</v>
      </c>
      <c r="H85">
        <f>VLOOKUP($B85,highest_20!$B$5:$BH$270,59,0)-I85</f>
        <v>0</v>
      </c>
      <c r="I85">
        <f>VLOOKUP($B85,highest_10!$B$5:$BH$270,59,0)</f>
        <v>0</v>
      </c>
      <c r="J85">
        <f>SUM($C85:C85)</f>
        <v>0</v>
      </c>
      <c r="K85">
        <f>SUM($C85:D85)</f>
        <v>0</v>
      </c>
      <c r="L85">
        <f>SUM($C85:E85)</f>
        <v>0</v>
      </c>
      <c r="M85">
        <f>SUM($C85:F85)</f>
        <v>0</v>
      </c>
      <c r="N85">
        <f>SUM($C85:G85)</f>
        <v>0</v>
      </c>
      <c r="O85">
        <f>SUM($C85:H85)</f>
        <v>0</v>
      </c>
      <c r="P85">
        <f>SUM($C85:I85)</f>
        <v>0</v>
      </c>
    </row>
    <row r="86" spans="1:16" x14ac:dyDescent="0.35">
      <c r="A86" t="s">
        <v>132</v>
      </c>
      <c r="B86" t="s">
        <v>683</v>
      </c>
      <c r="C86">
        <f>VLOOKUP($B86,lowest_10!$B$5:$BH$270,59,0)</f>
        <v>0</v>
      </c>
      <c r="D86">
        <f>VLOOKUP($B86,lowest_20!$B$5:$BH$270,59,0)-C86</f>
        <v>0</v>
      </c>
      <c r="E86">
        <f>VLOOKUP($B86,second_20!$B$5:$BH$270,59,0)</f>
        <v>0</v>
      </c>
      <c r="F86">
        <f>VLOOKUP($B86,third_20!$B$5:$BH$270,59,0)</f>
        <v>0</v>
      </c>
      <c r="G86">
        <f>VLOOKUP($B86,fourth_20!$B$5:$BH$270,59,0)</f>
        <v>0</v>
      </c>
      <c r="H86">
        <f>VLOOKUP($B86,highest_20!$B$5:$BH$270,59,0)-I86</f>
        <v>0</v>
      </c>
      <c r="I86">
        <f>VLOOKUP($B86,highest_10!$B$5:$BH$270,59,0)</f>
        <v>0</v>
      </c>
      <c r="J86">
        <f>SUM($C86:C86)</f>
        <v>0</v>
      </c>
      <c r="K86">
        <f>SUM($C86:D86)</f>
        <v>0</v>
      </c>
      <c r="L86">
        <f>SUM($C86:E86)</f>
        <v>0</v>
      </c>
      <c r="M86">
        <f>SUM($C86:F86)</f>
        <v>0</v>
      </c>
      <c r="N86">
        <f>SUM($C86:G86)</f>
        <v>0</v>
      </c>
      <c r="O86">
        <f>SUM($C86:H86)</f>
        <v>0</v>
      </c>
      <c r="P86">
        <f>SUM($C86:I86)</f>
        <v>0</v>
      </c>
    </row>
    <row r="87" spans="1:16" x14ac:dyDescent="0.35">
      <c r="A87" t="s">
        <v>576</v>
      </c>
      <c r="B87" t="s">
        <v>571</v>
      </c>
      <c r="C87">
        <f>VLOOKUP($B87,lowest_10!$B$5:$BH$270,59,0)</f>
        <v>0</v>
      </c>
      <c r="D87">
        <f>VLOOKUP($B87,lowest_20!$B$5:$BH$270,59,0)-C87</f>
        <v>0</v>
      </c>
      <c r="E87">
        <f>VLOOKUP($B87,second_20!$B$5:$BH$270,59,0)</f>
        <v>0</v>
      </c>
      <c r="F87">
        <f>VLOOKUP($B87,third_20!$B$5:$BH$270,59,0)</f>
        <v>0</v>
      </c>
      <c r="G87">
        <f>VLOOKUP($B87,fourth_20!$B$5:$BH$270,59,0)</f>
        <v>0</v>
      </c>
      <c r="H87">
        <f>VLOOKUP($B87,highest_20!$B$5:$BH$270,59,0)-I87</f>
        <v>0</v>
      </c>
      <c r="I87">
        <f>VLOOKUP($B87,highest_10!$B$5:$BH$270,59,0)</f>
        <v>0</v>
      </c>
      <c r="J87">
        <f>SUM($C87:C87)</f>
        <v>0</v>
      </c>
      <c r="K87">
        <f>SUM($C87:D87)</f>
        <v>0</v>
      </c>
      <c r="L87">
        <f>SUM($C87:E87)</f>
        <v>0</v>
      </c>
      <c r="M87">
        <f>SUM($C87:F87)</f>
        <v>0</v>
      </c>
      <c r="N87">
        <f>SUM($C87:G87)</f>
        <v>0</v>
      </c>
      <c r="O87">
        <f>SUM($C87:H87)</f>
        <v>0</v>
      </c>
      <c r="P87">
        <f>SUM($C87:I87)</f>
        <v>0</v>
      </c>
    </row>
    <row r="88" spans="1:16" x14ac:dyDescent="0.35">
      <c r="A88" t="s">
        <v>26</v>
      </c>
      <c r="B88" t="s">
        <v>86</v>
      </c>
      <c r="C88">
        <f>VLOOKUP($B88,lowest_10!$B$5:$BH$270,59,0)</f>
        <v>3</v>
      </c>
      <c r="D88">
        <f>VLOOKUP($B88,lowest_20!$B$5:$BH$270,59,0)-C88</f>
        <v>4.4000000000000004</v>
      </c>
      <c r="E88">
        <f>VLOOKUP($B88,second_20!$B$5:$BH$270,59,0)</f>
        <v>11.6</v>
      </c>
      <c r="F88">
        <f>VLOOKUP($B88,third_20!$B$5:$BH$270,59,0)</f>
        <v>15.7</v>
      </c>
      <c r="G88">
        <f>VLOOKUP($B88,fourth_20!$B$5:$BH$270,59,0)</f>
        <v>21.8</v>
      </c>
      <c r="H88">
        <f>VLOOKUP($B88,highest_20!$B$5:$BH$270,59,0)-I88</f>
        <v>14.900000000000002</v>
      </c>
      <c r="I88">
        <f>VLOOKUP($B88,highest_10!$B$5:$BH$270,59,0)</f>
        <v>28.7</v>
      </c>
      <c r="J88">
        <f>SUM($C88:C88)</f>
        <v>3</v>
      </c>
      <c r="K88">
        <f>SUM($C88:D88)</f>
        <v>7.4</v>
      </c>
      <c r="L88">
        <f>SUM($C88:E88)</f>
        <v>19</v>
      </c>
      <c r="M88">
        <f>SUM($C88:F88)</f>
        <v>34.700000000000003</v>
      </c>
      <c r="N88">
        <f>SUM($C88:G88)</f>
        <v>56.5</v>
      </c>
      <c r="O88">
        <f>SUM($C88:H88)</f>
        <v>71.400000000000006</v>
      </c>
      <c r="P88">
        <f>SUM($C88:I88)</f>
        <v>100.10000000000001</v>
      </c>
    </row>
    <row r="89" spans="1:16" x14ac:dyDescent="0.35">
      <c r="A89" t="s">
        <v>581</v>
      </c>
      <c r="B89" t="s">
        <v>163</v>
      </c>
      <c r="C89">
        <f>VLOOKUP($B89,lowest_10!$B$5:$BH$270,59,0)</f>
        <v>0</v>
      </c>
      <c r="D89">
        <f>VLOOKUP($B89,lowest_20!$B$5:$BH$270,59,0)-C89</f>
        <v>0</v>
      </c>
      <c r="E89">
        <f>VLOOKUP($B89,second_20!$B$5:$BH$270,59,0)</f>
        <v>0</v>
      </c>
      <c r="F89">
        <f>VLOOKUP($B89,third_20!$B$5:$BH$270,59,0)</f>
        <v>0</v>
      </c>
      <c r="G89">
        <f>VLOOKUP($B89,fourth_20!$B$5:$BH$270,59,0)</f>
        <v>0</v>
      </c>
      <c r="H89">
        <f>VLOOKUP($B89,highest_20!$B$5:$BH$270,59,0)-I89</f>
        <v>0</v>
      </c>
      <c r="I89">
        <f>VLOOKUP($B89,highest_10!$B$5:$BH$270,59,0)</f>
        <v>0</v>
      </c>
      <c r="J89">
        <f>SUM($C89:C89)</f>
        <v>0</v>
      </c>
      <c r="K89">
        <f>SUM($C89:D89)</f>
        <v>0</v>
      </c>
      <c r="L89">
        <f>SUM($C89:E89)</f>
        <v>0</v>
      </c>
      <c r="M89">
        <f>SUM($C89:F89)</f>
        <v>0</v>
      </c>
      <c r="N89">
        <f>SUM($C89:G89)</f>
        <v>0</v>
      </c>
      <c r="O89">
        <f>SUM($C89:H89)</f>
        <v>0</v>
      </c>
      <c r="P89">
        <f>SUM($C89:I89)</f>
        <v>0</v>
      </c>
    </row>
    <row r="90" spans="1:16" x14ac:dyDescent="0.35">
      <c r="A90" t="s">
        <v>645</v>
      </c>
      <c r="B90" t="s">
        <v>234</v>
      </c>
      <c r="C90">
        <f>VLOOKUP($B90,lowest_10!$B$5:$BH$270,59,0)</f>
        <v>0</v>
      </c>
      <c r="D90">
        <f>VLOOKUP($B90,lowest_20!$B$5:$BH$270,59,0)-C90</f>
        <v>0</v>
      </c>
      <c r="E90">
        <f>VLOOKUP($B90,second_20!$B$5:$BH$270,59,0)</f>
        <v>0</v>
      </c>
      <c r="F90">
        <f>VLOOKUP($B90,third_20!$B$5:$BH$270,59,0)</f>
        <v>0</v>
      </c>
      <c r="G90">
        <f>VLOOKUP($B90,fourth_20!$B$5:$BH$270,59,0)</f>
        <v>0</v>
      </c>
      <c r="H90">
        <f>VLOOKUP($B90,highest_20!$B$5:$BH$270,59,0)-I90</f>
        <v>0</v>
      </c>
      <c r="I90">
        <f>VLOOKUP($B90,highest_10!$B$5:$BH$270,59,0)</f>
        <v>0</v>
      </c>
      <c r="J90">
        <f>SUM($C90:C90)</f>
        <v>0</v>
      </c>
      <c r="K90">
        <f>SUM($C90:D90)</f>
        <v>0</v>
      </c>
      <c r="L90">
        <f>SUM($C90:E90)</f>
        <v>0</v>
      </c>
      <c r="M90">
        <f>SUM($C90:F90)</f>
        <v>0</v>
      </c>
      <c r="N90">
        <f>SUM($C90:G90)</f>
        <v>0</v>
      </c>
      <c r="O90">
        <f>SUM($C90:H90)</f>
        <v>0</v>
      </c>
      <c r="P90">
        <f>SUM($C90:I90)</f>
        <v>0</v>
      </c>
    </row>
    <row r="91" spans="1:16" x14ac:dyDescent="0.35">
      <c r="A91" t="s">
        <v>691</v>
      </c>
      <c r="B91" t="s">
        <v>545</v>
      </c>
      <c r="C91">
        <f>VLOOKUP($B91,lowest_10!$B$5:$BH$270,59,0)</f>
        <v>1.9</v>
      </c>
      <c r="D91">
        <f>VLOOKUP($B91,lowest_20!$B$5:$BH$270,59,0)-C91</f>
        <v>3.9</v>
      </c>
      <c r="E91">
        <f>VLOOKUP($B91,second_20!$B$5:$BH$270,59,0)</f>
        <v>11.8</v>
      </c>
      <c r="F91">
        <f>VLOOKUP($B91,third_20!$B$5:$BH$270,59,0)</f>
        <v>17</v>
      </c>
      <c r="G91">
        <f>VLOOKUP($B91,fourth_20!$B$5:$BH$270,59,0)</f>
        <v>23.5</v>
      </c>
      <c r="H91">
        <f>VLOOKUP($B91,highest_20!$B$5:$BH$270,59,0)-I91</f>
        <v>15.599999999999998</v>
      </c>
      <c r="I91">
        <f>VLOOKUP($B91,highest_10!$B$5:$BH$270,59,0)</f>
        <v>26.2</v>
      </c>
      <c r="J91">
        <f>SUM($C91:C91)</f>
        <v>1.9</v>
      </c>
      <c r="K91">
        <f>SUM($C91:D91)</f>
        <v>5.8</v>
      </c>
      <c r="L91">
        <f>SUM($C91:E91)</f>
        <v>17.600000000000001</v>
      </c>
      <c r="M91">
        <f>SUM($C91:F91)</f>
        <v>34.6</v>
      </c>
      <c r="N91">
        <f>SUM($C91:G91)</f>
        <v>58.1</v>
      </c>
      <c r="O91">
        <f>SUM($C91:H91)</f>
        <v>73.7</v>
      </c>
      <c r="P91">
        <f>SUM($C91:I91)</f>
        <v>99.9</v>
      </c>
    </row>
    <row r="92" spans="1:16" x14ac:dyDescent="0.35">
      <c r="A92" t="s">
        <v>76</v>
      </c>
      <c r="B92" t="s">
        <v>599</v>
      </c>
      <c r="C92">
        <f>VLOOKUP($B92,lowest_10!$B$5:$BH$270,59,0)</f>
        <v>0</v>
      </c>
      <c r="D92">
        <f>VLOOKUP($B92,lowest_20!$B$5:$BH$270,59,0)-C92</f>
        <v>0</v>
      </c>
      <c r="E92">
        <f>VLOOKUP($B92,second_20!$B$5:$BH$270,59,0)</f>
        <v>0</v>
      </c>
      <c r="F92">
        <f>VLOOKUP($B92,third_20!$B$5:$BH$270,59,0)</f>
        <v>0</v>
      </c>
      <c r="G92">
        <f>VLOOKUP($B92,fourth_20!$B$5:$BH$270,59,0)</f>
        <v>0</v>
      </c>
      <c r="H92">
        <f>VLOOKUP($B92,highest_20!$B$5:$BH$270,59,0)-I92</f>
        <v>0</v>
      </c>
      <c r="I92">
        <f>VLOOKUP($B92,highest_10!$B$5:$BH$270,59,0)</f>
        <v>0</v>
      </c>
      <c r="J92">
        <f>SUM($C92:C92)</f>
        <v>0</v>
      </c>
      <c r="K92">
        <f>SUM($C92:D92)</f>
        <v>0</v>
      </c>
      <c r="L92">
        <f>SUM($C92:E92)</f>
        <v>0</v>
      </c>
      <c r="M92">
        <f>SUM($C92:F92)</f>
        <v>0</v>
      </c>
      <c r="N92">
        <f>SUM($C92:G92)</f>
        <v>0</v>
      </c>
      <c r="O92">
        <f>SUM($C92:H92)</f>
        <v>0</v>
      </c>
      <c r="P92">
        <f>SUM($C92:I92)</f>
        <v>0</v>
      </c>
    </row>
    <row r="93" spans="1:16" x14ac:dyDescent="0.35">
      <c r="A93" t="s">
        <v>526</v>
      </c>
      <c r="B93" t="s">
        <v>663</v>
      </c>
      <c r="C93">
        <f>VLOOKUP($B93,lowest_10!$B$5:$BH$270,59,0)</f>
        <v>0</v>
      </c>
      <c r="D93">
        <f>VLOOKUP($B93,lowest_20!$B$5:$BH$270,59,0)-C93</f>
        <v>0</v>
      </c>
      <c r="E93">
        <f>VLOOKUP($B93,second_20!$B$5:$BH$270,59,0)</f>
        <v>0</v>
      </c>
      <c r="F93">
        <f>VLOOKUP($B93,third_20!$B$5:$BH$270,59,0)</f>
        <v>0</v>
      </c>
      <c r="G93">
        <f>VLOOKUP($B93,fourth_20!$B$5:$BH$270,59,0)</f>
        <v>0</v>
      </c>
      <c r="H93">
        <f>VLOOKUP($B93,highest_20!$B$5:$BH$270,59,0)-I93</f>
        <v>0</v>
      </c>
      <c r="I93">
        <f>VLOOKUP($B93,highest_10!$B$5:$BH$270,59,0)</f>
        <v>0</v>
      </c>
      <c r="J93">
        <f>SUM($C93:C93)</f>
        <v>0</v>
      </c>
      <c r="K93">
        <f>SUM($C93:D93)</f>
        <v>0</v>
      </c>
      <c r="L93">
        <f>SUM($C93:E93)</f>
        <v>0</v>
      </c>
      <c r="M93">
        <f>SUM($C93:F93)</f>
        <v>0</v>
      </c>
      <c r="N93">
        <f>SUM($C93:G93)</f>
        <v>0</v>
      </c>
      <c r="O93">
        <f>SUM($C93:H93)</f>
        <v>0</v>
      </c>
      <c r="P93">
        <f>SUM($C93:I93)</f>
        <v>0</v>
      </c>
    </row>
    <row r="94" spans="1:16" x14ac:dyDescent="0.35">
      <c r="A94" t="s">
        <v>268</v>
      </c>
      <c r="B94" t="s">
        <v>140</v>
      </c>
      <c r="C94">
        <f>VLOOKUP($B94,lowest_10!$B$5:$BH$270,59,0)</f>
        <v>0</v>
      </c>
      <c r="D94">
        <f>VLOOKUP($B94,lowest_20!$B$5:$BH$270,59,0)-C94</f>
        <v>0</v>
      </c>
      <c r="E94">
        <f>VLOOKUP($B94,second_20!$B$5:$BH$270,59,0)</f>
        <v>0</v>
      </c>
      <c r="F94">
        <f>VLOOKUP($B94,third_20!$B$5:$BH$270,59,0)</f>
        <v>0</v>
      </c>
      <c r="G94">
        <f>VLOOKUP($B94,fourth_20!$B$5:$BH$270,59,0)</f>
        <v>0</v>
      </c>
      <c r="H94">
        <f>VLOOKUP($B94,highest_20!$B$5:$BH$270,59,0)-I94</f>
        <v>0</v>
      </c>
      <c r="I94">
        <f>VLOOKUP($B94,highest_10!$B$5:$BH$270,59,0)</f>
        <v>0</v>
      </c>
      <c r="J94">
        <f>SUM($C94:C94)</f>
        <v>0</v>
      </c>
      <c r="K94">
        <f>SUM($C94:D94)</f>
        <v>0</v>
      </c>
      <c r="L94">
        <f>SUM($C94:E94)</f>
        <v>0</v>
      </c>
      <c r="M94">
        <f>SUM($C94:F94)</f>
        <v>0</v>
      </c>
      <c r="N94">
        <f>SUM($C94:G94)</f>
        <v>0</v>
      </c>
      <c r="O94">
        <f>SUM($C94:H94)</f>
        <v>0</v>
      </c>
      <c r="P94">
        <f>SUM($C94:I94)</f>
        <v>0</v>
      </c>
    </row>
    <row r="95" spans="1:16" x14ac:dyDescent="0.35">
      <c r="A95" t="s">
        <v>735</v>
      </c>
      <c r="B95" t="s">
        <v>41</v>
      </c>
      <c r="C95">
        <f>VLOOKUP($B95,lowest_10!$B$5:$BH$270,59,0)</f>
        <v>0</v>
      </c>
      <c r="D95">
        <f>VLOOKUP($B95,lowest_20!$B$5:$BH$270,59,0)-C95</f>
        <v>0</v>
      </c>
      <c r="E95">
        <f>VLOOKUP($B95,second_20!$B$5:$BH$270,59,0)</f>
        <v>0</v>
      </c>
      <c r="F95">
        <f>VLOOKUP($B95,third_20!$B$5:$BH$270,59,0)</f>
        <v>0</v>
      </c>
      <c r="G95">
        <f>VLOOKUP($B95,fourth_20!$B$5:$BH$270,59,0)</f>
        <v>0</v>
      </c>
      <c r="H95">
        <f>VLOOKUP($B95,highest_20!$B$5:$BH$270,59,0)-I95</f>
        <v>0</v>
      </c>
      <c r="I95">
        <f>VLOOKUP($B95,highest_10!$B$5:$BH$270,59,0)</f>
        <v>0</v>
      </c>
      <c r="J95">
        <f>SUM($C95:C95)</f>
        <v>0</v>
      </c>
      <c r="K95">
        <f>SUM($C95:D95)</f>
        <v>0</v>
      </c>
      <c r="L95">
        <f>SUM($C95:E95)</f>
        <v>0</v>
      </c>
      <c r="M95">
        <f>SUM($C95:F95)</f>
        <v>0</v>
      </c>
      <c r="N95">
        <f>SUM($C95:G95)</f>
        <v>0</v>
      </c>
      <c r="O95">
        <f>SUM($C95:H95)</f>
        <v>0</v>
      </c>
      <c r="P95">
        <f>SUM($C95:I95)</f>
        <v>0</v>
      </c>
    </row>
    <row r="96" spans="1:16" x14ac:dyDescent="0.35">
      <c r="A96" t="s">
        <v>365</v>
      </c>
      <c r="B96" t="s">
        <v>533</v>
      </c>
      <c r="C96">
        <f>VLOOKUP($B96,lowest_10!$B$5:$BH$270,59,0)</f>
        <v>0</v>
      </c>
      <c r="D96">
        <f>VLOOKUP($B96,lowest_20!$B$5:$BH$270,59,0)-C96</f>
        <v>0</v>
      </c>
      <c r="E96">
        <f>VLOOKUP($B96,second_20!$B$5:$BH$270,59,0)</f>
        <v>0</v>
      </c>
      <c r="F96">
        <f>VLOOKUP($B96,third_20!$B$5:$BH$270,59,0)</f>
        <v>0</v>
      </c>
      <c r="G96">
        <f>VLOOKUP($B96,fourth_20!$B$5:$BH$270,59,0)</f>
        <v>0</v>
      </c>
      <c r="H96">
        <f>VLOOKUP($B96,highest_20!$B$5:$BH$270,59,0)-I96</f>
        <v>0</v>
      </c>
      <c r="I96">
        <f>VLOOKUP($B96,highest_10!$B$5:$BH$270,59,0)</f>
        <v>0</v>
      </c>
      <c r="J96">
        <f>SUM($C96:C96)</f>
        <v>0</v>
      </c>
      <c r="K96">
        <f>SUM($C96:D96)</f>
        <v>0</v>
      </c>
      <c r="L96">
        <f>SUM($C96:E96)</f>
        <v>0</v>
      </c>
      <c r="M96">
        <f>SUM($C96:F96)</f>
        <v>0</v>
      </c>
      <c r="N96">
        <f>SUM($C96:G96)</f>
        <v>0</v>
      </c>
      <c r="O96">
        <f>SUM($C96:H96)</f>
        <v>0</v>
      </c>
      <c r="P96">
        <f>SUM($C96:I96)</f>
        <v>0</v>
      </c>
    </row>
    <row r="97" spans="1:16" x14ac:dyDescent="0.35">
      <c r="A97" t="s">
        <v>353</v>
      </c>
      <c r="B97" t="s">
        <v>534</v>
      </c>
      <c r="C97">
        <f>VLOOKUP($B97,lowest_10!$B$5:$BH$270,59,0)</f>
        <v>0</v>
      </c>
      <c r="D97">
        <f>VLOOKUP($B97,lowest_20!$B$5:$BH$270,59,0)-C97</f>
        <v>0</v>
      </c>
      <c r="E97">
        <f>VLOOKUP($B97,second_20!$B$5:$BH$270,59,0)</f>
        <v>0</v>
      </c>
      <c r="F97">
        <f>VLOOKUP($B97,third_20!$B$5:$BH$270,59,0)</f>
        <v>0</v>
      </c>
      <c r="G97">
        <f>VLOOKUP($B97,fourth_20!$B$5:$BH$270,59,0)</f>
        <v>0</v>
      </c>
      <c r="H97">
        <f>VLOOKUP($B97,highest_20!$B$5:$BH$270,59,0)-I97</f>
        <v>0</v>
      </c>
      <c r="I97">
        <f>VLOOKUP($B97,highest_10!$B$5:$BH$270,59,0)</f>
        <v>0</v>
      </c>
      <c r="J97">
        <f>SUM($C97:C97)</f>
        <v>0</v>
      </c>
      <c r="K97">
        <f>SUM($C97:D97)</f>
        <v>0</v>
      </c>
      <c r="L97">
        <f>SUM($C97:E97)</f>
        <v>0</v>
      </c>
      <c r="M97">
        <f>SUM($C97:F97)</f>
        <v>0</v>
      </c>
      <c r="N97">
        <f>SUM($C97:G97)</f>
        <v>0</v>
      </c>
      <c r="O97">
        <f>SUM($C97:H97)</f>
        <v>0</v>
      </c>
      <c r="P97">
        <f>SUM($C97:I97)</f>
        <v>0</v>
      </c>
    </row>
    <row r="98" spans="1:16" x14ac:dyDescent="0.35">
      <c r="A98" t="s">
        <v>274</v>
      </c>
      <c r="B98" t="s">
        <v>342</v>
      </c>
      <c r="C98">
        <f>VLOOKUP($B98,lowest_10!$B$5:$BH$270,59,0)</f>
        <v>0</v>
      </c>
      <c r="D98">
        <f>VLOOKUP($B98,lowest_20!$B$5:$BH$270,59,0)-C98</f>
        <v>0</v>
      </c>
      <c r="E98">
        <f>VLOOKUP($B98,second_20!$B$5:$BH$270,59,0)</f>
        <v>0</v>
      </c>
      <c r="F98">
        <f>VLOOKUP($B98,third_20!$B$5:$BH$270,59,0)</f>
        <v>0</v>
      </c>
      <c r="G98">
        <f>VLOOKUP($B98,fourth_20!$B$5:$BH$270,59,0)</f>
        <v>0</v>
      </c>
      <c r="H98">
        <f>VLOOKUP($B98,highest_20!$B$5:$BH$270,59,0)-I98</f>
        <v>0</v>
      </c>
      <c r="I98">
        <f>VLOOKUP($B98,highest_10!$B$5:$BH$270,59,0)</f>
        <v>0</v>
      </c>
      <c r="J98">
        <f>SUM($C98:C98)</f>
        <v>0</v>
      </c>
      <c r="K98">
        <f>SUM($C98:D98)</f>
        <v>0</v>
      </c>
      <c r="L98">
        <f>SUM($C98:E98)</f>
        <v>0</v>
      </c>
      <c r="M98">
        <f>SUM($C98:F98)</f>
        <v>0</v>
      </c>
      <c r="N98">
        <f>SUM($C98:G98)</f>
        <v>0</v>
      </c>
      <c r="O98">
        <f>SUM($C98:H98)</f>
        <v>0</v>
      </c>
      <c r="P98">
        <f>SUM($C98:I98)</f>
        <v>0</v>
      </c>
    </row>
    <row r="99" spans="1:16" x14ac:dyDescent="0.35">
      <c r="A99" t="s">
        <v>552</v>
      </c>
      <c r="B99" t="s">
        <v>65</v>
      </c>
      <c r="C99">
        <f>VLOOKUP($B99,lowest_10!$B$5:$BH$270,59,0)</f>
        <v>1.3</v>
      </c>
      <c r="D99">
        <f>VLOOKUP($B99,lowest_20!$B$5:$BH$270,59,0)-C99</f>
        <v>2.4000000000000004</v>
      </c>
      <c r="E99">
        <f>VLOOKUP($B99,second_20!$B$5:$BH$270,59,0)</f>
        <v>7.9</v>
      </c>
      <c r="F99">
        <f>VLOOKUP($B99,third_20!$B$5:$BH$270,59,0)</f>
        <v>13.2</v>
      </c>
      <c r="G99">
        <f>VLOOKUP($B99,fourth_20!$B$5:$BH$270,59,0)</f>
        <v>21.5</v>
      </c>
      <c r="H99">
        <f>VLOOKUP($B99,highest_20!$B$5:$BH$270,59,0)-I99</f>
        <v>17.199999999999996</v>
      </c>
      <c r="I99">
        <f>VLOOKUP($B99,highest_10!$B$5:$BH$270,59,0)</f>
        <v>36.6</v>
      </c>
      <c r="J99">
        <f>SUM($C99:C99)</f>
        <v>1.3</v>
      </c>
      <c r="K99">
        <f>SUM($C99:D99)</f>
        <v>3.7</v>
      </c>
      <c r="L99">
        <f>SUM($C99:E99)</f>
        <v>11.600000000000001</v>
      </c>
      <c r="M99">
        <f>SUM($C99:F99)</f>
        <v>24.8</v>
      </c>
      <c r="N99">
        <f>SUM($C99:G99)</f>
        <v>46.3</v>
      </c>
      <c r="O99">
        <f>SUM($C99:H99)</f>
        <v>63.499999999999993</v>
      </c>
      <c r="P99">
        <f>SUM($C99:I99)</f>
        <v>100.1</v>
      </c>
    </row>
    <row r="100" spans="1:16" x14ac:dyDescent="0.35">
      <c r="A100" t="s">
        <v>684</v>
      </c>
      <c r="B100" t="s">
        <v>160</v>
      </c>
      <c r="C100">
        <f>VLOOKUP($B100,lowest_10!$B$5:$BH$270,59,0)</f>
        <v>0</v>
      </c>
      <c r="D100">
        <f>VLOOKUP($B100,lowest_20!$B$5:$BH$270,59,0)-C100</f>
        <v>0</v>
      </c>
      <c r="E100">
        <f>VLOOKUP($B100,second_20!$B$5:$BH$270,59,0)</f>
        <v>0</v>
      </c>
      <c r="F100">
        <f>VLOOKUP($B100,third_20!$B$5:$BH$270,59,0)</f>
        <v>0</v>
      </c>
      <c r="G100">
        <f>VLOOKUP($B100,fourth_20!$B$5:$BH$270,59,0)</f>
        <v>0</v>
      </c>
      <c r="H100">
        <f>VLOOKUP($B100,highest_20!$B$5:$BH$270,59,0)-I100</f>
        <v>0</v>
      </c>
      <c r="I100">
        <f>VLOOKUP($B100,highest_10!$B$5:$BH$270,59,0)</f>
        <v>0</v>
      </c>
      <c r="J100">
        <f>SUM($C100:C100)</f>
        <v>0</v>
      </c>
      <c r="K100">
        <f>SUM($C100:D100)</f>
        <v>0</v>
      </c>
      <c r="L100">
        <f>SUM($C100:E100)</f>
        <v>0</v>
      </c>
      <c r="M100">
        <f>SUM($C100:F100)</f>
        <v>0</v>
      </c>
      <c r="N100">
        <f>SUM($C100:G100)</f>
        <v>0</v>
      </c>
      <c r="O100">
        <f>SUM($C100:H100)</f>
        <v>0</v>
      </c>
      <c r="P100">
        <f>SUM($C100:I100)</f>
        <v>0</v>
      </c>
    </row>
    <row r="101" spans="1:16" x14ac:dyDescent="0.35">
      <c r="A101" t="s">
        <v>521</v>
      </c>
      <c r="B101" t="s">
        <v>625</v>
      </c>
      <c r="C101">
        <f>VLOOKUP($B101,lowest_10!$B$5:$BH$270,59,0)</f>
        <v>2.7</v>
      </c>
      <c r="D101">
        <f>VLOOKUP($B101,lowest_20!$B$5:$BH$270,59,0)-C101</f>
        <v>4.5999999999999996</v>
      </c>
      <c r="E101">
        <f>VLOOKUP($B101,second_20!$B$5:$BH$270,59,0)</f>
        <v>13.1</v>
      </c>
      <c r="F101">
        <f>VLOOKUP($B101,third_20!$B$5:$BH$270,59,0)</f>
        <v>17.8</v>
      </c>
      <c r="G101">
        <f>VLOOKUP($B101,fourth_20!$B$5:$BH$270,59,0)</f>
        <v>23.4</v>
      </c>
      <c r="H101">
        <f>VLOOKUP($B101,highest_20!$B$5:$BH$270,59,0)-I101</f>
        <v>15.2</v>
      </c>
      <c r="I101">
        <f>VLOOKUP($B101,highest_10!$B$5:$BH$270,59,0)</f>
        <v>23.2</v>
      </c>
      <c r="J101">
        <f>SUM($C101:C101)</f>
        <v>2.7</v>
      </c>
      <c r="K101">
        <f>SUM($C101:D101)</f>
        <v>7.3</v>
      </c>
      <c r="L101">
        <f>SUM($C101:E101)</f>
        <v>20.399999999999999</v>
      </c>
      <c r="M101">
        <f>SUM($C101:F101)</f>
        <v>38.200000000000003</v>
      </c>
      <c r="N101">
        <f>SUM($C101:G101)</f>
        <v>61.6</v>
      </c>
      <c r="O101">
        <f>SUM($C101:H101)</f>
        <v>76.8</v>
      </c>
      <c r="P101">
        <f>SUM($C101:I101)</f>
        <v>100</v>
      </c>
    </row>
    <row r="102" spans="1:16" x14ac:dyDescent="0.35">
      <c r="A102" t="s">
        <v>5</v>
      </c>
      <c r="B102" t="s">
        <v>93</v>
      </c>
      <c r="C102">
        <f>VLOOKUP($B102,lowest_10!$B$5:$BH$270,59,0)</f>
        <v>0</v>
      </c>
      <c r="D102">
        <f>VLOOKUP($B102,lowest_20!$B$5:$BH$270,59,0)-C102</f>
        <v>0</v>
      </c>
      <c r="E102">
        <f>VLOOKUP($B102,second_20!$B$5:$BH$270,59,0)</f>
        <v>0</v>
      </c>
      <c r="F102">
        <f>VLOOKUP($B102,third_20!$B$5:$BH$270,59,0)</f>
        <v>0</v>
      </c>
      <c r="G102">
        <f>VLOOKUP($B102,fourth_20!$B$5:$BH$270,59,0)</f>
        <v>0</v>
      </c>
      <c r="H102">
        <f>VLOOKUP($B102,highest_20!$B$5:$BH$270,59,0)-I102</f>
        <v>0</v>
      </c>
      <c r="I102">
        <f>VLOOKUP($B102,highest_10!$B$5:$BH$270,59,0)</f>
        <v>0</v>
      </c>
      <c r="J102">
        <f>SUM($C102:C102)</f>
        <v>0</v>
      </c>
      <c r="K102">
        <f>SUM($C102:D102)</f>
        <v>0</v>
      </c>
      <c r="L102">
        <f>SUM($C102:E102)</f>
        <v>0</v>
      </c>
      <c r="M102">
        <f>SUM($C102:F102)</f>
        <v>0</v>
      </c>
      <c r="N102">
        <f>SUM($C102:G102)</f>
        <v>0</v>
      </c>
      <c r="O102">
        <f>SUM($C102:H102)</f>
        <v>0</v>
      </c>
      <c r="P102">
        <f>SUM($C102:I102)</f>
        <v>0</v>
      </c>
    </row>
    <row r="103" spans="1:16" x14ac:dyDescent="0.35">
      <c r="A103" t="s">
        <v>53</v>
      </c>
      <c r="B103" t="s">
        <v>637</v>
      </c>
      <c r="C103">
        <f>VLOOKUP($B103,lowest_10!$B$5:$BH$270,59,0)</f>
        <v>3</v>
      </c>
      <c r="D103">
        <f>VLOOKUP($B103,lowest_20!$B$5:$BH$270,59,0)-C103</f>
        <v>4.8</v>
      </c>
      <c r="E103">
        <f>VLOOKUP($B103,second_20!$B$5:$BH$270,59,0)</f>
        <v>13.3</v>
      </c>
      <c r="F103">
        <f>VLOOKUP($B103,third_20!$B$5:$BH$270,59,0)</f>
        <v>17.600000000000001</v>
      </c>
      <c r="G103">
        <f>VLOOKUP($B103,fourth_20!$B$5:$BH$270,59,0)</f>
        <v>22.9</v>
      </c>
      <c r="H103">
        <f>VLOOKUP($B103,highest_20!$B$5:$BH$270,59,0)-I103</f>
        <v>14.599999999999998</v>
      </c>
      <c r="I103">
        <f>VLOOKUP($B103,highest_10!$B$5:$BH$270,59,0)</f>
        <v>23.8</v>
      </c>
      <c r="J103">
        <f>SUM($C103:C103)</f>
        <v>3</v>
      </c>
      <c r="K103">
        <f>SUM($C103:D103)</f>
        <v>7.8</v>
      </c>
      <c r="L103">
        <f>SUM($C103:E103)</f>
        <v>21.1</v>
      </c>
      <c r="M103">
        <f>SUM($C103:F103)</f>
        <v>38.700000000000003</v>
      </c>
      <c r="N103">
        <f>SUM($C103:G103)</f>
        <v>61.6</v>
      </c>
      <c r="O103">
        <f>SUM($C103:H103)</f>
        <v>76.2</v>
      </c>
      <c r="P103">
        <f>SUM($C103:I103)</f>
        <v>100</v>
      </c>
    </row>
    <row r="104" spans="1:16" x14ac:dyDescent="0.35">
      <c r="A104" t="s">
        <v>716</v>
      </c>
      <c r="B104" t="s">
        <v>145</v>
      </c>
      <c r="C104">
        <f>VLOOKUP($B104,lowest_10!$B$5:$BH$270,59,0)</f>
        <v>0</v>
      </c>
      <c r="D104">
        <f>VLOOKUP($B104,lowest_20!$B$5:$BH$270,59,0)-C104</f>
        <v>0</v>
      </c>
      <c r="E104">
        <f>VLOOKUP($B104,second_20!$B$5:$BH$270,59,0)</f>
        <v>0</v>
      </c>
      <c r="F104">
        <f>VLOOKUP($B104,third_20!$B$5:$BH$270,59,0)</f>
        <v>0</v>
      </c>
      <c r="G104">
        <f>VLOOKUP($B104,fourth_20!$B$5:$BH$270,59,0)</f>
        <v>0</v>
      </c>
      <c r="H104">
        <f>VLOOKUP($B104,highest_20!$B$5:$BH$270,59,0)-I104</f>
        <v>0</v>
      </c>
      <c r="I104">
        <f>VLOOKUP($B104,highest_10!$B$5:$BH$270,59,0)</f>
        <v>0</v>
      </c>
      <c r="J104">
        <f>SUM($C104:C104)</f>
        <v>0</v>
      </c>
      <c r="K104">
        <f>SUM($C104:D104)</f>
        <v>0</v>
      </c>
      <c r="L104">
        <f>SUM($C104:E104)</f>
        <v>0</v>
      </c>
      <c r="M104">
        <f>SUM($C104:F104)</f>
        <v>0</v>
      </c>
      <c r="N104">
        <f>SUM($C104:G104)</f>
        <v>0</v>
      </c>
      <c r="O104">
        <f>SUM($C104:H104)</f>
        <v>0</v>
      </c>
      <c r="P104">
        <f>SUM($C104:I104)</f>
        <v>0</v>
      </c>
    </row>
    <row r="105" spans="1:16" x14ac:dyDescent="0.35">
      <c r="A105" t="s">
        <v>80</v>
      </c>
      <c r="B105" t="s">
        <v>278</v>
      </c>
      <c r="C105">
        <f>VLOOKUP($B105,lowest_10!$B$5:$BH$270,59,0)</f>
        <v>0</v>
      </c>
      <c r="D105">
        <f>VLOOKUP($B105,lowest_20!$B$5:$BH$270,59,0)-C105</f>
        <v>0</v>
      </c>
      <c r="E105">
        <f>VLOOKUP($B105,second_20!$B$5:$BH$270,59,0)</f>
        <v>0</v>
      </c>
      <c r="F105">
        <f>VLOOKUP($B105,third_20!$B$5:$BH$270,59,0)</f>
        <v>0</v>
      </c>
      <c r="G105">
        <f>VLOOKUP($B105,fourth_20!$B$5:$BH$270,59,0)</f>
        <v>0</v>
      </c>
      <c r="H105">
        <f>VLOOKUP($B105,highest_20!$B$5:$BH$270,59,0)-I105</f>
        <v>0</v>
      </c>
      <c r="I105">
        <f>VLOOKUP($B105,highest_10!$B$5:$BH$270,59,0)</f>
        <v>0</v>
      </c>
      <c r="J105">
        <f>SUM($C105:C105)</f>
        <v>0</v>
      </c>
      <c r="K105">
        <f>SUM($C105:D105)</f>
        <v>0</v>
      </c>
      <c r="L105">
        <f>SUM($C105:E105)</f>
        <v>0</v>
      </c>
      <c r="M105">
        <f>SUM($C105:F105)</f>
        <v>0</v>
      </c>
      <c r="N105">
        <f>SUM($C105:G105)</f>
        <v>0</v>
      </c>
      <c r="O105">
        <f>SUM($C105:H105)</f>
        <v>0</v>
      </c>
      <c r="P105">
        <f>SUM($C105:I105)</f>
        <v>0</v>
      </c>
    </row>
    <row r="106" spans="1:16" x14ac:dyDescent="0.35">
      <c r="A106" t="s">
        <v>737</v>
      </c>
      <c r="B106" t="s">
        <v>549</v>
      </c>
      <c r="C106">
        <f>VLOOKUP($B106,lowest_10!$B$5:$BH$270,59,0)</f>
        <v>0</v>
      </c>
      <c r="D106">
        <f>VLOOKUP($B106,lowest_20!$B$5:$BH$270,59,0)-C106</f>
        <v>0</v>
      </c>
      <c r="E106">
        <f>VLOOKUP($B106,second_20!$B$5:$BH$270,59,0)</f>
        <v>0</v>
      </c>
      <c r="F106">
        <f>VLOOKUP($B106,third_20!$B$5:$BH$270,59,0)</f>
        <v>0</v>
      </c>
      <c r="G106">
        <f>VLOOKUP($B106,fourth_20!$B$5:$BH$270,59,0)</f>
        <v>0</v>
      </c>
      <c r="H106">
        <f>VLOOKUP($B106,highest_20!$B$5:$BH$270,59,0)-I106</f>
        <v>0</v>
      </c>
      <c r="I106">
        <f>VLOOKUP($B106,highest_10!$B$5:$BH$270,59,0)</f>
        <v>0</v>
      </c>
      <c r="J106">
        <f>SUM($C106:C106)</f>
        <v>0</v>
      </c>
      <c r="K106">
        <f>SUM($C106:D106)</f>
        <v>0</v>
      </c>
      <c r="L106">
        <f>SUM($C106:E106)</f>
        <v>0</v>
      </c>
      <c r="M106">
        <f>SUM($C106:F106)</f>
        <v>0</v>
      </c>
      <c r="N106">
        <f>SUM($C106:G106)</f>
        <v>0</v>
      </c>
      <c r="O106">
        <f>SUM($C106:H106)</f>
        <v>0</v>
      </c>
      <c r="P106">
        <f>SUM($C106:I106)</f>
        <v>0</v>
      </c>
    </row>
    <row r="107" spans="1:16" x14ac:dyDescent="0.35">
      <c r="A107" t="s">
        <v>503</v>
      </c>
      <c r="B107" t="s">
        <v>1</v>
      </c>
      <c r="C107">
        <f>VLOOKUP($B107,lowest_10!$B$5:$BH$270,59,0)</f>
        <v>0</v>
      </c>
      <c r="D107">
        <f>VLOOKUP($B107,lowest_20!$B$5:$BH$270,59,0)-C107</f>
        <v>0</v>
      </c>
      <c r="E107">
        <f>VLOOKUP($B107,second_20!$B$5:$BH$270,59,0)</f>
        <v>0</v>
      </c>
      <c r="F107">
        <f>VLOOKUP($B107,third_20!$B$5:$BH$270,59,0)</f>
        <v>0</v>
      </c>
      <c r="G107">
        <f>VLOOKUP($B107,fourth_20!$B$5:$BH$270,59,0)</f>
        <v>0</v>
      </c>
      <c r="H107">
        <f>VLOOKUP($B107,highest_20!$B$5:$BH$270,59,0)-I107</f>
        <v>0</v>
      </c>
      <c r="I107">
        <f>VLOOKUP($B107,highest_10!$B$5:$BH$270,59,0)</f>
        <v>0</v>
      </c>
      <c r="J107">
        <f>SUM($C107:C107)</f>
        <v>0</v>
      </c>
      <c r="K107">
        <f>SUM($C107:D107)</f>
        <v>0</v>
      </c>
      <c r="L107">
        <f>SUM($C107:E107)</f>
        <v>0</v>
      </c>
      <c r="M107">
        <f>SUM($C107:F107)</f>
        <v>0</v>
      </c>
      <c r="N107">
        <f>SUM($C107:G107)</f>
        <v>0</v>
      </c>
      <c r="O107">
        <f>SUM($C107:H107)</f>
        <v>0</v>
      </c>
      <c r="P107">
        <f>SUM($C107:I107)</f>
        <v>0</v>
      </c>
    </row>
    <row r="108" spans="1:16" x14ac:dyDescent="0.35">
      <c r="A108" t="s">
        <v>472</v>
      </c>
      <c r="B108" t="s">
        <v>479</v>
      </c>
      <c r="C108">
        <f>VLOOKUP($B108,lowest_10!$B$5:$BH$270,59,0)</f>
        <v>3.1</v>
      </c>
      <c r="D108">
        <f>VLOOKUP($B108,lowest_20!$B$5:$BH$270,59,0)-C108</f>
        <v>4.3000000000000007</v>
      </c>
      <c r="E108">
        <f>VLOOKUP($B108,second_20!$B$5:$BH$270,59,0)</f>
        <v>11</v>
      </c>
      <c r="F108">
        <f>VLOOKUP($B108,third_20!$B$5:$BH$270,59,0)</f>
        <v>14.8</v>
      </c>
      <c r="G108">
        <f>VLOOKUP($B108,fourth_20!$B$5:$BH$270,59,0)</f>
        <v>20.5</v>
      </c>
      <c r="H108">
        <f>VLOOKUP($B108,highest_20!$B$5:$BH$270,59,0)-I108</f>
        <v>14.799999999999997</v>
      </c>
      <c r="I108">
        <f>VLOOKUP($B108,highest_10!$B$5:$BH$270,59,0)</f>
        <v>31.5</v>
      </c>
      <c r="J108">
        <f>SUM($C108:C108)</f>
        <v>3.1</v>
      </c>
      <c r="K108">
        <f>SUM($C108:D108)</f>
        <v>7.4</v>
      </c>
      <c r="L108">
        <f>SUM($C108:E108)</f>
        <v>18.399999999999999</v>
      </c>
      <c r="M108">
        <f>SUM($C108:F108)</f>
        <v>33.200000000000003</v>
      </c>
      <c r="N108">
        <f>SUM($C108:G108)</f>
        <v>53.7</v>
      </c>
      <c r="O108">
        <f>SUM($C108:H108)</f>
        <v>68.5</v>
      </c>
      <c r="P108">
        <f>SUM($C108:I108)</f>
        <v>100</v>
      </c>
    </row>
    <row r="109" spans="1:16" x14ac:dyDescent="0.35">
      <c r="A109" t="s">
        <v>731</v>
      </c>
      <c r="B109" t="s">
        <v>675</v>
      </c>
      <c r="C109">
        <f>VLOOKUP($B109,lowest_10!$B$5:$BH$270,59,0)</f>
        <v>0</v>
      </c>
      <c r="D109">
        <f>VLOOKUP($B109,lowest_20!$B$5:$BH$270,59,0)-C109</f>
        <v>0</v>
      </c>
      <c r="E109">
        <f>VLOOKUP($B109,second_20!$B$5:$BH$270,59,0)</f>
        <v>0</v>
      </c>
      <c r="F109">
        <f>VLOOKUP($B109,third_20!$B$5:$BH$270,59,0)</f>
        <v>0</v>
      </c>
      <c r="G109">
        <f>VLOOKUP($B109,fourth_20!$B$5:$BH$270,59,0)</f>
        <v>0</v>
      </c>
      <c r="H109">
        <f>VLOOKUP($B109,highest_20!$B$5:$BH$270,59,0)-I109</f>
        <v>0</v>
      </c>
      <c r="I109">
        <f>VLOOKUP($B109,highest_10!$B$5:$BH$270,59,0)</f>
        <v>0</v>
      </c>
      <c r="J109">
        <f>SUM($C109:C109)</f>
        <v>0</v>
      </c>
      <c r="K109">
        <f>SUM($C109:D109)</f>
        <v>0</v>
      </c>
      <c r="L109">
        <f>SUM($C109:E109)</f>
        <v>0</v>
      </c>
      <c r="M109">
        <f>SUM($C109:F109)</f>
        <v>0</v>
      </c>
      <c r="N109">
        <f>SUM($C109:G109)</f>
        <v>0</v>
      </c>
      <c r="O109">
        <f>SUM($C109:H109)</f>
        <v>0</v>
      </c>
      <c r="P109">
        <f>SUM($C109:I109)</f>
        <v>0</v>
      </c>
    </row>
    <row r="110" spans="1:16" x14ac:dyDescent="0.35">
      <c r="A110" t="s">
        <v>303</v>
      </c>
      <c r="B110" t="s">
        <v>117</v>
      </c>
      <c r="C110">
        <f>VLOOKUP($B110,lowest_10!$B$5:$BH$270,59,0)</f>
        <v>0</v>
      </c>
      <c r="D110">
        <f>VLOOKUP($B110,lowest_20!$B$5:$BH$270,59,0)-C110</f>
        <v>0</v>
      </c>
      <c r="E110">
        <f>VLOOKUP($B110,second_20!$B$5:$BH$270,59,0)</f>
        <v>0</v>
      </c>
      <c r="F110">
        <f>VLOOKUP($B110,third_20!$B$5:$BH$270,59,0)</f>
        <v>0</v>
      </c>
      <c r="G110">
        <f>VLOOKUP($B110,fourth_20!$B$5:$BH$270,59,0)</f>
        <v>0</v>
      </c>
      <c r="H110">
        <f>VLOOKUP($B110,highest_20!$B$5:$BH$270,59,0)-I110</f>
        <v>0</v>
      </c>
      <c r="I110">
        <f>VLOOKUP($B110,highest_10!$B$5:$BH$270,59,0)</f>
        <v>0</v>
      </c>
      <c r="J110">
        <f>SUM($C110:C110)</f>
        <v>0</v>
      </c>
      <c r="K110">
        <f>SUM($C110:D110)</f>
        <v>0</v>
      </c>
      <c r="L110">
        <f>SUM($C110:E110)</f>
        <v>0</v>
      </c>
      <c r="M110">
        <f>SUM($C110:F110)</f>
        <v>0</v>
      </c>
      <c r="N110">
        <f>SUM($C110:G110)</f>
        <v>0</v>
      </c>
      <c r="O110">
        <f>SUM($C110:H110)</f>
        <v>0</v>
      </c>
      <c r="P110">
        <f>SUM($C110:I110)</f>
        <v>0</v>
      </c>
    </row>
    <row r="111" spans="1:16" x14ac:dyDescent="0.35">
      <c r="A111" t="s">
        <v>208</v>
      </c>
      <c r="B111" t="s">
        <v>596</v>
      </c>
      <c r="C111">
        <f>VLOOKUP($B111,lowest_10!$B$5:$BH$270,59,0)</f>
        <v>0</v>
      </c>
      <c r="D111">
        <f>VLOOKUP($B111,lowest_20!$B$5:$BH$270,59,0)-C111</f>
        <v>0</v>
      </c>
      <c r="E111">
        <f>VLOOKUP($B111,second_20!$B$5:$BH$270,59,0)</f>
        <v>0</v>
      </c>
      <c r="F111">
        <f>VLOOKUP($B111,third_20!$B$5:$BH$270,59,0)</f>
        <v>0</v>
      </c>
      <c r="G111">
        <f>VLOOKUP($B111,fourth_20!$B$5:$BH$270,59,0)</f>
        <v>0</v>
      </c>
      <c r="H111">
        <f>VLOOKUP($B111,highest_20!$B$5:$BH$270,59,0)-I111</f>
        <v>0</v>
      </c>
      <c r="I111">
        <f>VLOOKUP($B111,highest_10!$B$5:$BH$270,59,0)</f>
        <v>0</v>
      </c>
      <c r="J111">
        <f>SUM($C111:C111)</f>
        <v>0</v>
      </c>
      <c r="K111">
        <f>SUM($C111:D111)</f>
        <v>0</v>
      </c>
      <c r="L111">
        <f>SUM($C111:E111)</f>
        <v>0</v>
      </c>
      <c r="M111">
        <f>SUM($C111:F111)</f>
        <v>0</v>
      </c>
      <c r="N111">
        <f>SUM($C111:G111)</f>
        <v>0</v>
      </c>
      <c r="O111">
        <f>SUM($C111:H111)</f>
        <v>0</v>
      </c>
      <c r="P111">
        <f>SUM($C111:I111)</f>
        <v>0</v>
      </c>
    </row>
    <row r="112" spans="1:16" x14ac:dyDescent="0.35">
      <c r="A112" t="s">
        <v>520</v>
      </c>
      <c r="B112" t="s">
        <v>376</v>
      </c>
      <c r="C112">
        <f>VLOOKUP($B112,lowest_10!$B$5:$BH$270,59,0)</f>
        <v>0</v>
      </c>
      <c r="D112">
        <f>VLOOKUP($B112,lowest_20!$B$5:$BH$270,59,0)-C112</f>
        <v>0</v>
      </c>
      <c r="E112">
        <f>VLOOKUP($B112,second_20!$B$5:$BH$270,59,0)</f>
        <v>0</v>
      </c>
      <c r="F112">
        <f>VLOOKUP($B112,third_20!$B$5:$BH$270,59,0)</f>
        <v>0</v>
      </c>
      <c r="G112">
        <f>VLOOKUP($B112,fourth_20!$B$5:$BH$270,59,0)</f>
        <v>0</v>
      </c>
      <c r="H112">
        <f>VLOOKUP($B112,highest_20!$B$5:$BH$270,59,0)-I112</f>
        <v>0</v>
      </c>
      <c r="I112">
        <f>VLOOKUP($B112,highest_10!$B$5:$BH$270,59,0)</f>
        <v>0</v>
      </c>
      <c r="J112">
        <f>SUM($C112:C112)</f>
        <v>0</v>
      </c>
      <c r="K112">
        <f>SUM($C112:D112)</f>
        <v>0</v>
      </c>
      <c r="L112">
        <f>SUM($C112:E112)</f>
        <v>0</v>
      </c>
      <c r="M112">
        <f>SUM($C112:F112)</f>
        <v>0</v>
      </c>
      <c r="N112">
        <f>SUM($C112:G112)</f>
        <v>0</v>
      </c>
      <c r="O112">
        <f>SUM($C112:H112)</f>
        <v>0</v>
      </c>
      <c r="P112">
        <f>SUM($C112:I112)</f>
        <v>0</v>
      </c>
    </row>
    <row r="113" spans="1:16" x14ac:dyDescent="0.35">
      <c r="A113" t="s">
        <v>106</v>
      </c>
      <c r="B113" t="s">
        <v>58</v>
      </c>
      <c r="C113">
        <f>VLOOKUP($B113,lowest_10!$B$5:$BH$270,59,0)</f>
        <v>3.1</v>
      </c>
      <c r="D113">
        <f>VLOOKUP($B113,lowest_20!$B$5:$BH$270,59,0)-C113</f>
        <v>4.9000000000000004</v>
      </c>
      <c r="E113">
        <f>VLOOKUP($B113,second_20!$B$5:$BH$270,59,0)</f>
        <v>12.9</v>
      </c>
      <c r="F113">
        <f>VLOOKUP($B113,third_20!$B$5:$BH$270,59,0)</f>
        <v>16.899999999999999</v>
      </c>
      <c r="G113">
        <f>VLOOKUP($B113,fourth_20!$B$5:$BH$270,59,0)</f>
        <v>22.1</v>
      </c>
      <c r="H113">
        <f>VLOOKUP($B113,highest_20!$B$5:$BH$270,59,0)-I113</f>
        <v>14.800000000000004</v>
      </c>
      <c r="I113">
        <f>VLOOKUP($B113,highest_10!$B$5:$BH$270,59,0)</f>
        <v>25.4</v>
      </c>
      <c r="J113">
        <f>SUM($C113:C113)</f>
        <v>3.1</v>
      </c>
      <c r="K113">
        <f>SUM($C113:D113)</f>
        <v>8</v>
      </c>
      <c r="L113">
        <f>SUM($C113:E113)</f>
        <v>20.9</v>
      </c>
      <c r="M113">
        <f>SUM($C113:F113)</f>
        <v>37.799999999999997</v>
      </c>
      <c r="N113">
        <f>SUM($C113:G113)</f>
        <v>59.9</v>
      </c>
      <c r="O113">
        <f>SUM($C113:H113)</f>
        <v>74.7</v>
      </c>
      <c r="P113">
        <f>SUM($C113:I113)</f>
        <v>100.1</v>
      </c>
    </row>
    <row r="114" spans="1:16" x14ac:dyDescent="0.35">
      <c r="A114" t="s">
        <v>420</v>
      </c>
      <c r="B114" t="s">
        <v>182</v>
      </c>
      <c r="C114">
        <f>VLOOKUP($B114,lowest_10!$B$5:$BH$270,59,0)</f>
        <v>2.9</v>
      </c>
      <c r="D114">
        <f>VLOOKUP($B114,lowest_20!$B$5:$BH$270,59,0)-C114</f>
        <v>4.3000000000000007</v>
      </c>
      <c r="E114">
        <f>VLOOKUP($B114,second_20!$B$5:$BH$270,59,0)</f>
        <v>11.8</v>
      </c>
      <c r="F114">
        <f>VLOOKUP($B114,third_20!$B$5:$BH$270,59,0)</f>
        <v>16</v>
      </c>
      <c r="G114">
        <f>VLOOKUP($B114,fourth_20!$B$5:$BH$270,59,0)</f>
        <v>22</v>
      </c>
      <c r="H114">
        <f>VLOOKUP($B114,highest_20!$B$5:$BH$270,59,0)-I114</f>
        <v>15.299999999999997</v>
      </c>
      <c r="I114">
        <f>VLOOKUP($B114,highest_10!$B$5:$BH$270,59,0)</f>
        <v>27.6</v>
      </c>
      <c r="J114">
        <f>SUM($C114:C114)</f>
        <v>2.9</v>
      </c>
      <c r="K114">
        <f>SUM($C114:D114)</f>
        <v>7.2000000000000011</v>
      </c>
      <c r="L114">
        <f>SUM($C114:E114)</f>
        <v>19</v>
      </c>
      <c r="M114">
        <f>SUM($C114:F114)</f>
        <v>35</v>
      </c>
      <c r="N114">
        <f>SUM($C114:G114)</f>
        <v>57</v>
      </c>
      <c r="O114">
        <f>SUM($C114:H114)</f>
        <v>72.3</v>
      </c>
      <c r="P114">
        <f>SUM($C114:I114)</f>
        <v>99.9</v>
      </c>
    </row>
    <row r="115" spans="1:16" x14ac:dyDescent="0.35">
      <c r="A115" t="s">
        <v>0</v>
      </c>
      <c r="B115" t="s">
        <v>539</v>
      </c>
      <c r="C115">
        <f>VLOOKUP($B115,lowest_10!$B$5:$BH$270,59,0)</f>
        <v>0</v>
      </c>
      <c r="D115">
        <f>VLOOKUP($B115,lowest_20!$B$5:$BH$270,59,0)-C115</f>
        <v>0</v>
      </c>
      <c r="E115">
        <f>VLOOKUP($B115,second_20!$B$5:$BH$270,59,0)</f>
        <v>0</v>
      </c>
      <c r="F115">
        <f>VLOOKUP($B115,third_20!$B$5:$BH$270,59,0)</f>
        <v>0</v>
      </c>
      <c r="G115">
        <f>VLOOKUP($B115,fourth_20!$B$5:$BH$270,59,0)</f>
        <v>0</v>
      </c>
      <c r="H115">
        <f>VLOOKUP($B115,highest_20!$B$5:$BH$270,59,0)-I115</f>
        <v>0</v>
      </c>
      <c r="I115">
        <f>VLOOKUP($B115,highest_10!$B$5:$BH$270,59,0)</f>
        <v>0</v>
      </c>
      <c r="J115">
        <f>SUM($C115:C115)</f>
        <v>0</v>
      </c>
      <c r="K115">
        <f>SUM($C115:D115)</f>
        <v>0</v>
      </c>
      <c r="L115">
        <f>SUM($C115:E115)</f>
        <v>0</v>
      </c>
      <c r="M115">
        <f>SUM($C115:F115)</f>
        <v>0</v>
      </c>
      <c r="N115">
        <f>SUM($C115:G115)</f>
        <v>0</v>
      </c>
      <c r="O115">
        <f>SUM($C115:H115)</f>
        <v>0</v>
      </c>
      <c r="P115">
        <f>SUM($C115:I115)</f>
        <v>0</v>
      </c>
    </row>
    <row r="116" spans="1:16" x14ac:dyDescent="0.35">
      <c r="A116" t="s">
        <v>29</v>
      </c>
      <c r="B116" t="s">
        <v>146</v>
      </c>
      <c r="C116">
        <f>VLOOKUP($B116,lowest_10!$B$5:$BH$270,59,0)</f>
        <v>3.9</v>
      </c>
      <c r="D116">
        <f>VLOOKUP($B116,lowest_20!$B$5:$BH$270,59,0)-C116</f>
        <v>5.6</v>
      </c>
      <c r="E116">
        <f>VLOOKUP($B116,second_20!$B$5:$BH$270,59,0)</f>
        <v>14.2</v>
      </c>
      <c r="F116">
        <f>VLOOKUP($B116,third_20!$B$5:$BH$270,59,0)</f>
        <v>17.7</v>
      </c>
      <c r="G116">
        <f>VLOOKUP($B116,fourth_20!$B$5:$BH$270,59,0)</f>
        <v>22.2</v>
      </c>
      <c r="H116">
        <f>VLOOKUP($B116,highest_20!$B$5:$BH$270,59,0)-I116</f>
        <v>13.899999999999999</v>
      </c>
      <c r="I116">
        <f>VLOOKUP($B116,highest_10!$B$5:$BH$270,59,0)</f>
        <v>22.5</v>
      </c>
      <c r="J116">
        <f>SUM($C116:C116)</f>
        <v>3.9</v>
      </c>
      <c r="K116">
        <f>SUM($C116:D116)</f>
        <v>9.5</v>
      </c>
      <c r="L116">
        <f>SUM($C116:E116)</f>
        <v>23.7</v>
      </c>
      <c r="M116">
        <f>SUM($C116:F116)</f>
        <v>41.4</v>
      </c>
      <c r="N116">
        <f>SUM($C116:G116)</f>
        <v>63.599999999999994</v>
      </c>
      <c r="O116">
        <f>SUM($C116:H116)</f>
        <v>77.5</v>
      </c>
      <c r="P116">
        <f>SUM($C116:I116)</f>
        <v>100</v>
      </c>
    </row>
    <row r="117" spans="1:16" x14ac:dyDescent="0.35">
      <c r="A117" t="s">
        <v>486</v>
      </c>
      <c r="B117" t="s">
        <v>671</v>
      </c>
      <c r="C117">
        <f>VLOOKUP($B117,lowest_10!$B$5:$BH$270,59,0)</f>
        <v>1.8</v>
      </c>
      <c r="D117">
        <f>VLOOKUP($B117,lowest_20!$B$5:$BH$270,59,0)-C117</f>
        <v>3.3</v>
      </c>
      <c r="E117">
        <f>VLOOKUP($B117,second_20!$B$5:$BH$270,59,0)</f>
        <v>10.7</v>
      </c>
      <c r="F117">
        <f>VLOOKUP($B117,third_20!$B$5:$BH$270,59,0)</f>
        <v>16.3</v>
      </c>
      <c r="G117">
        <f>VLOOKUP($B117,fourth_20!$B$5:$BH$270,59,0)</f>
        <v>23.5</v>
      </c>
      <c r="H117">
        <f>VLOOKUP($B117,highest_20!$B$5:$BH$270,59,0)-I117</f>
        <v>16.399999999999999</v>
      </c>
      <c r="I117">
        <f>VLOOKUP($B117,highest_10!$B$5:$BH$270,59,0)</f>
        <v>28.1</v>
      </c>
      <c r="J117">
        <f>SUM($C117:C117)</f>
        <v>1.8</v>
      </c>
      <c r="K117">
        <f>SUM($C117:D117)</f>
        <v>5.0999999999999996</v>
      </c>
      <c r="L117">
        <f>SUM($C117:E117)</f>
        <v>15.799999999999999</v>
      </c>
      <c r="M117">
        <f>SUM($C117:F117)</f>
        <v>32.1</v>
      </c>
      <c r="N117">
        <f>SUM($C117:G117)</f>
        <v>55.6</v>
      </c>
      <c r="O117">
        <f>SUM($C117:H117)</f>
        <v>72</v>
      </c>
      <c r="P117">
        <f>SUM($C117:I117)</f>
        <v>100.1</v>
      </c>
    </row>
    <row r="118" spans="1:16" x14ac:dyDescent="0.35">
      <c r="A118" t="s">
        <v>175</v>
      </c>
      <c r="B118" t="s">
        <v>565</v>
      </c>
      <c r="C118">
        <f>VLOOKUP($B118,lowest_10!$B$5:$BH$270,59,0)</f>
        <v>1.8</v>
      </c>
      <c r="D118">
        <f>VLOOKUP($B118,lowest_20!$B$5:$BH$270,59,0)-C118</f>
        <v>4.1000000000000005</v>
      </c>
      <c r="E118">
        <f>VLOOKUP($B118,second_20!$B$5:$BH$270,59,0)</f>
        <v>12.1</v>
      </c>
      <c r="F118">
        <f>VLOOKUP($B118,third_20!$B$5:$BH$270,59,0)</f>
        <v>17.2</v>
      </c>
      <c r="G118">
        <f>VLOOKUP($B118,fourth_20!$B$5:$BH$270,59,0)</f>
        <v>23.4</v>
      </c>
      <c r="H118">
        <f>VLOOKUP($B118,highest_20!$B$5:$BH$270,59,0)-I118</f>
        <v>15.599999999999998</v>
      </c>
      <c r="I118">
        <f>VLOOKUP($B118,highest_10!$B$5:$BH$270,59,0)</f>
        <v>25.8</v>
      </c>
      <c r="J118">
        <f>SUM($C118:C118)</f>
        <v>1.8</v>
      </c>
      <c r="K118">
        <f>SUM($C118:D118)</f>
        <v>5.9</v>
      </c>
      <c r="L118">
        <f>SUM($C118:E118)</f>
        <v>18</v>
      </c>
      <c r="M118">
        <f>SUM($C118:F118)</f>
        <v>35.200000000000003</v>
      </c>
      <c r="N118">
        <f>SUM($C118:G118)</f>
        <v>58.6</v>
      </c>
      <c r="O118">
        <f>SUM($C118:H118)</f>
        <v>74.2</v>
      </c>
      <c r="P118">
        <f>SUM($C118:I118)</f>
        <v>100</v>
      </c>
    </row>
    <row r="119" spans="1:16" x14ac:dyDescent="0.35">
      <c r="A119" t="s">
        <v>127</v>
      </c>
      <c r="B119" t="s">
        <v>702</v>
      </c>
      <c r="C119">
        <f>VLOOKUP($B119,lowest_10!$B$5:$BH$270,59,0)</f>
        <v>0</v>
      </c>
      <c r="D119">
        <f>VLOOKUP($B119,lowest_20!$B$5:$BH$270,59,0)-C119</f>
        <v>0</v>
      </c>
      <c r="E119">
        <f>VLOOKUP($B119,second_20!$B$5:$BH$270,59,0)</f>
        <v>0</v>
      </c>
      <c r="F119">
        <f>VLOOKUP($B119,third_20!$B$5:$BH$270,59,0)</f>
        <v>0</v>
      </c>
      <c r="G119">
        <f>VLOOKUP($B119,fourth_20!$B$5:$BH$270,59,0)</f>
        <v>0</v>
      </c>
      <c r="H119">
        <f>VLOOKUP($B119,highest_20!$B$5:$BH$270,59,0)-I119</f>
        <v>0</v>
      </c>
      <c r="I119">
        <f>VLOOKUP($B119,highest_10!$B$5:$BH$270,59,0)</f>
        <v>0</v>
      </c>
      <c r="J119">
        <f>SUM($C119:C119)</f>
        <v>0</v>
      </c>
      <c r="K119">
        <f>SUM($C119:D119)</f>
        <v>0</v>
      </c>
      <c r="L119">
        <f>SUM($C119:E119)</f>
        <v>0</v>
      </c>
      <c r="M119">
        <f>SUM($C119:F119)</f>
        <v>0</v>
      </c>
      <c r="N119">
        <f>SUM($C119:G119)</f>
        <v>0</v>
      </c>
      <c r="O119">
        <f>SUM($C119:H119)</f>
        <v>0</v>
      </c>
      <c r="P119">
        <f>SUM($C119:I119)</f>
        <v>0</v>
      </c>
    </row>
    <row r="120" spans="1:16" x14ac:dyDescent="0.35">
      <c r="A120" t="s">
        <v>575</v>
      </c>
      <c r="B120" t="s">
        <v>311</v>
      </c>
      <c r="C120">
        <f>VLOOKUP($B120,lowest_10!$B$5:$BH$270,59,0)</f>
        <v>0</v>
      </c>
      <c r="D120">
        <f>VLOOKUP($B120,lowest_20!$B$5:$BH$270,59,0)-C120</f>
        <v>0</v>
      </c>
      <c r="E120">
        <f>VLOOKUP($B120,second_20!$B$5:$BH$270,59,0)</f>
        <v>0</v>
      </c>
      <c r="F120">
        <f>VLOOKUP($B120,third_20!$B$5:$BH$270,59,0)</f>
        <v>0</v>
      </c>
      <c r="G120">
        <f>VLOOKUP($B120,fourth_20!$B$5:$BH$270,59,0)</f>
        <v>0</v>
      </c>
      <c r="H120">
        <f>VLOOKUP($B120,highest_20!$B$5:$BH$270,59,0)-I120</f>
        <v>0</v>
      </c>
      <c r="I120">
        <f>VLOOKUP($B120,highest_10!$B$5:$BH$270,59,0)</f>
        <v>0</v>
      </c>
      <c r="J120">
        <f>SUM($C120:C120)</f>
        <v>0</v>
      </c>
      <c r="K120">
        <f>SUM($C120:D120)</f>
        <v>0</v>
      </c>
      <c r="L120">
        <f>SUM($C120:E120)</f>
        <v>0</v>
      </c>
      <c r="M120">
        <f>SUM($C120:F120)</f>
        <v>0</v>
      </c>
      <c r="N120">
        <f>SUM($C120:G120)</f>
        <v>0</v>
      </c>
      <c r="O120">
        <f>SUM($C120:H120)</f>
        <v>0</v>
      </c>
      <c r="P120">
        <f>SUM($C120:I120)</f>
        <v>0</v>
      </c>
    </row>
    <row r="121" spans="1:16" x14ac:dyDescent="0.35">
      <c r="A121" t="s">
        <v>734</v>
      </c>
      <c r="B121" t="s">
        <v>566</v>
      </c>
      <c r="C121">
        <f>VLOOKUP($B121,lowest_10!$B$5:$BH$270,59,0)</f>
        <v>3</v>
      </c>
      <c r="D121">
        <f>VLOOKUP($B121,lowest_20!$B$5:$BH$270,59,0)-C121</f>
        <v>4.9000000000000004</v>
      </c>
      <c r="E121">
        <f>VLOOKUP($B121,second_20!$B$5:$BH$270,59,0)</f>
        <v>13.2</v>
      </c>
      <c r="F121">
        <f>VLOOKUP($B121,third_20!$B$5:$BH$270,59,0)</f>
        <v>17.5</v>
      </c>
      <c r="G121">
        <f>VLOOKUP($B121,fourth_20!$B$5:$BH$270,59,0)</f>
        <v>23.2</v>
      </c>
      <c r="H121">
        <f>VLOOKUP($B121,highest_20!$B$5:$BH$270,59,0)-I121</f>
        <v>14.700000000000003</v>
      </c>
      <c r="I121">
        <f>VLOOKUP($B121,highest_10!$B$5:$BH$270,59,0)</f>
        <v>23.5</v>
      </c>
      <c r="J121">
        <f>SUM($C121:C121)</f>
        <v>3</v>
      </c>
      <c r="K121">
        <f>SUM($C121:D121)</f>
        <v>7.9</v>
      </c>
      <c r="L121">
        <f>SUM($C121:E121)</f>
        <v>21.1</v>
      </c>
      <c r="M121">
        <f>SUM($C121:F121)</f>
        <v>38.6</v>
      </c>
      <c r="N121">
        <f>SUM($C121:G121)</f>
        <v>61.8</v>
      </c>
      <c r="O121">
        <f>SUM($C121:H121)</f>
        <v>76.5</v>
      </c>
      <c r="P121">
        <f>SUM($C121:I121)</f>
        <v>100</v>
      </c>
    </row>
    <row r="122" spans="1:16" x14ac:dyDescent="0.35">
      <c r="A122" t="s">
        <v>84</v>
      </c>
      <c r="B122" t="s">
        <v>292</v>
      </c>
      <c r="C122">
        <f>VLOOKUP($B122,lowest_10!$B$5:$BH$270,59,0)</f>
        <v>4.3</v>
      </c>
      <c r="D122">
        <f>VLOOKUP($B122,lowest_20!$B$5:$BH$270,59,0)-C122</f>
        <v>5.7</v>
      </c>
      <c r="E122">
        <f>VLOOKUP($B122,second_20!$B$5:$BH$270,59,0)</f>
        <v>13.7</v>
      </c>
      <c r="F122">
        <f>VLOOKUP($B122,third_20!$B$5:$BH$270,59,0)</f>
        <v>17.2</v>
      </c>
      <c r="G122">
        <f>VLOOKUP($B122,fourth_20!$B$5:$BH$270,59,0)</f>
        <v>22.2</v>
      </c>
      <c r="H122">
        <f>VLOOKUP($B122,highest_20!$B$5:$BH$270,59,0)-I122</f>
        <v>14.299999999999997</v>
      </c>
      <c r="I122">
        <f>VLOOKUP($B122,highest_10!$B$5:$BH$270,59,0)</f>
        <v>22.6</v>
      </c>
      <c r="J122">
        <f>SUM($C122:C122)</f>
        <v>4.3</v>
      </c>
      <c r="K122">
        <f>SUM($C122:D122)</f>
        <v>10</v>
      </c>
      <c r="L122">
        <f>SUM($C122:E122)</f>
        <v>23.7</v>
      </c>
      <c r="M122">
        <f>SUM($C122:F122)</f>
        <v>40.9</v>
      </c>
      <c r="N122">
        <f>SUM($C122:G122)</f>
        <v>63.099999999999994</v>
      </c>
      <c r="O122">
        <f>SUM($C122:H122)</f>
        <v>77.399999999999991</v>
      </c>
      <c r="P122">
        <f>SUM($C122:I122)</f>
        <v>100</v>
      </c>
    </row>
    <row r="123" spans="1:16" x14ac:dyDescent="0.35">
      <c r="A123" t="s">
        <v>739</v>
      </c>
      <c r="B123" t="s">
        <v>696</v>
      </c>
      <c r="C123">
        <f>VLOOKUP($B123,lowest_10!$B$5:$BH$270,59,0)</f>
        <v>2.4</v>
      </c>
      <c r="D123">
        <f>VLOOKUP($B123,lowest_20!$B$5:$BH$270,59,0)-C123</f>
        <v>3.8000000000000003</v>
      </c>
      <c r="E123">
        <f>VLOOKUP($B123,second_20!$B$5:$BH$270,59,0)</f>
        <v>10.3</v>
      </c>
      <c r="F123">
        <f>VLOOKUP($B123,third_20!$B$5:$BH$270,59,0)</f>
        <v>14.6</v>
      </c>
      <c r="G123">
        <f>VLOOKUP($B123,fourth_20!$B$5:$BH$270,59,0)</f>
        <v>21.5</v>
      </c>
      <c r="H123">
        <f>VLOOKUP($B123,highest_20!$B$5:$BH$270,59,0)-I123</f>
        <v>15.899999999999999</v>
      </c>
      <c r="I123">
        <f>VLOOKUP($B123,highest_10!$B$5:$BH$270,59,0)</f>
        <v>31.6</v>
      </c>
      <c r="J123">
        <f>SUM($C123:C123)</f>
        <v>2.4</v>
      </c>
      <c r="K123">
        <f>SUM($C123:D123)</f>
        <v>6.2</v>
      </c>
      <c r="L123">
        <f>SUM($C123:E123)</f>
        <v>16.5</v>
      </c>
      <c r="M123">
        <f>SUM($C123:F123)</f>
        <v>31.1</v>
      </c>
      <c r="N123">
        <f>SUM($C123:G123)</f>
        <v>52.6</v>
      </c>
      <c r="O123">
        <f>SUM($C123:H123)</f>
        <v>68.5</v>
      </c>
      <c r="P123">
        <f>SUM($C123:I123)</f>
        <v>100.1</v>
      </c>
    </row>
    <row r="124" spans="1:16" x14ac:dyDescent="0.35">
      <c r="A124" t="s">
        <v>470</v>
      </c>
      <c r="B124" t="s">
        <v>423</v>
      </c>
      <c r="C124">
        <f>VLOOKUP($B124,lowest_10!$B$5:$BH$270,59,0)</f>
        <v>4.0999999999999996</v>
      </c>
      <c r="D124">
        <f>VLOOKUP($B124,lowest_20!$B$5:$BH$270,59,0)-C124</f>
        <v>5.4</v>
      </c>
      <c r="E124">
        <f>VLOOKUP($B124,second_20!$B$5:$BH$270,59,0)</f>
        <v>13.4</v>
      </c>
      <c r="F124">
        <f>VLOOKUP($B124,third_20!$B$5:$BH$270,59,0)</f>
        <v>16.8</v>
      </c>
      <c r="G124">
        <f>VLOOKUP($B124,fourth_20!$B$5:$BH$270,59,0)</f>
        <v>21.5</v>
      </c>
      <c r="H124">
        <f>VLOOKUP($B124,highest_20!$B$5:$BH$270,59,0)-I124</f>
        <v>13.999999999999996</v>
      </c>
      <c r="I124">
        <f>VLOOKUP($B124,highest_10!$B$5:$BH$270,59,0)</f>
        <v>24.8</v>
      </c>
      <c r="J124">
        <f>SUM($C124:C124)</f>
        <v>4.0999999999999996</v>
      </c>
      <c r="K124">
        <f>SUM($C124:D124)</f>
        <v>9.5</v>
      </c>
      <c r="L124">
        <f>SUM($C124:E124)</f>
        <v>22.9</v>
      </c>
      <c r="M124">
        <f>SUM($C124:F124)</f>
        <v>39.700000000000003</v>
      </c>
      <c r="N124">
        <f>SUM($C124:G124)</f>
        <v>61.2</v>
      </c>
      <c r="O124">
        <f>SUM($C124:H124)</f>
        <v>75.2</v>
      </c>
      <c r="P124">
        <f>SUM($C124:I124)</f>
        <v>100</v>
      </c>
    </row>
    <row r="125" spans="1:16" x14ac:dyDescent="0.35">
      <c r="A125" t="s">
        <v>674</v>
      </c>
      <c r="B125" t="s">
        <v>709</v>
      </c>
      <c r="C125">
        <f>VLOOKUP($B125,lowest_10!$B$5:$BH$270,59,0)</f>
        <v>0</v>
      </c>
      <c r="D125">
        <f>VLOOKUP($B125,lowest_20!$B$5:$BH$270,59,0)-C125</f>
        <v>0</v>
      </c>
      <c r="E125">
        <f>VLOOKUP($B125,second_20!$B$5:$BH$270,59,0)</f>
        <v>0</v>
      </c>
      <c r="F125">
        <f>VLOOKUP($B125,third_20!$B$5:$BH$270,59,0)</f>
        <v>0</v>
      </c>
      <c r="G125">
        <f>VLOOKUP($B125,fourth_20!$B$5:$BH$270,59,0)</f>
        <v>0</v>
      </c>
      <c r="H125">
        <f>VLOOKUP($B125,highest_20!$B$5:$BH$270,59,0)-I125</f>
        <v>0</v>
      </c>
      <c r="I125">
        <f>VLOOKUP($B125,highest_10!$B$5:$BH$270,59,0)</f>
        <v>0</v>
      </c>
      <c r="J125">
        <f>SUM($C125:C125)</f>
        <v>0</v>
      </c>
      <c r="K125">
        <f>SUM($C125:D125)</f>
        <v>0</v>
      </c>
      <c r="L125">
        <f>SUM($C125:E125)</f>
        <v>0</v>
      </c>
      <c r="M125">
        <f>SUM($C125:F125)</f>
        <v>0</v>
      </c>
      <c r="N125">
        <f>SUM($C125:G125)</f>
        <v>0</v>
      </c>
      <c r="O125">
        <f>SUM($C125:H125)</f>
        <v>0</v>
      </c>
      <c r="P125">
        <f>SUM($C125:I125)</f>
        <v>0</v>
      </c>
    </row>
    <row r="126" spans="1:16" x14ac:dyDescent="0.35">
      <c r="A126" t="s">
        <v>635</v>
      </c>
      <c r="B126" t="s">
        <v>527</v>
      </c>
      <c r="C126">
        <f>VLOOKUP($B126,lowest_10!$B$5:$BH$270,59,0)</f>
        <v>0</v>
      </c>
      <c r="D126">
        <f>VLOOKUP($B126,lowest_20!$B$5:$BH$270,59,0)-C126</f>
        <v>0</v>
      </c>
      <c r="E126">
        <f>VLOOKUP($B126,second_20!$B$5:$BH$270,59,0)</f>
        <v>0</v>
      </c>
      <c r="F126">
        <f>VLOOKUP($B126,third_20!$B$5:$BH$270,59,0)</f>
        <v>0</v>
      </c>
      <c r="G126">
        <f>VLOOKUP($B126,fourth_20!$B$5:$BH$270,59,0)</f>
        <v>0</v>
      </c>
      <c r="H126">
        <f>VLOOKUP($B126,highest_20!$B$5:$BH$270,59,0)-I126</f>
        <v>0</v>
      </c>
      <c r="I126">
        <f>VLOOKUP($B126,highest_10!$B$5:$BH$270,59,0)</f>
        <v>0</v>
      </c>
      <c r="J126">
        <f>SUM($C126:C126)</f>
        <v>0</v>
      </c>
      <c r="K126">
        <f>SUM($C126:D126)</f>
        <v>0</v>
      </c>
      <c r="L126">
        <f>SUM($C126:E126)</f>
        <v>0</v>
      </c>
      <c r="M126">
        <f>SUM($C126:F126)</f>
        <v>0</v>
      </c>
      <c r="N126">
        <f>SUM($C126:G126)</f>
        <v>0</v>
      </c>
      <c r="O126">
        <f>SUM($C126:H126)</f>
        <v>0</v>
      </c>
      <c r="P126">
        <f>SUM($C126:I126)</f>
        <v>0</v>
      </c>
    </row>
    <row r="127" spans="1:16" x14ac:dyDescent="0.35">
      <c r="A127" t="s">
        <v>168</v>
      </c>
      <c r="B127" t="s">
        <v>393</v>
      </c>
      <c r="C127">
        <f>VLOOKUP($B127,lowest_10!$B$5:$BH$270,59,0)</f>
        <v>0</v>
      </c>
      <c r="D127">
        <f>VLOOKUP($B127,lowest_20!$B$5:$BH$270,59,0)-C127</f>
        <v>0</v>
      </c>
      <c r="E127">
        <f>VLOOKUP($B127,second_20!$B$5:$BH$270,59,0)</f>
        <v>0</v>
      </c>
      <c r="F127">
        <f>VLOOKUP($B127,third_20!$B$5:$BH$270,59,0)</f>
        <v>0</v>
      </c>
      <c r="G127">
        <f>VLOOKUP($B127,fourth_20!$B$5:$BH$270,59,0)</f>
        <v>0</v>
      </c>
      <c r="H127">
        <f>VLOOKUP($B127,highest_20!$B$5:$BH$270,59,0)-I127</f>
        <v>0</v>
      </c>
      <c r="I127">
        <f>VLOOKUP($B127,highest_10!$B$5:$BH$270,59,0)</f>
        <v>0</v>
      </c>
      <c r="J127">
        <f>SUM($C127:C127)</f>
        <v>0</v>
      </c>
      <c r="K127">
        <f>SUM($C127:D127)</f>
        <v>0</v>
      </c>
      <c r="L127">
        <f>SUM($C127:E127)</f>
        <v>0</v>
      </c>
      <c r="M127">
        <f>SUM($C127:F127)</f>
        <v>0</v>
      </c>
      <c r="N127">
        <f>SUM($C127:G127)</f>
        <v>0</v>
      </c>
      <c r="O127">
        <f>SUM($C127:H127)</f>
        <v>0</v>
      </c>
      <c r="P127">
        <f>SUM($C127:I127)</f>
        <v>0</v>
      </c>
    </row>
    <row r="128" spans="1:16" x14ac:dyDescent="0.35">
      <c r="A128" t="s">
        <v>197</v>
      </c>
      <c r="B128" t="s">
        <v>667</v>
      </c>
      <c r="C128">
        <f>VLOOKUP($B128,lowest_10!$B$5:$BH$270,59,0)</f>
        <v>0</v>
      </c>
      <c r="D128">
        <f>VLOOKUP($B128,lowest_20!$B$5:$BH$270,59,0)-C128</f>
        <v>0</v>
      </c>
      <c r="E128">
        <f>VLOOKUP($B128,second_20!$B$5:$BH$270,59,0)</f>
        <v>0</v>
      </c>
      <c r="F128">
        <f>VLOOKUP($B128,third_20!$B$5:$BH$270,59,0)</f>
        <v>0</v>
      </c>
      <c r="G128">
        <f>VLOOKUP($B128,fourth_20!$B$5:$BH$270,59,0)</f>
        <v>0</v>
      </c>
      <c r="H128">
        <f>VLOOKUP($B128,highest_20!$B$5:$BH$270,59,0)-I128</f>
        <v>0</v>
      </c>
      <c r="I128">
        <f>VLOOKUP($B128,highest_10!$B$5:$BH$270,59,0)</f>
        <v>0</v>
      </c>
      <c r="J128">
        <f>SUM($C128:C128)</f>
        <v>0</v>
      </c>
      <c r="K128">
        <f>SUM($C128:D128)</f>
        <v>0</v>
      </c>
      <c r="L128">
        <f>SUM($C128:E128)</f>
        <v>0</v>
      </c>
      <c r="M128">
        <f>SUM($C128:F128)</f>
        <v>0</v>
      </c>
      <c r="N128">
        <f>SUM($C128:G128)</f>
        <v>0</v>
      </c>
      <c r="O128">
        <f>SUM($C128:H128)</f>
        <v>0</v>
      </c>
      <c r="P128">
        <f>SUM($C128:I128)</f>
        <v>0</v>
      </c>
    </row>
    <row r="129" spans="1:16" x14ac:dyDescent="0.35">
      <c r="A129" t="s">
        <v>724</v>
      </c>
      <c r="B129" t="s">
        <v>509</v>
      </c>
      <c r="C129">
        <f>VLOOKUP($B129,lowest_10!$B$5:$BH$270,59,0)</f>
        <v>0</v>
      </c>
      <c r="D129">
        <f>VLOOKUP($B129,lowest_20!$B$5:$BH$270,59,0)-C129</f>
        <v>0</v>
      </c>
      <c r="E129">
        <f>VLOOKUP($B129,second_20!$B$5:$BH$270,59,0)</f>
        <v>0</v>
      </c>
      <c r="F129">
        <f>VLOOKUP($B129,third_20!$B$5:$BH$270,59,0)</f>
        <v>0</v>
      </c>
      <c r="G129">
        <f>VLOOKUP($B129,fourth_20!$B$5:$BH$270,59,0)</f>
        <v>0</v>
      </c>
      <c r="H129">
        <f>VLOOKUP($B129,highest_20!$B$5:$BH$270,59,0)-I129</f>
        <v>0</v>
      </c>
      <c r="I129">
        <f>VLOOKUP($B129,highest_10!$B$5:$BH$270,59,0)</f>
        <v>0</v>
      </c>
      <c r="J129">
        <f>SUM($C129:C129)</f>
        <v>0</v>
      </c>
      <c r="K129">
        <f>SUM($C129:D129)</f>
        <v>0</v>
      </c>
      <c r="L129">
        <f>SUM($C129:E129)</f>
        <v>0</v>
      </c>
      <c r="M129">
        <f>SUM($C129:F129)</f>
        <v>0</v>
      </c>
      <c r="N129">
        <f>SUM($C129:G129)</f>
        <v>0</v>
      </c>
      <c r="O129">
        <f>SUM($C129:H129)</f>
        <v>0</v>
      </c>
      <c r="P129">
        <f>SUM($C129:I129)</f>
        <v>0</v>
      </c>
    </row>
    <row r="130" spans="1:16" x14ac:dyDescent="0.35">
      <c r="A130" t="s">
        <v>287</v>
      </c>
      <c r="B130" t="s">
        <v>522</v>
      </c>
      <c r="C130">
        <f>VLOOKUP($B130,lowest_10!$B$5:$BH$270,59,0)</f>
        <v>0</v>
      </c>
      <c r="D130">
        <f>VLOOKUP($B130,lowest_20!$B$5:$BH$270,59,0)-C130</f>
        <v>0</v>
      </c>
      <c r="E130">
        <f>VLOOKUP($B130,second_20!$B$5:$BH$270,59,0)</f>
        <v>0</v>
      </c>
      <c r="F130">
        <f>VLOOKUP($B130,third_20!$B$5:$BH$270,59,0)</f>
        <v>0</v>
      </c>
      <c r="G130">
        <f>VLOOKUP($B130,fourth_20!$B$5:$BH$270,59,0)</f>
        <v>0</v>
      </c>
      <c r="H130">
        <f>VLOOKUP($B130,highest_20!$B$5:$BH$270,59,0)-I130</f>
        <v>0</v>
      </c>
      <c r="I130">
        <f>VLOOKUP($B130,highest_10!$B$5:$BH$270,59,0)</f>
        <v>0</v>
      </c>
      <c r="J130">
        <f>SUM($C130:C130)</f>
        <v>0</v>
      </c>
      <c r="K130">
        <f>SUM($C130:D130)</f>
        <v>0</v>
      </c>
      <c r="L130">
        <f>SUM($C130:E130)</f>
        <v>0</v>
      </c>
      <c r="M130">
        <f>SUM($C130:F130)</f>
        <v>0</v>
      </c>
      <c r="N130">
        <f>SUM($C130:G130)</f>
        <v>0</v>
      </c>
      <c r="O130">
        <f>SUM($C130:H130)</f>
        <v>0</v>
      </c>
      <c r="P130">
        <f>SUM($C130:I130)</f>
        <v>0</v>
      </c>
    </row>
    <row r="131" spans="1:16" x14ac:dyDescent="0.35">
      <c r="A131" t="s">
        <v>574</v>
      </c>
      <c r="B131" t="s">
        <v>245</v>
      </c>
      <c r="C131">
        <f>VLOOKUP($B131,lowest_10!$B$5:$BH$270,59,0)</f>
        <v>0</v>
      </c>
      <c r="D131">
        <f>VLOOKUP($B131,lowest_20!$B$5:$BH$270,59,0)-C131</f>
        <v>0</v>
      </c>
      <c r="E131">
        <f>VLOOKUP($B131,second_20!$B$5:$BH$270,59,0)</f>
        <v>0</v>
      </c>
      <c r="F131">
        <f>VLOOKUP($B131,third_20!$B$5:$BH$270,59,0)</f>
        <v>0</v>
      </c>
      <c r="G131">
        <f>VLOOKUP($B131,fourth_20!$B$5:$BH$270,59,0)</f>
        <v>0</v>
      </c>
      <c r="H131">
        <f>VLOOKUP($B131,highest_20!$B$5:$BH$270,59,0)-I131</f>
        <v>0</v>
      </c>
      <c r="I131">
        <f>VLOOKUP($B131,highest_10!$B$5:$BH$270,59,0)</f>
        <v>0</v>
      </c>
      <c r="J131">
        <f>SUM($C131:C131)</f>
        <v>0</v>
      </c>
      <c r="K131">
        <f>SUM($C131:D131)</f>
        <v>0</v>
      </c>
      <c r="L131">
        <f>SUM($C131:E131)</f>
        <v>0</v>
      </c>
      <c r="M131">
        <f>SUM($C131:F131)</f>
        <v>0</v>
      </c>
      <c r="N131">
        <f>SUM($C131:G131)</f>
        <v>0</v>
      </c>
      <c r="O131">
        <f>SUM($C131:H131)</f>
        <v>0</v>
      </c>
      <c r="P131">
        <f>SUM($C131:I131)</f>
        <v>0</v>
      </c>
    </row>
    <row r="132" spans="1:16" x14ac:dyDescent="0.35">
      <c r="A132" t="s">
        <v>446</v>
      </c>
      <c r="B132" t="s">
        <v>264</v>
      </c>
      <c r="C132">
        <f>VLOOKUP($B132,lowest_10!$B$5:$BH$270,59,0)</f>
        <v>0</v>
      </c>
      <c r="D132">
        <f>VLOOKUP($B132,lowest_20!$B$5:$BH$270,59,0)-C132</f>
        <v>0</v>
      </c>
      <c r="E132">
        <f>VLOOKUP($B132,second_20!$B$5:$BH$270,59,0)</f>
        <v>0</v>
      </c>
      <c r="F132">
        <f>VLOOKUP($B132,third_20!$B$5:$BH$270,59,0)</f>
        <v>0</v>
      </c>
      <c r="G132">
        <f>VLOOKUP($B132,fourth_20!$B$5:$BH$270,59,0)</f>
        <v>0</v>
      </c>
      <c r="H132">
        <f>VLOOKUP($B132,highest_20!$B$5:$BH$270,59,0)-I132</f>
        <v>0</v>
      </c>
      <c r="I132">
        <f>VLOOKUP($B132,highest_10!$B$5:$BH$270,59,0)</f>
        <v>0</v>
      </c>
      <c r="J132">
        <f>SUM($C132:C132)</f>
        <v>0</v>
      </c>
      <c r="K132">
        <f>SUM($C132:D132)</f>
        <v>0</v>
      </c>
      <c r="L132">
        <f>SUM($C132:E132)</f>
        <v>0</v>
      </c>
      <c r="M132">
        <f>SUM($C132:F132)</f>
        <v>0</v>
      </c>
      <c r="N132">
        <f>SUM($C132:G132)</f>
        <v>0</v>
      </c>
      <c r="O132">
        <f>SUM($C132:H132)</f>
        <v>0</v>
      </c>
      <c r="P132">
        <f>SUM($C132:I132)</f>
        <v>0</v>
      </c>
    </row>
    <row r="133" spans="1:16" x14ac:dyDescent="0.35">
      <c r="A133" t="s">
        <v>248</v>
      </c>
      <c r="B133" t="s">
        <v>662</v>
      </c>
      <c r="C133">
        <f>VLOOKUP($B133,lowest_10!$B$5:$BH$270,59,0)</f>
        <v>0</v>
      </c>
      <c r="D133">
        <f>VLOOKUP($B133,lowest_20!$B$5:$BH$270,59,0)-C133</f>
        <v>0</v>
      </c>
      <c r="E133">
        <f>VLOOKUP($B133,second_20!$B$5:$BH$270,59,0)</f>
        <v>0</v>
      </c>
      <c r="F133">
        <f>VLOOKUP($B133,third_20!$B$5:$BH$270,59,0)</f>
        <v>0</v>
      </c>
      <c r="G133">
        <f>VLOOKUP($B133,fourth_20!$B$5:$BH$270,59,0)</f>
        <v>0</v>
      </c>
      <c r="H133">
        <f>VLOOKUP($B133,highest_20!$B$5:$BH$270,59,0)-I133</f>
        <v>0</v>
      </c>
      <c r="I133">
        <f>VLOOKUP($B133,highest_10!$B$5:$BH$270,59,0)</f>
        <v>0</v>
      </c>
      <c r="J133">
        <f>SUM($C133:C133)</f>
        <v>0</v>
      </c>
      <c r="K133">
        <f>SUM($C133:D133)</f>
        <v>0</v>
      </c>
      <c r="L133">
        <f>SUM($C133:E133)</f>
        <v>0</v>
      </c>
      <c r="M133">
        <f>SUM($C133:F133)</f>
        <v>0</v>
      </c>
      <c r="N133">
        <f>SUM($C133:G133)</f>
        <v>0</v>
      </c>
      <c r="O133">
        <f>SUM($C133:H133)</f>
        <v>0</v>
      </c>
      <c r="P133">
        <f>SUM($C133:I133)</f>
        <v>0</v>
      </c>
    </row>
    <row r="134" spans="1:16" x14ac:dyDescent="0.35">
      <c r="A134" t="s">
        <v>555</v>
      </c>
      <c r="B134" t="s">
        <v>666</v>
      </c>
      <c r="C134">
        <f>VLOOKUP($B134,lowest_10!$B$5:$BH$270,59,0)</f>
        <v>0</v>
      </c>
      <c r="D134">
        <f>VLOOKUP($B134,lowest_20!$B$5:$BH$270,59,0)-C134</f>
        <v>0</v>
      </c>
      <c r="E134">
        <f>VLOOKUP($B134,second_20!$B$5:$BH$270,59,0)</f>
        <v>0</v>
      </c>
      <c r="F134">
        <f>VLOOKUP($B134,third_20!$B$5:$BH$270,59,0)</f>
        <v>0</v>
      </c>
      <c r="G134">
        <f>VLOOKUP($B134,fourth_20!$B$5:$BH$270,59,0)</f>
        <v>0</v>
      </c>
      <c r="H134">
        <f>VLOOKUP($B134,highest_20!$B$5:$BH$270,59,0)-I134</f>
        <v>0</v>
      </c>
      <c r="I134">
        <f>VLOOKUP($B134,highest_10!$B$5:$BH$270,59,0)</f>
        <v>0</v>
      </c>
      <c r="J134">
        <f>SUM($C134:C134)</f>
        <v>0</v>
      </c>
      <c r="K134">
        <f>SUM($C134:D134)</f>
        <v>0</v>
      </c>
      <c r="L134">
        <f>SUM($C134:E134)</f>
        <v>0</v>
      </c>
      <c r="M134">
        <f>SUM($C134:F134)</f>
        <v>0</v>
      </c>
      <c r="N134">
        <f>SUM($C134:G134)</f>
        <v>0</v>
      </c>
      <c r="O134">
        <f>SUM($C134:H134)</f>
        <v>0</v>
      </c>
      <c r="P134">
        <f>SUM($C134:I134)</f>
        <v>0</v>
      </c>
    </row>
    <row r="135" spans="1:16" x14ac:dyDescent="0.35">
      <c r="A135" t="s">
        <v>515</v>
      </c>
      <c r="B135" t="s">
        <v>383</v>
      </c>
      <c r="C135">
        <f>VLOOKUP($B135,lowest_10!$B$5:$BH$270,59,0)</f>
        <v>2.1</v>
      </c>
      <c r="D135">
        <f>VLOOKUP($B135,lowest_20!$B$5:$BH$270,59,0)-C135</f>
        <v>3.4</v>
      </c>
      <c r="E135">
        <f>VLOOKUP($B135,second_20!$B$5:$BH$270,59,0)</f>
        <v>9.6</v>
      </c>
      <c r="F135">
        <f>VLOOKUP($B135,third_20!$B$5:$BH$270,59,0)</f>
        <v>13.8</v>
      </c>
      <c r="G135">
        <f>VLOOKUP($B135,fourth_20!$B$5:$BH$270,59,0)</f>
        <v>20.7</v>
      </c>
      <c r="H135">
        <f>VLOOKUP($B135,highest_20!$B$5:$BH$270,59,0)-I135</f>
        <v>16.199999999999996</v>
      </c>
      <c r="I135">
        <f>VLOOKUP($B135,highest_10!$B$5:$BH$270,59,0)</f>
        <v>34.1</v>
      </c>
      <c r="J135">
        <f>SUM($C135:C135)</f>
        <v>2.1</v>
      </c>
      <c r="K135">
        <f>SUM($C135:D135)</f>
        <v>5.5</v>
      </c>
      <c r="L135">
        <f>SUM($C135:E135)</f>
        <v>15.1</v>
      </c>
      <c r="M135">
        <f>SUM($C135:F135)</f>
        <v>28.9</v>
      </c>
      <c r="N135">
        <f>SUM($C135:G135)</f>
        <v>49.599999999999994</v>
      </c>
      <c r="O135">
        <f>SUM($C135:H135)</f>
        <v>65.799999999999983</v>
      </c>
      <c r="P135">
        <f>SUM($C135:I135)</f>
        <v>99.899999999999977</v>
      </c>
    </row>
    <row r="136" spans="1:16" x14ac:dyDescent="0.35">
      <c r="A136" t="s">
        <v>605</v>
      </c>
      <c r="B136" t="s">
        <v>178</v>
      </c>
      <c r="C136">
        <f>VLOOKUP($B136,lowest_10!$B$5:$BH$270,59,0)</f>
        <v>0</v>
      </c>
      <c r="D136">
        <f>VLOOKUP($B136,lowest_20!$B$5:$BH$270,59,0)-C136</f>
        <v>0</v>
      </c>
      <c r="E136">
        <f>VLOOKUP($B136,second_20!$B$5:$BH$270,59,0)</f>
        <v>0</v>
      </c>
      <c r="F136">
        <f>VLOOKUP($B136,third_20!$B$5:$BH$270,59,0)</f>
        <v>0</v>
      </c>
      <c r="G136">
        <f>VLOOKUP($B136,fourth_20!$B$5:$BH$270,59,0)</f>
        <v>0</v>
      </c>
      <c r="H136">
        <f>VLOOKUP($B136,highest_20!$B$5:$BH$270,59,0)-I136</f>
        <v>0</v>
      </c>
      <c r="I136">
        <f>VLOOKUP($B136,highest_10!$B$5:$BH$270,59,0)</f>
        <v>0</v>
      </c>
      <c r="J136">
        <f>SUM($C136:C136)</f>
        <v>0</v>
      </c>
      <c r="K136">
        <f>SUM($C136:D136)</f>
        <v>0</v>
      </c>
      <c r="L136">
        <f>SUM($C136:E136)</f>
        <v>0</v>
      </c>
      <c r="M136">
        <f>SUM($C136:F136)</f>
        <v>0</v>
      </c>
      <c r="N136">
        <f>SUM($C136:G136)</f>
        <v>0</v>
      </c>
      <c r="O136">
        <f>SUM($C136:H136)</f>
        <v>0</v>
      </c>
      <c r="P136">
        <f>SUM($C136:I136)</f>
        <v>0</v>
      </c>
    </row>
    <row r="137" spans="1:16" x14ac:dyDescent="0.35">
      <c r="A137" t="s">
        <v>284</v>
      </c>
      <c r="B137" t="s">
        <v>589</v>
      </c>
      <c r="C137">
        <f>VLOOKUP($B137,lowest_10!$B$5:$BH$270,59,0)</f>
        <v>0</v>
      </c>
      <c r="D137">
        <f>VLOOKUP($B137,lowest_20!$B$5:$BH$270,59,0)-C137</f>
        <v>0</v>
      </c>
      <c r="E137">
        <f>VLOOKUP($B137,second_20!$B$5:$BH$270,59,0)</f>
        <v>0</v>
      </c>
      <c r="F137">
        <f>VLOOKUP($B137,third_20!$B$5:$BH$270,59,0)</f>
        <v>0</v>
      </c>
      <c r="G137">
        <f>VLOOKUP($B137,fourth_20!$B$5:$BH$270,59,0)</f>
        <v>0</v>
      </c>
      <c r="H137">
        <f>VLOOKUP($B137,highest_20!$B$5:$BH$270,59,0)-I137</f>
        <v>0</v>
      </c>
      <c r="I137">
        <f>VLOOKUP($B137,highest_10!$B$5:$BH$270,59,0)</f>
        <v>0</v>
      </c>
      <c r="J137">
        <f>SUM($C137:C137)</f>
        <v>0</v>
      </c>
      <c r="K137">
        <f>SUM($C137:D137)</f>
        <v>0</v>
      </c>
      <c r="L137">
        <f>SUM($C137:E137)</f>
        <v>0</v>
      </c>
      <c r="M137">
        <f>SUM($C137:F137)</f>
        <v>0</v>
      </c>
      <c r="N137">
        <f>SUM($C137:G137)</f>
        <v>0</v>
      </c>
      <c r="O137">
        <f>SUM($C137:H137)</f>
        <v>0</v>
      </c>
      <c r="P137">
        <f>SUM($C137:I137)</f>
        <v>0</v>
      </c>
    </row>
    <row r="138" spans="1:16" x14ac:dyDescent="0.35">
      <c r="A138" t="s">
        <v>649</v>
      </c>
      <c r="B138" t="s">
        <v>70</v>
      </c>
      <c r="C138">
        <f>VLOOKUP($B138,lowest_10!$B$5:$BH$270,59,0)</f>
        <v>0</v>
      </c>
      <c r="D138">
        <f>VLOOKUP($B138,lowest_20!$B$5:$BH$270,59,0)-C138</f>
        <v>0</v>
      </c>
      <c r="E138">
        <f>VLOOKUP($B138,second_20!$B$5:$BH$270,59,0)</f>
        <v>0</v>
      </c>
      <c r="F138">
        <f>VLOOKUP($B138,third_20!$B$5:$BH$270,59,0)</f>
        <v>0</v>
      </c>
      <c r="G138">
        <f>VLOOKUP($B138,fourth_20!$B$5:$BH$270,59,0)</f>
        <v>0</v>
      </c>
      <c r="H138">
        <f>VLOOKUP($B138,highest_20!$B$5:$BH$270,59,0)-I138</f>
        <v>0</v>
      </c>
      <c r="I138">
        <f>VLOOKUP($B138,highest_10!$B$5:$BH$270,59,0)</f>
        <v>0</v>
      </c>
      <c r="J138">
        <f>SUM($C138:C138)</f>
        <v>0</v>
      </c>
      <c r="K138">
        <f>SUM($C138:D138)</f>
        <v>0</v>
      </c>
      <c r="L138">
        <f>SUM($C138:E138)</f>
        <v>0</v>
      </c>
      <c r="M138">
        <f>SUM($C138:F138)</f>
        <v>0</v>
      </c>
      <c r="N138">
        <f>SUM($C138:G138)</f>
        <v>0</v>
      </c>
      <c r="O138">
        <f>SUM($C138:H138)</f>
        <v>0</v>
      </c>
      <c r="P138">
        <f>SUM($C138:I138)</f>
        <v>0</v>
      </c>
    </row>
    <row r="139" spans="1:16" x14ac:dyDescent="0.35">
      <c r="A139" t="s">
        <v>615</v>
      </c>
      <c r="B139" t="s">
        <v>356</v>
      </c>
      <c r="C139">
        <f>VLOOKUP($B139,lowest_10!$B$5:$BH$270,59,0)</f>
        <v>0</v>
      </c>
      <c r="D139">
        <f>VLOOKUP($B139,lowest_20!$B$5:$BH$270,59,0)-C139</f>
        <v>0</v>
      </c>
      <c r="E139">
        <f>VLOOKUP($B139,second_20!$B$5:$BH$270,59,0)</f>
        <v>0</v>
      </c>
      <c r="F139">
        <f>VLOOKUP($B139,third_20!$B$5:$BH$270,59,0)</f>
        <v>0</v>
      </c>
      <c r="G139">
        <f>VLOOKUP($B139,fourth_20!$B$5:$BH$270,59,0)</f>
        <v>0</v>
      </c>
      <c r="H139">
        <f>VLOOKUP($B139,highest_20!$B$5:$BH$270,59,0)-I139</f>
        <v>0</v>
      </c>
      <c r="I139">
        <f>VLOOKUP($B139,highest_10!$B$5:$BH$270,59,0)</f>
        <v>0</v>
      </c>
      <c r="J139">
        <f>SUM($C139:C139)</f>
        <v>0</v>
      </c>
      <c r="K139">
        <f>SUM($C139:D139)</f>
        <v>0</v>
      </c>
      <c r="L139">
        <f>SUM($C139:E139)</f>
        <v>0</v>
      </c>
      <c r="M139">
        <f>SUM($C139:F139)</f>
        <v>0</v>
      </c>
      <c r="N139">
        <f>SUM($C139:G139)</f>
        <v>0</v>
      </c>
      <c r="O139">
        <f>SUM($C139:H139)</f>
        <v>0</v>
      </c>
      <c r="P139">
        <f>SUM($C139:I139)</f>
        <v>0</v>
      </c>
    </row>
    <row r="140" spans="1:16" x14ac:dyDescent="0.35">
      <c r="A140" t="s">
        <v>3</v>
      </c>
      <c r="B140" t="s">
        <v>687</v>
      </c>
      <c r="C140">
        <f>VLOOKUP($B140,lowest_10!$B$5:$BH$270,59,0)</f>
        <v>0</v>
      </c>
      <c r="D140">
        <f>VLOOKUP($B140,lowest_20!$B$5:$BH$270,59,0)-C140</f>
        <v>0</v>
      </c>
      <c r="E140">
        <f>VLOOKUP($B140,second_20!$B$5:$BH$270,59,0)</f>
        <v>0</v>
      </c>
      <c r="F140">
        <f>VLOOKUP($B140,third_20!$B$5:$BH$270,59,0)</f>
        <v>0</v>
      </c>
      <c r="G140">
        <f>VLOOKUP($B140,fourth_20!$B$5:$BH$270,59,0)</f>
        <v>0</v>
      </c>
      <c r="H140">
        <f>VLOOKUP($B140,highest_20!$B$5:$BH$270,59,0)-I140</f>
        <v>0</v>
      </c>
      <c r="I140">
        <f>VLOOKUP($B140,highest_10!$B$5:$BH$270,59,0)</f>
        <v>0</v>
      </c>
      <c r="J140">
        <f>SUM($C140:C140)</f>
        <v>0</v>
      </c>
      <c r="K140">
        <f>SUM($C140:D140)</f>
        <v>0</v>
      </c>
      <c r="L140">
        <f>SUM($C140:E140)</f>
        <v>0</v>
      </c>
      <c r="M140">
        <f>SUM($C140:F140)</f>
        <v>0</v>
      </c>
      <c r="N140">
        <f>SUM($C140:G140)</f>
        <v>0</v>
      </c>
      <c r="O140">
        <f>SUM($C140:H140)</f>
        <v>0</v>
      </c>
      <c r="P140">
        <f>SUM($C140:I140)</f>
        <v>0</v>
      </c>
    </row>
    <row r="141" spans="1:16" x14ac:dyDescent="0.35">
      <c r="A141" t="s">
        <v>374</v>
      </c>
      <c r="B141" t="s">
        <v>225</v>
      </c>
      <c r="C141">
        <f>VLOOKUP($B141,lowest_10!$B$5:$BH$270,59,0)</f>
        <v>0</v>
      </c>
      <c r="D141">
        <f>VLOOKUP($B141,lowest_20!$B$5:$BH$270,59,0)-C141</f>
        <v>0</v>
      </c>
      <c r="E141">
        <f>VLOOKUP($B141,second_20!$B$5:$BH$270,59,0)</f>
        <v>0</v>
      </c>
      <c r="F141">
        <f>VLOOKUP($B141,third_20!$B$5:$BH$270,59,0)</f>
        <v>0</v>
      </c>
      <c r="G141">
        <f>VLOOKUP($B141,fourth_20!$B$5:$BH$270,59,0)</f>
        <v>0</v>
      </c>
      <c r="H141">
        <f>VLOOKUP($B141,highest_20!$B$5:$BH$270,59,0)-I141</f>
        <v>0</v>
      </c>
      <c r="I141">
        <f>VLOOKUP($B141,highest_10!$B$5:$BH$270,59,0)</f>
        <v>0</v>
      </c>
      <c r="J141">
        <f>SUM($C141:C141)</f>
        <v>0</v>
      </c>
      <c r="K141">
        <f>SUM($C141:D141)</f>
        <v>0</v>
      </c>
      <c r="L141">
        <f>SUM($C141:E141)</f>
        <v>0</v>
      </c>
      <c r="M141">
        <f>SUM($C141:F141)</f>
        <v>0</v>
      </c>
      <c r="N141">
        <f>SUM($C141:G141)</f>
        <v>0</v>
      </c>
      <c r="O141">
        <f>SUM($C141:H141)</f>
        <v>0</v>
      </c>
      <c r="P141">
        <f>SUM($C141:I141)</f>
        <v>0</v>
      </c>
    </row>
    <row r="142" spans="1:16" x14ac:dyDescent="0.35">
      <c r="A142" t="s">
        <v>329</v>
      </c>
      <c r="B142" t="s">
        <v>306</v>
      </c>
      <c r="C142">
        <f>VLOOKUP($B142,lowest_10!$B$5:$BH$270,59,0)</f>
        <v>0</v>
      </c>
      <c r="D142">
        <f>VLOOKUP($B142,lowest_20!$B$5:$BH$270,59,0)-C142</f>
        <v>0</v>
      </c>
      <c r="E142">
        <f>VLOOKUP($B142,second_20!$B$5:$BH$270,59,0)</f>
        <v>0</v>
      </c>
      <c r="F142">
        <f>VLOOKUP($B142,third_20!$B$5:$BH$270,59,0)</f>
        <v>0</v>
      </c>
      <c r="G142">
        <f>VLOOKUP($B142,fourth_20!$B$5:$BH$270,59,0)</f>
        <v>0</v>
      </c>
      <c r="H142">
        <f>VLOOKUP($B142,highest_20!$B$5:$BH$270,59,0)-I142</f>
        <v>0</v>
      </c>
      <c r="I142">
        <f>VLOOKUP($B142,highest_10!$B$5:$BH$270,59,0)</f>
        <v>0</v>
      </c>
      <c r="J142">
        <f>SUM($C142:C142)</f>
        <v>0</v>
      </c>
      <c r="K142">
        <f>SUM($C142:D142)</f>
        <v>0</v>
      </c>
      <c r="L142">
        <f>SUM($C142:E142)</f>
        <v>0</v>
      </c>
      <c r="M142">
        <f>SUM($C142:F142)</f>
        <v>0</v>
      </c>
      <c r="N142">
        <f>SUM($C142:G142)</f>
        <v>0</v>
      </c>
      <c r="O142">
        <f>SUM($C142:H142)</f>
        <v>0</v>
      </c>
      <c r="P142">
        <f>SUM($C142:I142)</f>
        <v>0</v>
      </c>
    </row>
    <row r="143" spans="1:16" x14ac:dyDescent="0.35">
      <c r="A143" t="s">
        <v>502</v>
      </c>
      <c r="B143" t="s">
        <v>259</v>
      </c>
      <c r="C143">
        <f>VLOOKUP($B143,lowest_10!$B$5:$BH$270,59,0)</f>
        <v>0</v>
      </c>
      <c r="D143">
        <f>VLOOKUP($B143,lowest_20!$B$5:$BH$270,59,0)-C143</f>
        <v>0</v>
      </c>
      <c r="E143">
        <f>VLOOKUP($B143,second_20!$B$5:$BH$270,59,0)</f>
        <v>0</v>
      </c>
      <c r="F143">
        <f>VLOOKUP($B143,third_20!$B$5:$BH$270,59,0)</f>
        <v>0</v>
      </c>
      <c r="G143">
        <f>VLOOKUP($B143,fourth_20!$B$5:$BH$270,59,0)</f>
        <v>0</v>
      </c>
      <c r="H143">
        <f>VLOOKUP($B143,highest_20!$B$5:$BH$270,59,0)-I143</f>
        <v>0</v>
      </c>
      <c r="I143">
        <f>VLOOKUP($B143,highest_10!$B$5:$BH$270,59,0)</f>
        <v>0</v>
      </c>
      <c r="J143">
        <f>SUM($C143:C143)</f>
        <v>0</v>
      </c>
      <c r="K143">
        <f>SUM($C143:D143)</f>
        <v>0</v>
      </c>
      <c r="L143">
        <f>SUM($C143:E143)</f>
        <v>0</v>
      </c>
      <c r="M143">
        <f>SUM($C143:F143)</f>
        <v>0</v>
      </c>
      <c r="N143">
        <f>SUM($C143:G143)</f>
        <v>0</v>
      </c>
      <c r="O143">
        <f>SUM($C143:H143)</f>
        <v>0</v>
      </c>
      <c r="P143">
        <f>SUM($C143:I143)</f>
        <v>0</v>
      </c>
    </row>
    <row r="144" spans="1:16" x14ac:dyDescent="0.35">
      <c r="A144" t="s">
        <v>416</v>
      </c>
      <c r="B144" t="s">
        <v>722</v>
      </c>
      <c r="C144">
        <f>VLOOKUP($B144,lowest_10!$B$5:$BH$270,59,0)</f>
        <v>0</v>
      </c>
      <c r="D144">
        <f>VLOOKUP($B144,lowest_20!$B$5:$BH$270,59,0)-C144</f>
        <v>0</v>
      </c>
      <c r="E144">
        <f>VLOOKUP($B144,second_20!$B$5:$BH$270,59,0)</f>
        <v>0</v>
      </c>
      <c r="F144">
        <f>VLOOKUP($B144,third_20!$B$5:$BH$270,59,0)</f>
        <v>0</v>
      </c>
      <c r="G144">
        <f>VLOOKUP($B144,fourth_20!$B$5:$BH$270,59,0)</f>
        <v>0</v>
      </c>
      <c r="H144">
        <f>VLOOKUP($B144,highest_20!$B$5:$BH$270,59,0)-I144</f>
        <v>0</v>
      </c>
      <c r="I144">
        <f>VLOOKUP($B144,highest_10!$B$5:$BH$270,59,0)</f>
        <v>0</v>
      </c>
      <c r="J144">
        <f>SUM($C144:C144)</f>
        <v>0</v>
      </c>
      <c r="K144">
        <f>SUM($C144:D144)</f>
        <v>0</v>
      </c>
      <c r="L144">
        <f>SUM($C144:E144)</f>
        <v>0</v>
      </c>
      <c r="M144">
        <f>SUM($C144:F144)</f>
        <v>0</v>
      </c>
      <c r="N144">
        <f>SUM($C144:G144)</f>
        <v>0</v>
      </c>
      <c r="O144">
        <f>SUM($C144:H144)</f>
        <v>0</v>
      </c>
      <c r="P144">
        <f>SUM($C144:I144)</f>
        <v>0</v>
      </c>
    </row>
    <row r="145" spans="1:16" x14ac:dyDescent="0.35">
      <c r="A145" t="s">
        <v>424</v>
      </c>
      <c r="B145" t="s">
        <v>114</v>
      </c>
      <c r="C145">
        <f>VLOOKUP($B145,lowest_10!$B$5:$BH$270,59,0)</f>
        <v>2.1</v>
      </c>
      <c r="D145">
        <f>VLOOKUP($B145,lowest_20!$B$5:$BH$270,59,0)-C145</f>
        <v>3.9999999999999996</v>
      </c>
      <c r="E145">
        <f>VLOOKUP($B145,second_20!$B$5:$BH$270,59,0)</f>
        <v>11.6</v>
      </c>
      <c r="F145">
        <f>VLOOKUP($B145,third_20!$B$5:$BH$270,59,0)</f>
        <v>15.9</v>
      </c>
      <c r="G145">
        <f>VLOOKUP($B145,fourth_20!$B$5:$BH$270,59,0)</f>
        <v>22.1</v>
      </c>
      <c r="H145">
        <f>VLOOKUP($B145,highest_20!$B$5:$BH$270,59,0)-I145</f>
        <v>15.5</v>
      </c>
      <c r="I145">
        <f>VLOOKUP($B145,highest_10!$B$5:$BH$270,59,0)</f>
        <v>28.6</v>
      </c>
      <c r="J145">
        <f>SUM($C145:C145)</f>
        <v>2.1</v>
      </c>
      <c r="K145">
        <f>SUM($C145:D145)</f>
        <v>6.1</v>
      </c>
      <c r="L145">
        <f>SUM($C145:E145)</f>
        <v>17.7</v>
      </c>
      <c r="M145">
        <f>SUM($C145:F145)</f>
        <v>33.6</v>
      </c>
      <c r="N145">
        <f>SUM($C145:G145)</f>
        <v>55.7</v>
      </c>
      <c r="O145">
        <f>SUM($C145:H145)</f>
        <v>71.2</v>
      </c>
      <c r="P145">
        <f>SUM($C145:I145)</f>
        <v>99.800000000000011</v>
      </c>
    </row>
    <row r="146" spans="1:16" x14ac:dyDescent="0.35">
      <c r="A146" t="s">
        <v>301</v>
      </c>
      <c r="B146" t="s">
        <v>546</v>
      </c>
      <c r="C146">
        <f>VLOOKUP($B146,lowest_10!$B$5:$BH$270,59,0)</f>
        <v>2.9</v>
      </c>
      <c r="D146">
        <f>VLOOKUP($B146,lowest_20!$B$5:$BH$270,59,0)-C146</f>
        <v>4.5999999999999996</v>
      </c>
      <c r="E146">
        <f>VLOOKUP($B146,second_20!$B$5:$BH$270,59,0)</f>
        <v>12.3</v>
      </c>
      <c r="F146">
        <f>VLOOKUP($B146,third_20!$B$5:$BH$270,59,0)</f>
        <v>16.8</v>
      </c>
      <c r="G146">
        <f>VLOOKUP($B146,fourth_20!$B$5:$BH$270,59,0)</f>
        <v>23</v>
      </c>
      <c r="H146">
        <f>VLOOKUP($B146,highest_20!$B$5:$BH$270,59,0)-I146</f>
        <v>15.199999999999996</v>
      </c>
      <c r="I146">
        <f>VLOOKUP($B146,highest_10!$B$5:$BH$270,59,0)</f>
        <v>25.1</v>
      </c>
      <c r="J146">
        <f>SUM($C146:C146)</f>
        <v>2.9</v>
      </c>
      <c r="K146">
        <f>SUM($C146:D146)</f>
        <v>7.5</v>
      </c>
      <c r="L146">
        <f>SUM($C146:E146)</f>
        <v>19.8</v>
      </c>
      <c r="M146">
        <f>SUM($C146:F146)</f>
        <v>36.6</v>
      </c>
      <c r="N146">
        <f>SUM($C146:G146)</f>
        <v>59.6</v>
      </c>
      <c r="O146">
        <f>SUM($C146:H146)</f>
        <v>74.8</v>
      </c>
      <c r="P146">
        <f>SUM($C146:I146)</f>
        <v>99.9</v>
      </c>
    </row>
    <row r="147" spans="1:16" x14ac:dyDescent="0.35">
      <c r="A147" t="s">
        <v>277</v>
      </c>
      <c r="B147" t="s">
        <v>471</v>
      </c>
      <c r="C147">
        <f>VLOOKUP($B147,lowest_10!$B$5:$BH$270,59,0)</f>
        <v>2.5</v>
      </c>
      <c r="D147">
        <f>VLOOKUP($B147,lowest_20!$B$5:$BH$270,59,0)-C147</f>
        <v>4.5999999999999996</v>
      </c>
      <c r="E147">
        <f>VLOOKUP($B147,second_20!$B$5:$BH$270,59,0)</f>
        <v>12.3</v>
      </c>
      <c r="F147">
        <f>VLOOKUP($B147,third_20!$B$5:$BH$270,59,0)</f>
        <v>16.399999999999999</v>
      </c>
      <c r="G147">
        <f>VLOOKUP($B147,fourth_20!$B$5:$BH$270,59,0)</f>
        <v>22.7</v>
      </c>
      <c r="H147">
        <f>VLOOKUP($B147,highest_20!$B$5:$BH$270,59,0)-I147</f>
        <v>15.3</v>
      </c>
      <c r="I147">
        <f>VLOOKUP($B147,highest_10!$B$5:$BH$270,59,0)</f>
        <v>26.2</v>
      </c>
      <c r="J147">
        <f>SUM($C147:C147)</f>
        <v>2.5</v>
      </c>
      <c r="K147">
        <f>SUM($C147:D147)</f>
        <v>7.1</v>
      </c>
      <c r="L147">
        <f>SUM($C147:E147)</f>
        <v>19.399999999999999</v>
      </c>
      <c r="M147">
        <f>SUM($C147:F147)</f>
        <v>35.799999999999997</v>
      </c>
      <c r="N147">
        <f>SUM($C147:G147)</f>
        <v>58.5</v>
      </c>
      <c r="O147">
        <f>SUM($C147:H147)</f>
        <v>73.8</v>
      </c>
      <c r="P147">
        <f>SUM($C147:I147)</f>
        <v>100</v>
      </c>
    </row>
    <row r="148" spans="1:16" x14ac:dyDescent="0.35">
      <c r="A148" t="s">
        <v>578</v>
      </c>
      <c r="B148" t="s">
        <v>307</v>
      </c>
      <c r="C148">
        <f>VLOOKUP($B148,lowest_10!$B$5:$BH$270,59,0)</f>
        <v>0</v>
      </c>
      <c r="D148">
        <f>VLOOKUP($B148,lowest_20!$B$5:$BH$270,59,0)-C148</f>
        <v>0</v>
      </c>
      <c r="E148">
        <f>VLOOKUP($B148,second_20!$B$5:$BH$270,59,0)</f>
        <v>0</v>
      </c>
      <c r="F148">
        <f>VLOOKUP($B148,third_20!$B$5:$BH$270,59,0)</f>
        <v>0</v>
      </c>
      <c r="G148">
        <f>VLOOKUP($B148,fourth_20!$B$5:$BH$270,59,0)</f>
        <v>0</v>
      </c>
      <c r="H148">
        <f>VLOOKUP($B148,highest_20!$B$5:$BH$270,59,0)-I148</f>
        <v>0</v>
      </c>
      <c r="I148">
        <f>VLOOKUP($B148,highest_10!$B$5:$BH$270,59,0)</f>
        <v>0</v>
      </c>
      <c r="J148">
        <f>SUM($C148:C148)</f>
        <v>0</v>
      </c>
      <c r="K148">
        <f>SUM($C148:D148)</f>
        <v>0</v>
      </c>
      <c r="L148">
        <f>SUM($C148:E148)</f>
        <v>0</v>
      </c>
      <c r="M148">
        <f>SUM($C148:F148)</f>
        <v>0</v>
      </c>
      <c r="N148">
        <f>SUM($C148:G148)</f>
        <v>0</v>
      </c>
      <c r="O148">
        <f>SUM($C148:H148)</f>
        <v>0</v>
      </c>
      <c r="P148">
        <f>SUM($C148:I148)</f>
        <v>0</v>
      </c>
    </row>
    <row r="149" spans="1:16" x14ac:dyDescent="0.35">
      <c r="A149" t="s">
        <v>406</v>
      </c>
      <c r="B149" t="s">
        <v>475</v>
      </c>
      <c r="C149">
        <f>VLOOKUP($B149,lowest_10!$B$5:$BH$270,59,0)</f>
        <v>0</v>
      </c>
      <c r="D149">
        <f>VLOOKUP($B149,lowest_20!$B$5:$BH$270,59,0)-C149</f>
        <v>0</v>
      </c>
      <c r="E149">
        <f>VLOOKUP($B149,second_20!$B$5:$BH$270,59,0)</f>
        <v>0</v>
      </c>
      <c r="F149">
        <f>VLOOKUP($B149,third_20!$B$5:$BH$270,59,0)</f>
        <v>0</v>
      </c>
      <c r="G149">
        <f>VLOOKUP($B149,fourth_20!$B$5:$BH$270,59,0)</f>
        <v>0</v>
      </c>
      <c r="H149">
        <f>VLOOKUP($B149,highest_20!$B$5:$BH$270,59,0)-I149</f>
        <v>0</v>
      </c>
      <c r="I149">
        <f>VLOOKUP($B149,highest_10!$B$5:$BH$270,59,0)</f>
        <v>0</v>
      </c>
      <c r="J149">
        <f>SUM($C149:C149)</f>
        <v>0</v>
      </c>
      <c r="K149">
        <f>SUM($C149:D149)</f>
        <v>0</v>
      </c>
      <c r="L149">
        <f>SUM($C149:E149)</f>
        <v>0</v>
      </c>
      <c r="M149">
        <f>SUM($C149:F149)</f>
        <v>0</v>
      </c>
      <c r="N149">
        <f>SUM($C149:G149)</f>
        <v>0</v>
      </c>
      <c r="O149">
        <f>SUM($C149:H149)</f>
        <v>0</v>
      </c>
      <c r="P149">
        <f>SUM($C149:I149)</f>
        <v>0</v>
      </c>
    </row>
    <row r="150" spans="1:16" x14ac:dyDescent="0.35">
      <c r="A150" t="s">
        <v>37</v>
      </c>
      <c r="B150" t="s">
        <v>205</v>
      </c>
      <c r="C150">
        <f>VLOOKUP($B150,lowest_10!$B$5:$BH$270,59,0)</f>
        <v>0</v>
      </c>
      <c r="D150">
        <f>VLOOKUP($B150,lowest_20!$B$5:$BH$270,59,0)-C150</f>
        <v>0</v>
      </c>
      <c r="E150">
        <f>VLOOKUP($B150,second_20!$B$5:$BH$270,59,0)</f>
        <v>0</v>
      </c>
      <c r="F150">
        <f>VLOOKUP($B150,third_20!$B$5:$BH$270,59,0)</f>
        <v>0</v>
      </c>
      <c r="G150">
        <f>VLOOKUP($B150,fourth_20!$B$5:$BH$270,59,0)</f>
        <v>0</v>
      </c>
      <c r="H150">
        <f>VLOOKUP($B150,highest_20!$B$5:$BH$270,59,0)-I150</f>
        <v>0</v>
      </c>
      <c r="I150">
        <f>VLOOKUP($B150,highest_10!$B$5:$BH$270,59,0)</f>
        <v>0</v>
      </c>
      <c r="J150">
        <f>SUM($C150:C150)</f>
        <v>0</v>
      </c>
      <c r="K150">
        <f>SUM($C150:D150)</f>
        <v>0</v>
      </c>
      <c r="L150">
        <f>SUM($C150:E150)</f>
        <v>0</v>
      </c>
      <c r="M150">
        <f>SUM($C150:F150)</f>
        <v>0</v>
      </c>
      <c r="N150">
        <f>SUM($C150:G150)</f>
        <v>0</v>
      </c>
      <c r="O150">
        <f>SUM($C150:H150)</f>
        <v>0</v>
      </c>
      <c r="P150">
        <f>SUM($C150:I150)</f>
        <v>0</v>
      </c>
    </row>
    <row r="151" spans="1:16" x14ac:dyDescent="0.35">
      <c r="A151" t="s">
        <v>414</v>
      </c>
      <c r="B151" t="s">
        <v>6</v>
      </c>
      <c r="C151">
        <f>VLOOKUP($B151,lowest_10!$B$5:$BH$270,59,0)</f>
        <v>0</v>
      </c>
      <c r="D151">
        <f>VLOOKUP($B151,lowest_20!$B$5:$BH$270,59,0)-C151</f>
        <v>0</v>
      </c>
      <c r="E151">
        <f>VLOOKUP($B151,second_20!$B$5:$BH$270,59,0)</f>
        <v>0</v>
      </c>
      <c r="F151">
        <f>VLOOKUP($B151,third_20!$B$5:$BH$270,59,0)</f>
        <v>0</v>
      </c>
      <c r="G151">
        <f>VLOOKUP($B151,fourth_20!$B$5:$BH$270,59,0)</f>
        <v>0</v>
      </c>
      <c r="H151">
        <f>VLOOKUP($B151,highest_20!$B$5:$BH$270,59,0)-I151</f>
        <v>0</v>
      </c>
      <c r="I151">
        <f>VLOOKUP($B151,highest_10!$B$5:$BH$270,59,0)</f>
        <v>0</v>
      </c>
      <c r="J151">
        <f>SUM($C151:C151)</f>
        <v>0</v>
      </c>
      <c r="K151">
        <f>SUM($C151:D151)</f>
        <v>0</v>
      </c>
      <c r="L151">
        <f>SUM($C151:E151)</f>
        <v>0</v>
      </c>
      <c r="M151">
        <f>SUM($C151:F151)</f>
        <v>0</v>
      </c>
      <c r="N151">
        <f>SUM($C151:G151)</f>
        <v>0</v>
      </c>
      <c r="O151">
        <f>SUM($C151:H151)</f>
        <v>0</v>
      </c>
      <c r="P151">
        <f>SUM($C151:I151)</f>
        <v>0</v>
      </c>
    </row>
    <row r="152" spans="1:16" x14ac:dyDescent="0.35">
      <c r="A152" t="s">
        <v>484</v>
      </c>
      <c r="B152" t="s">
        <v>88</v>
      </c>
      <c r="C152">
        <f>VLOOKUP($B152,lowest_10!$B$5:$BH$270,59,0)</f>
        <v>4.0999999999999996</v>
      </c>
      <c r="D152">
        <f>VLOOKUP($B152,lowest_20!$B$5:$BH$270,59,0)-C152</f>
        <v>5.6</v>
      </c>
      <c r="E152">
        <f>VLOOKUP($B152,second_20!$B$5:$BH$270,59,0)</f>
        <v>13.7</v>
      </c>
      <c r="F152">
        <f>VLOOKUP($B152,third_20!$B$5:$BH$270,59,0)</f>
        <v>17.5</v>
      </c>
      <c r="G152">
        <f>VLOOKUP($B152,fourth_20!$B$5:$BH$270,59,0)</f>
        <v>22.3</v>
      </c>
      <c r="H152">
        <f>VLOOKUP($B152,highest_20!$B$5:$BH$270,59,0)-I152</f>
        <v>14.399999999999999</v>
      </c>
      <c r="I152">
        <f>VLOOKUP($B152,highest_10!$B$5:$BH$270,59,0)</f>
        <v>22.5</v>
      </c>
      <c r="J152">
        <f>SUM($C152:C152)</f>
        <v>4.0999999999999996</v>
      </c>
      <c r="K152">
        <f>SUM($C152:D152)</f>
        <v>9.6999999999999993</v>
      </c>
      <c r="L152">
        <f>SUM($C152:E152)</f>
        <v>23.4</v>
      </c>
      <c r="M152">
        <f>SUM($C152:F152)</f>
        <v>40.9</v>
      </c>
      <c r="N152">
        <f>SUM($C152:G152)</f>
        <v>63.2</v>
      </c>
      <c r="O152">
        <f>SUM($C152:H152)</f>
        <v>77.599999999999994</v>
      </c>
      <c r="P152">
        <f>SUM($C152:I152)</f>
        <v>100.1</v>
      </c>
    </row>
    <row r="153" spans="1:16" x14ac:dyDescent="0.35">
      <c r="A153" t="s">
        <v>427</v>
      </c>
      <c r="B153" t="s">
        <v>17</v>
      </c>
      <c r="C153">
        <f>VLOOKUP($B153,lowest_10!$B$5:$BH$270,59,0)</f>
        <v>0</v>
      </c>
      <c r="D153">
        <f>VLOOKUP($B153,lowest_20!$B$5:$BH$270,59,0)-C153</f>
        <v>0</v>
      </c>
      <c r="E153">
        <f>VLOOKUP($B153,second_20!$B$5:$BH$270,59,0)</f>
        <v>0</v>
      </c>
      <c r="F153">
        <f>VLOOKUP($B153,third_20!$B$5:$BH$270,59,0)</f>
        <v>0</v>
      </c>
      <c r="G153">
        <f>VLOOKUP($B153,fourth_20!$B$5:$BH$270,59,0)</f>
        <v>0</v>
      </c>
      <c r="H153">
        <f>VLOOKUP($B153,highest_20!$B$5:$BH$270,59,0)-I153</f>
        <v>0</v>
      </c>
      <c r="I153">
        <f>VLOOKUP($B153,highest_10!$B$5:$BH$270,59,0)</f>
        <v>0</v>
      </c>
      <c r="J153">
        <f>SUM($C153:C153)</f>
        <v>0</v>
      </c>
      <c r="K153">
        <f>SUM($C153:D153)</f>
        <v>0</v>
      </c>
      <c r="L153">
        <f>SUM($C153:E153)</f>
        <v>0</v>
      </c>
      <c r="M153">
        <f>SUM($C153:F153)</f>
        <v>0</v>
      </c>
      <c r="N153">
        <f>SUM($C153:G153)</f>
        <v>0</v>
      </c>
      <c r="O153">
        <f>SUM($C153:H153)</f>
        <v>0</v>
      </c>
      <c r="P153">
        <f>SUM($C153:I153)</f>
        <v>0</v>
      </c>
    </row>
    <row r="154" spans="1:16" x14ac:dyDescent="0.35">
      <c r="A154" t="s">
        <v>228</v>
      </c>
      <c r="B154" t="s">
        <v>97</v>
      </c>
      <c r="C154">
        <f>VLOOKUP($B154,lowest_10!$B$5:$BH$270,59,0)</f>
        <v>0</v>
      </c>
      <c r="D154">
        <f>VLOOKUP($B154,lowest_20!$B$5:$BH$270,59,0)-C154</f>
        <v>0</v>
      </c>
      <c r="E154">
        <f>VLOOKUP($B154,second_20!$B$5:$BH$270,59,0)</f>
        <v>0</v>
      </c>
      <c r="F154">
        <f>VLOOKUP($B154,third_20!$B$5:$BH$270,59,0)</f>
        <v>0</v>
      </c>
      <c r="G154">
        <f>VLOOKUP($B154,fourth_20!$B$5:$BH$270,59,0)</f>
        <v>0</v>
      </c>
      <c r="H154">
        <f>VLOOKUP($B154,highest_20!$B$5:$BH$270,59,0)-I154</f>
        <v>0</v>
      </c>
      <c r="I154">
        <f>VLOOKUP($B154,highest_10!$B$5:$BH$270,59,0)</f>
        <v>0</v>
      </c>
      <c r="J154">
        <f>SUM($C154:C154)</f>
        <v>0</v>
      </c>
      <c r="K154">
        <f>SUM($C154:D154)</f>
        <v>0</v>
      </c>
      <c r="L154">
        <f>SUM($C154:E154)</f>
        <v>0</v>
      </c>
      <c r="M154">
        <f>SUM($C154:F154)</f>
        <v>0</v>
      </c>
      <c r="N154">
        <f>SUM($C154:G154)</f>
        <v>0</v>
      </c>
      <c r="O154">
        <f>SUM($C154:H154)</f>
        <v>0</v>
      </c>
      <c r="P154">
        <f>SUM($C154:I154)</f>
        <v>0</v>
      </c>
    </row>
    <row r="155" spans="1:16" x14ac:dyDescent="0.35">
      <c r="A155" t="s">
        <v>583</v>
      </c>
      <c r="B155" t="s">
        <v>164</v>
      </c>
      <c r="C155">
        <f>VLOOKUP($B155,lowest_10!$B$5:$BH$270,59,0)</f>
        <v>0</v>
      </c>
      <c r="D155">
        <f>VLOOKUP($B155,lowest_20!$B$5:$BH$270,59,0)-C155</f>
        <v>0</v>
      </c>
      <c r="E155">
        <f>VLOOKUP($B155,second_20!$B$5:$BH$270,59,0)</f>
        <v>0</v>
      </c>
      <c r="F155">
        <f>VLOOKUP($B155,third_20!$B$5:$BH$270,59,0)</f>
        <v>0</v>
      </c>
      <c r="G155">
        <f>VLOOKUP($B155,fourth_20!$B$5:$BH$270,59,0)</f>
        <v>0</v>
      </c>
      <c r="H155">
        <f>VLOOKUP($B155,highest_20!$B$5:$BH$270,59,0)-I155</f>
        <v>0</v>
      </c>
      <c r="I155">
        <f>VLOOKUP($B155,highest_10!$B$5:$BH$270,59,0)</f>
        <v>0</v>
      </c>
      <c r="J155">
        <f>SUM($C155:C155)</f>
        <v>0</v>
      </c>
      <c r="K155">
        <f>SUM($C155:D155)</f>
        <v>0</v>
      </c>
      <c r="L155">
        <f>SUM($C155:E155)</f>
        <v>0</v>
      </c>
      <c r="M155">
        <f>SUM($C155:F155)</f>
        <v>0</v>
      </c>
      <c r="N155">
        <f>SUM($C155:G155)</f>
        <v>0</v>
      </c>
      <c r="O155">
        <f>SUM($C155:H155)</f>
        <v>0</v>
      </c>
      <c r="P155">
        <f>SUM($C155:I155)</f>
        <v>0</v>
      </c>
    </row>
    <row r="156" spans="1:16" x14ac:dyDescent="0.35">
      <c r="A156" t="s">
        <v>246</v>
      </c>
      <c r="B156" t="s">
        <v>310</v>
      </c>
      <c r="C156">
        <f>VLOOKUP($B156,lowest_10!$B$5:$BH$270,59,0)</f>
        <v>0</v>
      </c>
      <c r="D156">
        <f>VLOOKUP($B156,lowest_20!$B$5:$BH$270,59,0)-C156</f>
        <v>0</v>
      </c>
      <c r="E156">
        <f>VLOOKUP($B156,second_20!$B$5:$BH$270,59,0)</f>
        <v>0</v>
      </c>
      <c r="F156">
        <f>VLOOKUP($B156,third_20!$B$5:$BH$270,59,0)</f>
        <v>0</v>
      </c>
      <c r="G156">
        <f>VLOOKUP($B156,fourth_20!$B$5:$BH$270,59,0)</f>
        <v>0</v>
      </c>
      <c r="H156">
        <f>VLOOKUP($B156,highest_20!$B$5:$BH$270,59,0)-I156</f>
        <v>0</v>
      </c>
      <c r="I156">
        <f>VLOOKUP($B156,highest_10!$B$5:$BH$270,59,0)</f>
        <v>0</v>
      </c>
      <c r="J156">
        <f>SUM($C156:C156)</f>
        <v>0</v>
      </c>
      <c r="K156">
        <f>SUM($C156:D156)</f>
        <v>0</v>
      </c>
      <c r="L156">
        <f>SUM($C156:E156)</f>
        <v>0</v>
      </c>
      <c r="M156">
        <f>SUM($C156:F156)</f>
        <v>0</v>
      </c>
      <c r="N156">
        <f>SUM($C156:G156)</f>
        <v>0</v>
      </c>
      <c r="O156">
        <f>SUM($C156:H156)</f>
        <v>0</v>
      </c>
      <c r="P156">
        <f>SUM($C156:I156)</f>
        <v>0</v>
      </c>
    </row>
    <row r="157" spans="1:16" x14ac:dyDescent="0.35">
      <c r="A157" t="s">
        <v>707</v>
      </c>
      <c r="B157" t="s">
        <v>641</v>
      </c>
      <c r="C157">
        <f>VLOOKUP($B157,lowest_10!$B$5:$BH$270,59,0)</f>
        <v>0</v>
      </c>
      <c r="D157">
        <f>VLOOKUP($B157,lowest_20!$B$5:$BH$270,59,0)-C157</f>
        <v>0</v>
      </c>
      <c r="E157">
        <f>VLOOKUP($B157,second_20!$B$5:$BH$270,59,0)</f>
        <v>0</v>
      </c>
      <c r="F157">
        <f>VLOOKUP($B157,third_20!$B$5:$BH$270,59,0)</f>
        <v>0</v>
      </c>
      <c r="G157">
        <f>VLOOKUP($B157,fourth_20!$B$5:$BH$270,59,0)</f>
        <v>0</v>
      </c>
      <c r="H157">
        <f>VLOOKUP($B157,highest_20!$B$5:$BH$270,59,0)-I157</f>
        <v>0</v>
      </c>
      <c r="I157">
        <f>VLOOKUP($B157,highest_10!$B$5:$BH$270,59,0)</f>
        <v>0</v>
      </c>
      <c r="J157">
        <f>SUM($C157:C157)</f>
        <v>0</v>
      </c>
      <c r="K157">
        <f>SUM($C157:D157)</f>
        <v>0</v>
      </c>
      <c r="L157">
        <f>SUM($C157:E157)</f>
        <v>0</v>
      </c>
      <c r="M157">
        <f>SUM($C157:F157)</f>
        <v>0</v>
      </c>
      <c r="N157">
        <f>SUM($C157:G157)</f>
        <v>0</v>
      </c>
      <c r="O157">
        <f>SUM($C157:H157)</f>
        <v>0</v>
      </c>
      <c r="P157">
        <f>SUM($C157:I157)</f>
        <v>0</v>
      </c>
    </row>
    <row r="158" spans="1:16" x14ac:dyDescent="0.35">
      <c r="A158" t="s">
        <v>458</v>
      </c>
      <c r="B158" t="s">
        <v>600</v>
      </c>
      <c r="C158">
        <f>VLOOKUP($B158,lowest_10!$B$5:$BH$270,59,0)</f>
        <v>0</v>
      </c>
      <c r="D158">
        <f>VLOOKUP($B158,lowest_20!$B$5:$BH$270,59,0)-C158</f>
        <v>0</v>
      </c>
      <c r="E158">
        <f>VLOOKUP($B158,second_20!$B$5:$BH$270,59,0)</f>
        <v>0</v>
      </c>
      <c r="F158">
        <f>VLOOKUP($B158,third_20!$B$5:$BH$270,59,0)</f>
        <v>0</v>
      </c>
      <c r="G158">
        <f>VLOOKUP($B158,fourth_20!$B$5:$BH$270,59,0)</f>
        <v>0</v>
      </c>
      <c r="H158">
        <f>VLOOKUP($B158,highest_20!$B$5:$BH$270,59,0)-I158</f>
        <v>0</v>
      </c>
      <c r="I158">
        <f>VLOOKUP($B158,highest_10!$B$5:$BH$270,59,0)</f>
        <v>0</v>
      </c>
      <c r="J158">
        <f>SUM($C158:C158)</f>
        <v>0</v>
      </c>
      <c r="K158">
        <f>SUM($C158:D158)</f>
        <v>0</v>
      </c>
      <c r="L158">
        <f>SUM($C158:E158)</f>
        <v>0</v>
      </c>
      <c r="M158">
        <f>SUM($C158:F158)</f>
        <v>0</v>
      </c>
      <c r="N158">
        <f>SUM($C158:G158)</f>
        <v>0</v>
      </c>
      <c r="O158">
        <f>SUM($C158:H158)</f>
        <v>0</v>
      </c>
      <c r="P158">
        <f>SUM($C158:I158)</f>
        <v>0</v>
      </c>
    </row>
    <row r="159" spans="1:16" x14ac:dyDescent="0.35">
      <c r="A159" t="s">
        <v>123</v>
      </c>
      <c r="B159" t="s">
        <v>654</v>
      </c>
      <c r="C159">
        <f>VLOOKUP($B159,lowest_10!$B$5:$BH$270,59,0)</f>
        <v>1.7</v>
      </c>
      <c r="D159">
        <f>VLOOKUP($B159,lowest_20!$B$5:$BH$270,59,0)-C159</f>
        <v>3.8999999999999995</v>
      </c>
      <c r="E159">
        <f>VLOOKUP($B159,second_20!$B$5:$BH$270,59,0)</f>
        <v>11.7</v>
      </c>
      <c r="F159">
        <f>VLOOKUP($B159,third_20!$B$5:$BH$270,59,0)</f>
        <v>17.399999999999999</v>
      </c>
      <c r="G159">
        <f>VLOOKUP($B159,fourth_20!$B$5:$BH$270,59,0)</f>
        <v>24.2</v>
      </c>
      <c r="H159">
        <f>VLOOKUP($B159,highest_20!$B$5:$BH$270,59,0)-I159</f>
        <v>16.3</v>
      </c>
      <c r="I159">
        <f>VLOOKUP($B159,highest_10!$B$5:$BH$270,59,0)</f>
        <v>24.8</v>
      </c>
      <c r="J159">
        <f>SUM($C159:C159)</f>
        <v>1.7</v>
      </c>
      <c r="K159">
        <f>SUM($C159:D159)</f>
        <v>5.6</v>
      </c>
      <c r="L159">
        <f>SUM($C159:E159)</f>
        <v>17.299999999999997</v>
      </c>
      <c r="M159">
        <f>SUM($C159:F159)</f>
        <v>34.699999999999996</v>
      </c>
      <c r="N159">
        <f>SUM($C159:G159)</f>
        <v>58.899999999999991</v>
      </c>
      <c r="O159">
        <f>SUM($C159:H159)</f>
        <v>75.199999999999989</v>
      </c>
      <c r="P159">
        <f>SUM($C159:I159)</f>
        <v>99.999999999999986</v>
      </c>
    </row>
    <row r="160" spans="1:16" x14ac:dyDescent="0.35">
      <c r="A160" t="s">
        <v>357</v>
      </c>
      <c r="B160" t="s">
        <v>612</v>
      </c>
      <c r="C160">
        <f>VLOOKUP($B160,lowest_10!$B$5:$BH$270,59,0)</f>
        <v>0</v>
      </c>
      <c r="D160">
        <f>VLOOKUP($B160,lowest_20!$B$5:$BH$270,59,0)-C160</f>
        <v>0</v>
      </c>
      <c r="E160">
        <f>VLOOKUP($B160,second_20!$B$5:$BH$270,59,0)</f>
        <v>0</v>
      </c>
      <c r="F160">
        <f>VLOOKUP($B160,third_20!$B$5:$BH$270,59,0)</f>
        <v>0</v>
      </c>
      <c r="G160">
        <f>VLOOKUP($B160,fourth_20!$B$5:$BH$270,59,0)</f>
        <v>0</v>
      </c>
      <c r="H160">
        <f>VLOOKUP($B160,highest_20!$B$5:$BH$270,59,0)-I160</f>
        <v>0</v>
      </c>
      <c r="I160">
        <f>VLOOKUP($B160,highest_10!$B$5:$BH$270,59,0)</f>
        <v>0</v>
      </c>
      <c r="J160">
        <f>SUM($C160:C160)</f>
        <v>0</v>
      </c>
      <c r="K160">
        <f>SUM($C160:D160)</f>
        <v>0</v>
      </c>
      <c r="L160">
        <f>SUM($C160:E160)</f>
        <v>0</v>
      </c>
      <c r="M160">
        <f>SUM($C160:F160)</f>
        <v>0</v>
      </c>
      <c r="N160">
        <f>SUM($C160:G160)</f>
        <v>0</v>
      </c>
      <c r="O160">
        <f>SUM($C160:H160)</f>
        <v>0</v>
      </c>
      <c r="P160">
        <f>SUM($C160:I160)</f>
        <v>0</v>
      </c>
    </row>
    <row r="161" spans="1:16" x14ac:dyDescent="0.35">
      <c r="A161" t="s">
        <v>407</v>
      </c>
      <c r="B161" t="s">
        <v>119</v>
      </c>
      <c r="C161">
        <f>VLOOKUP($B161,lowest_10!$B$5:$BH$270,59,0)</f>
        <v>3.4</v>
      </c>
      <c r="D161">
        <f>VLOOKUP($B161,lowest_20!$B$5:$BH$270,59,0)-C161</f>
        <v>5.0999999999999996</v>
      </c>
      <c r="E161">
        <f>VLOOKUP($B161,second_20!$B$5:$BH$270,59,0)</f>
        <v>13.4</v>
      </c>
      <c r="F161">
        <f>VLOOKUP($B161,third_20!$B$5:$BH$270,59,0)</f>
        <v>17.399999999999999</v>
      </c>
      <c r="G161">
        <f>VLOOKUP($B161,fourth_20!$B$5:$BH$270,59,0)</f>
        <v>22.5</v>
      </c>
      <c r="H161">
        <f>VLOOKUP($B161,highest_20!$B$5:$BH$270,59,0)-I161</f>
        <v>14.5</v>
      </c>
      <c r="I161">
        <f>VLOOKUP($B161,highest_10!$B$5:$BH$270,59,0)</f>
        <v>23.6</v>
      </c>
      <c r="J161">
        <f>SUM($C161:C161)</f>
        <v>3.4</v>
      </c>
      <c r="K161">
        <f>SUM($C161:D161)</f>
        <v>8.5</v>
      </c>
      <c r="L161">
        <f>SUM($C161:E161)</f>
        <v>21.9</v>
      </c>
      <c r="M161">
        <f>SUM($C161:F161)</f>
        <v>39.299999999999997</v>
      </c>
      <c r="N161">
        <f>SUM($C161:G161)</f>
        <v>61.8</v>
      </c>
      <c r="O161">
        <f>SUM($C161:H161)</f>
        <v>76.3</v>
      </c>
      <c r="P161">
        <f>SUM($C161:I161)</f>
        <v>99.9</v>
      </c>
    </row>
    <row r="162" spans="1:16" x14ac:dyDescent="0.35">
      <c r="A162" t="s">
        <v>433</v>
      </c>
      <c r="B162" t="s">
        <v>69</v>
      </c>
      <c r="C162">
        <f>VLOOKUP($B162,lowest_10!$B$5:$BH$270,59,0)</f>
        <v>3</v>
      </c>
      <c r="D162">
        <f>VLOOKUP($B162,lowest_20!$B$5:$BH$270,59,0)-C162</f>
        <v>4.3</v>
      </c>
      <c r="E162">
        <f>VLOOKUP($B162,second_20!$B$5:$BH$270,59,0)</f>
        <v>11.3</v>
      </c>
      <c r="F162">
        <f>VLOOKUP($B162,third_20!$B$5:$BH$270,59,0)</f>
        <v>15</v>
      </c>
      <c r="G162">
        <f>VLOOKUP($B162,fourth_20!$B$5:$BH$270,59,0)</f>
        <v>20.6</v>
      </c>
      <c r="H162">
        <f>VLOOKUP($B162,highest_20!$B$5:$BH$270,59,0)-I162</f>
        <v>14.000000000000004</v>
      </c>
      <c r="I162">
        <f>VLOOKUP($B162,highest_10!$B$5:$BH$270,59,0)</f>
        <v>31.7</v>
      </c>
      <c r="J162">
        <f>SUM($C162:C162)</f>
        <v>3</v>
      </c>
      <c r="K162">
        <f>SUM($C162:D162)</f>
        <v>7.3</v>
      </c>
      <c r="L162">
        <f>SUM($C162:E162)</f>
        <v>18.600000000000001</v>
      </c>
      <c r="M162">
        <f>SUM($C162:F162)</f>
        <v>33.6</v>
      </c>
      <c r="N162">
        <f>SUM($C162:G162)</f>
        <v>54.2</v>
      </c>
      <c r="O162">
        <f>SUM($C162:H162)</f>
        <v>68.2</v>
      </c>
      <c r="P162">
        <f>SUM($C162:I162)</f>
        <v>99.9</v>
      </c>
    </row>
    <row r="163" spans="1:16" x14ac:dyDescent="0.35">
      <c r="A163" t="s">
        <v>660</v>
      </c>
      <c r="B163" t="s">
        <v>553</v>
      </c>
      <c r="C163">
        <f>VLOOKUP($B163,lowest_10!$B$5:$BH$270,59,0)</f>
        <v>0</v>
      </c>
      <c r="D163">
        <f>VLOOKUP($B163,lowest_20!$B$5:$BH$270,59,0)-C163</f>
        <v>0</v>
      </c>
      <c r="E163">
        <f>VLOOKUP($B163,second_20!$B$5:$BH$270,59,0)</f>
        <v>0</v>
      </c>
      <c r="F163">
        <f>VLOOKUP($B163,third_20!$B$5:$BH$270,59,0)</f>
        <v>0</v>
      </c>
      <c r="G163">
        <f>VLOOKUP($B163,fourth_20!$B$5:$BH$270,59,0)</f>
        <v>0</v>
      </c>
      <c r="H163">
        <f>VLOOKUP($B163,highest_20!$B$5:$BH$270,59,0)-I163</f>
        <v>0</v>
      </c>
      <c r="I163">
        <f>VLOOKUP($B163,highest_10!$B$5:$BH$270,59,0)</f>
        <v>0</v>
      </c>
      <c r="J163">
        <f>SUM($C163:C163)</f>
        <v>0</v>
      </c>
      <c r="K163">
        <f>SUM($C163:D163)</f>
        <v>0</v>
      </c>
      <c r="L163">
        <f>SUM($C163:E163)</f>
        <v>0</v>
      </c>
      <c r="M163">
        <f>SUM($C163:F163)</f>
        <v>0</v>
      </c>
      <c r="N163">
        <f>SUM($C163:G163)</f>
        <v>0</v>
      </c>
      <c r="O163">
        <f>SUM($C163:H163)</f>
        <v>0</v>
      </c>
      <c r="P163">
        <f>SUM($C163:I163)</f>
        <v>0</v>
      </c>
    </row>
    <row r="164" spans="1:16" x14ac:dyDescent="0.35">
      <c r="A164" t="s">
        <v>412</v>
      </c>
      <c r="B164" t="s">
        <v>201</v>
      </c>
      <c r="C164">
        <f>VLOOKUP($B164,lowest_10!$B$5:$BH$270,59,0)</f>
        <v>1.8</v>
      </c>
      <c r="D164">
        <f>VLOOKUP($B164,lowest_20!$B$5:$BH$270,59,0)-C164</f>
        <v>3.4000000000000004</v>
      </c>
      <c r="E164">
        <f>VLOOKUP($B164,second_20!$B$5:$BH$270,59,0)</f>
        <v>10.7</v>
      </c>
      <c r="F164">
        <f>VLOOKUP($B164,third_20!$B$5:$BH$270,59,0)</f>
        <v>16.3</v>
      </c>
      <c r="G164">
        <f>VLOOKUP($B164,fourth_20!$B$5:$BH$270,59,0)</f>
        <v>23.5</v>
      </c>
      <c r="H164">
        <f>VLOOKUP($B164,highest_20!$B$5:$BH$270,59,0)-I164</f>
        <v>16.599999999999998</v>
      </c>
      <c r="I164">
        <f>VLOOKUP($B164,highest_10!$B$5:$BH$270,59,0)</f>
        <v>27.7</v>
      </c>
      <c r="J164">
        <f>SUM($C164:C164)</f>
        <v>1.8</v>
      </c>
      <c r="K164">
        <f>SUM($C164:D164)</f>
        <v>5.2</v>
      </c>
      <c r="L164">
        <f>SUM($C164:E164)</f>
        <v>15.899999999999999</v>
      </c>
      <c r="M164">
        <f>SUM($C164:F164)</f>
        <v>32.200000000000003</v>
      </c>
      <c r="N164">
        <f>SUM($C164:G164)</f>
        <v>55.7</v>
      </c>
      <c r="O164">
        <f>SUM($C164:H164)</f>
        <v>72.3</v>
      </c>
      <c r="P164">
        <f>SUM($C164:I164)</f>
        <v>100</v>
      </c>
    </row>
    <row r="165" spans="1:16" x14ac:dyDescent="0.35">
      <c r="A165" t="s">
        <v>405</v>
      </c>
      <c r="B165" t="s">
        <v>481</v>
      </c>
      <c r="C165">
        <f>VLOOKUP($B165,lowest_10!$B$5:$BH$270,59,0)</f>
        <v>0</v>
      </c>
      <c r="D165">
        <f>VLOOKUP($B165,lowest_20!$B$5:$BH$270,59,0)-C165</f>
        <v>0</v>
      </c>
      <c r="E165">
        <f>VLOOKUP($B165,second_20!$B$5:$BH$270,59,0)</f>
        <v>0</v>
      </c>
      <c r="F165">
        <f>VLOOKUP($B165,third_20!$B$5:$BH$270,59,0)</f>
        <v>0</v>
      </c>
      <c r="G165">
        <f>VLOOKUP($B165,fourth_20!$B$5:$BH$270,59,0)</f>
        <v>0</v>
      </c>
      <c r="H165">
        <f>VLOOKUP($B165,highest_20!$B$5:$BH$270,59,0)-I165</f>
        <v>0</v>
      </c>
      <c r="I165">
        <f>VLOOKUP($B165,highest_10!$B$5:$BH$270,59,0)</f>
        <v>0</v>
      </c>
      <c r="J165">
        <f>SUM($C165:C165)</f>
        <v>0</v>
      </c>
      <c r="K165">
        <f>SUM($C165:D165)</f>
        <v>0</v>
      </c>
      <c r="L165">
        <f>SUM($C165:E165)</f>
        <v>0</v>
      </c>
      <c r="M165">
        <f>SUM($C165:F165)</f>
        <v>0</v>
      </c>
      <c r="N165">
        <f>SUM($C165:G165)</f>
        <v>0</v>
      </c>
      <c r="O165">
        <f>SUM($C165:H165)</f>
        <v>0</v>
      </c>
      <c r="P165">
        <f>SUM($C165:I165)</f>
        <v>0</v>
      </c>
    </row>
    <row r="166" spans="1:16" x14ac:dyDescent="0.35">
      <c r="A166" t="s">
        <v>184</v>
      </c>
      <c r="B166" t="s">
        <v>613</v>
      </c>
      <c r="C166">
        <f>VLOOKUP($B166,lowest_10!$B$5:$BH$270,59,0)</f>
        <v>0</v>
      </c>
      <c r="D166">
        <f>VLOOKUP($B166,lowest_20!$B$5:$BH$270,59,0)-C166</f>
        <v>0</v>
      </c>
      <c r="E166">
        <f>VLOOKUP($B166,second_20!$B$5:$BH$270,59,0)</f>
        <v>0</v>
      </c>
      <c r="F166">
        <f>VLOOKUP($B166,third_20!$B$5:$BH$270,59,0)</f>
        <v>0</v>
      </c>
      <c r="G166">
        <f>VLOOKUP($B166,fourth_20!$B$5:$BH$270,59,0)</f>
        <v>0</v>
      </c>
      <c r="H166">
        <f>VLOOKUP($B166,highest_20!$B$5:$BH$270,59,0)-I166</f>
        <v>0</v>
      </c>
      <c r="I166">
        <f>VLOOKUP($B166,highest_10!$B$5:$BH$270,59,0)</f>
        <v>0</v>
      </c>
      <c r="J166">
        <f>SUM($C166:C166)</f>
        <v>0</v>
      </c>
      <c r="K166">
        <f>SUM($C166:D166)</f>
        <v>0</v>
      </c>
      <c r="L166">
        <f>SUM($C166:E166)</f>
        <v>0</v>
      </c>
      <c r="M166">
        <f>SUM($C166:F166)</f>
        <v>0</v>
      </c>
      <c r="N166">
        <f>SUM($C166:G166)</f>
        <v>0</v>
      </c>
      <c r="O166">
        <f>SUM($C166:H166)</f>
        <v>0</v>
      </c>
      <c r="P166">
        <f>SUM($C166:I166)</f>
        <v>0</v>
      </c>
    </row>
    <row r="167" spans="1:16" x14ac:dyDescent="0.35">
      <c r="A167" t="s">
        <v>606</v>
      </c>
      <c r="B167" t="s">
        <v>141</v>
      </c>
      <c r="C167">
        <f>VLOOKUP($B167,lowest_10!$B$5:$BH$270,59,0)</f>
        <v>0</v>
      </c>
      <c r="D167">
        <f>VLOOKUP($B167,lowest_20!$B$5:$BH$270,59,0)-C167</f>
        <v>0</v>
      </c>
      <c r="E167">
        <f>VLOOKUP($B167,second_20!$B$5:$BH$270,59,0)</f>
        <v>0</v>
      </c>
      <c r="F167">
        <f>VLOOKUP($B167,third_20!$B$5:$BH$270,59,0)</f>
        <v>0</v>
      </c>
      <c r="G167">
        <f>VLOOKUP($B167,fourth_20!$B$5:$BH$270,59,0)</f>
        <v>0</v>
      </c>
      <c r="H167">
        <f>VLOOKUP($B167,highest_20!$B$5:$BH$270,59,0)-I167</f>
        <v>0</v>
      </c>
      <c r="I167">
        <f>VLOOKUP($B167,highest_10!$B$5:$BH$270,59,0)</f>
        <v>0</v>
      </c>
      <c r="J167">
        <f>SUM($C167:C167)</f>
        <v>0</v>
      </c>
      <c r="K167">
        <f>SUM($C167:D167)</f>
        <v>0</v>
      </c>
      <c r="L167">
        <f>SUM($C167:E167)</f>
        <v>0</v>
      </c>
      <c r="M167">
        <f>SUM($C167:F167)</f>
        <v>0</v>
      </c>
      <c r="N167">
        <f>SUM($C167:G167)</f>
        <v>0</v>
      </c>
      <c r="O167">
        <f>SUM($C167:H167)</f>
        <v>0</v>
      </c>
      <c r="P167">
        <f>SUM($C167:I167)</f>
        <v>0</v>
      </c>
    </row>
    <row r="168" spans="1:16" x14ac:dyDescent="0.35">
      <c r="A168" t="s">
        <v>59</v>
      </c>
      <c r="B168" t="s">
        <v>419</v>
      </c>
      <c r="C168">
        <f>VLOOKUP($B168,lowest_10!$B$5:$BH$270,59,0)</f>
        <v>0</v>
      </c>
      <c r="D168">
        <f>VLOOKUP($B168,lowest_20!$B$5:$BH$270,59,0)-C168</f>
        <v>0</v>
      </c>
      <c r="E168">
        <f>VLOOKUP($B168,second_20!$B$5:$BH$270,59,0)</f>
        <v>0</v>
      </c>
      <c r="F168">
        <f>VLOOKUP($B168,third_20!$B$5:$BH$270,59,0)</f>
        <v>0</v>
      </c>
      <c r="G168">
        <f>VLOOKUP($B168,fourth_20!$B$5:$BH$270,59,0)</f>
        <v>0</v>
      </c>
      <c r="H168">
        <f>VLOOKUP($B168,highest_20!$B$5:$BH$270,59,0)-I168</f>
        <v>0</v>
      </c>
      <c r="I168">
        <f>VLOOKUP($B168,highest_10!$B$5:$BH$270,59,0)</f>
        <v>0</v>
      </c>
      <c r="J168">
        <f>SUM($C168:C168)</f>
        <v>0</v>
      </c>
      <c r="K168">
        <f>SUM($C168:D168)</f>
        <v>0</v>
      </c>
      <c r="L168">
        <f>SUM($C168:E168)</f>
        <v>0</v>
      </c>
      <c r="M168">
        <f>SUM($C168:F168)</f>
        <v>0</v>
      </c>
      <c r="N168">
        <f>SUM($C168:G168)</f>
        <v>0</v>
      </c>
      <c r="O168">
        <f>SUM($C168:H168)</f>
        <v>0</v>
      </c>
      <c r="P168">
        <f>SUM($C168:I168)</f>
        <v>0</v>
      </c>
    </row>
    <row r="169" spans="1:16" x14ac:dyDescent="0.35">
      <c r="A169" t="s">
        <v>52</v>
      </c>
      <c r="B169" t="s">
        <v>429</v>
      </c>
      <c r="C169">
        <f>VLOOKUP($B169,lowest_10!$B$5:$BH$270,59,0)</f>
        <v>0</v>
      </c>
      <c r="D169">
        <f>VLOOKUP($B169,lowest_20!$B$5:$BH$270,59,0)-C169</f>
        <v>0</v>
      </c>
      <c r="E169">
        <f>VLOOKUP($B169,second_20!$B$5:$BH$270,59,0)</f>
        <v>0</v>
      </c>
      <c r="F169">
        <f>VLOOKUP($B169,third_20!$B$5:$BH$270,59,0)</f>
        <v>0</v>
      </c>
      <c r="G169">
        <f>VLOOKUP($B169,fourth_20!$B$5:$BH$270,59,0)</f>
        <v>0</v>
      </c>
      <c r="H169">
        <f>VLOOKUP($B169,highest_20!$B$5:$BH$270,59,0)-I169</f>
        <v>0</v>
      </c>
      <c r="I169">
        <f>VLOOKUP($B169,highest_10!$B$5:$BH$270,59,0)</f>
        <v>0</v>
      </c>
      <c r="J169">
        <f>SUM($C169:C169)</f>
        <v>0</v>
      </c>
      <c r="K169">
        <f>SUM($C169:D169)</f>
        <v>0</v>
      </c>
      <c r="L169">
        <f>SUM($C169:E169)</f>
        <v>0</v>
      </c>
      <c r="M169">
        <f>SUM($C169:F169)</f>
        <v>0</v>
      </c>
      <c r="N169">
        <f>SUM($C169:G169)</f>
        <v>0</v>
      </c>
      <c r="O169">
        <f>SUM($C169:H169)</f>
        <v>0</v>
      </c>
      <c r="P169">
        <f>SUM($C169:I169)</f>
        <v>0</v>
      </c>
    </row>
    <row r="170" spans="1:16" x14ac:dyDescent="0.35">
      <c r="A170" t="s">
        <v>543</v>
      </c>
      <c r="B170" t="s">
        <v>247</v>
      </c>
      <c r="C170">
        <f>VLOOKUP($B170,lowest_10!$B$5:$BH$270,59,0)</f>
        <v>0</v>
      </c>
      <c r="D170">
        <f>VLOOKUP($B170,lowest_20!$B$5:$BH$270,59,0)-C170</f>
        <v>0</v>
      </c>
      <c r="E170">
        <f>VLOOKUP($B170,second_20!$B$5:$BH$270,59,0)</f>
        <v>0</v>
      </c>
      <c r="F170">
        <f>VLOOKUP($B170,third_20!$B$5:$BH$270,59,0)</f>
        <v>0</v>
      </c>
      <c r="G170">
        <f>VLOOKUP($B170,fourth_20!$B$5:$BH$270,59,0)</f>
        <v>0</v>
      </c>
      <c r="H170">
        <f>VLOOKUP($B170,highest_20!$B$5:$BH$270,59,0)-I170</f>
        <v>0</v>
      </c>
      <c r="I170">
        <f>VLOOKUP($B170,highest_10!$B$5:$BH$270,59,0)</f>
        <v>0</v>
      </c>
      <c r="J170">
        <f>SUM($C170:C170)</f>
        <v>0</v>
      </c>
      <c r="K170">
        <f>SUM($C170:D170)</f>
        <v>0</v>
      </c>
      <c r="L170">
        <f>SUM($C170:E170)</f>
        <v>0</v>
      </c>
      <c r="M170">
        <f>SUM($C170:F170)</f>
        <v>0</v>
      </c>
      <c r="N170">
        <f>SUM($C170:G170)</f>
        <v>0</v>
      </c>
      <c r="O170">
        <f>SUM($C170:H170)</f>
        <v>0</v>
      </c>
      <c r="P170">
        <f>SUM($C170:I170)</f>
        <v>0</v>
      </c>
    </row>
    <row r="171" spans="1:16" x14ac:dyDescent="0.35">
      <c r="A171" t="s">
        <v>452</v>
      </c>
      <c r="B171" t="s">
        <v>588</v>
      </c>
      <c r="C171">
        <f>VLOOKUP($B171,lowest_10!$B$5:$BH$270,59,0)</f>
        <v>2.2999999999999998</v>
      </c>
      <c r="D171">
        <f>VLOOKUP($B171,lowest_20!$B$5:$BH$270,59,0)-C171</f>
        <v>3.5</v>
      </c>
      <c r="E171">
        <f>VLOOKUP($B171,second_20!$B$5:$BH$270,59,0)</f>
        <v>10.1</v>
      </c>
      <c r="F171">
        <f>VLOOKUP($B171,third_20!$B$5:$BH$270,59,0)</f>
        <v>14.8</v>
      </c>
      <c r="G171">
        <f>VLOOKUP($B171,fourth_20!$B$5:$BH$270,59,0)</f>
        <v>22</v>
      </c>
      <c r="H171">
        <f>VLOOKUP($B171,highest_20!$B$5:$BH$270,59,0)-I171</f>
        <v>15.999999999999996</v>
      </c>
      <c r="I171">
        <f>VLOOKUP($B171,highest_10!$B$5:$BH$270,59,0)</f>
        <v>31.3</v>
      </c>
      <c r="J171">
        <f>SUM($C171:C171)</f>
        <v>2.2999999999999998</v>
      </c>
      <c r="K171">
        <f>SUM($C171:D171)</f>
        <v>5.8</v>
      </c>
      <c r="L171">
        <f>SUM($C171:E171)</f>
        <v>15.899999999999999</v>
      </c>
      <c r="M171">
        <f>SUM($C171:F171)</f>
        <v>30.7</v>
      </c>
      <c r="N171">
        <f>SUM($C171:G171)</f>
        <v>52.7</v>
      </c>
      <c r="O171">
        <f>SUM($C171:H171)</f>
        <v>68.7</v>
      </c>
      <c r="P171">
        <f>SUM($C171:I171)</f>
        <v>100</v>
      </c>
    </row>
    <row r="172" spans="1:16" x14ac:dyDescent="0.35">
      <c r="A172" t="s">
        <v>227</v>
      </c>
      <c r="B172" t="s">
        <v>664</v>
      </c>
      <c r="C172">
        <f>VLOOKUP($B172,lowest_10!$B$5:$BH$270,59,0)</f>
        <v>0</v>
      </c>
      <c r="D172">
        <f>VLOOKUP($B172,lowest_20!$B$5:$BH$270,59,0)-C172</f>
        <v>0</v>
      </c>
      <c r="E172">
        <f>VLOOKUP($B172,second_20!$B$5:$BH$270,59,0)</f>
        <v>0</v>
      </c>
      <c r="F172">
        <f>VLOOKUP($B172,third_20!$B$5:$BH$270,59,0)</f>
        <v>0</v>
      </c>
      <c r="G172">
        <f>VLOOKUP($B172,fourth_20!$B$5:$BH$270,59,0)</f>
        <v>0</v>
      </c>
      <c r="H172">
        <f>VLOOKUP($B172,highest_20!$B$5:$BH$270,59,0)-I172</f>
        <v>0</v>
      </c>
      <c r="I172">
        <f>VLOOKUP($B172,highest_10!$B$5:$BH$270,59,0)</f>
        <v>0</v>
      </c>
      <c r="J172">
        <f>SUM($C172:C172)</f>
        <v>0</v>
      </c>
      <c r="K172">
        <f>SUM($C172:D172)</f>
        <v>0</v>
      </c>
      <c r="L172">
        <f>SUM($C172:E172)</f>
        <v>0</v>
      </c>
      <c r="M172">
        <f>SUM($C172:F172)</f>
        <v>0</v>
      </c>
      <c r="N172">
        <f>SUM($C172:G172)</f>
        <v>0</v>
      </c>
      <c r="O172">
        <f>SUM($C172:H172)</f>
        <v>0</v>
      </c>
      <c r="P172">
        <f>SUM($C172:I172)</f>
        <v>0</v>
      </c>
    </row>
    <row r="173" spans="1:16" x14ac:dyDescent="0.35">
      <c r="A173" t="s">
        <v>157</v>
      </c>
      <c r="B173" t="s">
        <v>270</v>
      </c>
      <c r="C173">
        <f>VLOOKUP($B173,lowest_10!$B$5:$BH$270,59,0)</f>
        <v>1</v>
      </c>
      <c r="D173">
        <f>VLOOKUP($B173,lowest_20!$B$5:$BH$270,59,0)-C173</f>
        <v>1.7999999999999998</v>
      </c>
      <c r="E173">
        <f>VLOOKUP($B173,second_20!$B$5:$BH$270,59,0)</f>
        <v>5.8</v>
      </c>
      <c r="F173">
        <f>VLOOKUP($B173,third_20!$B$5:$BH$270,59,0)</f>
        <v>9.8000000000000007</v>
      </c>
      <c r="G173">
        <f>VLOOKUP($B173,fourth_20!$B$5:$BH$270,59,0)</f>
        <v>17.899999999999999</v>
      </c>
      <c r="H173">
        <f>VLOOKUP($B173,highest_20!$B$5:$BH$270,59,0)-I173</f>
        <v>16.5</v>
      </c>
      <c r="I173">
        <f>VLOOKUP($B173,highest_10!$B$5:$BH$270,59,0)</f>
        <v>47.2</v>
      </c>
      <c r="J173">
        <f>SUM($C173:C173)</f>
        <v>1</v>
      </c>
      <c r="K173">
        <f>SUM($C173:D173)</f>
        <v>2.8</v>
      </c>
      <c r="L173">
        <f>SUM($C173:E173)</f>
        <v>8.6</v>
      </c>
      <c r="M173">
        <f>SUM($C173:F173)</f>
        <v>18.399999999999999</v>
      </c>
      <c r="N173">
        <f>SUM($C173:G173)</f>
        <v>36.299999999999997</v>
      </c>
      <c r="O173">
        <f>SUM($C173:H173)</f>
        <v>52.8</v>
      </c>
      <c r="P173">
        <f>SUM($C173:I173)</f>
        <v>100</v>
      </c>
    </row>
    <row r="174" spans="1:16" x14ac:dyDescent="0.35">
      <c r="A174" t="s">
        <v>723</v>
      </c>
      <c r="B174" t="s">
        <v>198</v>
      </c>
      <c r="C174">
        <f>VLOOKUP($B174,lowest_10!$B$5:$BH$270,59,0)</f>
        <v>0</v>
      </c>
      <c r="D174">
        <f>VLOOKUP($B174,lowest_20!$B$5:$BH$270,59,0)-C174</f>
        <v>0</v>
      </c>
      <c r="E174">
        <f>VLOOKUP($B174,second_20!$B$5:$BH$270,59,0)</f>
        <v>0</v>
      </c>
      <c r="F174">
        <f>VLOOKUP($B174,third_20!$B$5:$BH$270,59,0)</f>
        <v>0</v>
      </c>
      <c r="G174">
        <f>VLOOKUP($B174,fourth_20!$B$5:$BH$270,59,0)</f>
        <v>0</v>
      </c>
      <c r="H174">
        <f>VLOOKUP($B174,highest_20!$B$5:$BH$270,59,0)-I174</f>
        <v>0</v>
      </c>
      <c r="I174">
        <f>VLOOKUP($B174,highest_10!$B$5:$BH$270,59,0)</f>
        <v>0</v>
      </c>
      <c r="J174">
        <f>SUM($C174:C174)</f>
        <v>0</v>
      </c>
      <c r="K174">
        <f>SUM($C174:D174)</f>
        <v>0</v>
      </c>
      <c r="L174">
        <f>SUM($C174:E174)</f>
        <v>0</v>
      </c>
      <c r="M174">
        <f>SUM($C174:F174)</f>
        <v>0</v>
      </c>
      <c r="N174">
        <f>SUM($C174:G174)</f>
        <v>0</v>
      </c>
      <c r="O174">
        <f>SUM($C174:H174)</f>
        <v>0</v>
      </c>
      <c r="P174">
        <f>SUM($C174:I174)</f>
        <v>0</v>
      </c>
    </row>
    <row r="175" spans="1:16" x14ac:dyDescent="0.35">
      <c r="A175" t="s">
        <v>181</v>
      </c>
      <c r="B175" t="s">
        <v>142</v>
      </c>
      <c r="C175">
        <f>VLOOKUP($B175,lowest_10!$B$5:$BH$270,59,0)</f>
        <v>0</v>
      </c>
      <c r="D175">
        <f>VLOOKUP($B175,lowest_20!$B$5:$BH$270,59,0)-C175</f>
        <v>0</v>
      </c>
      <c r="E175">
        <f>VLOOKUP($B175,second_20!$B$5:$BH$270,59,0)</f>
        <v>0</v>
      </c>
      <c r="F175">
        <f>VLOOKUP($B175,third_20!$B$5:$BH$270,59,0)</f>
        <v>0</v>
      </c>
      <c r="G175">
        <f>VLOOKUP($B175,fourth_20!$B$5:$BH$270,59,0)</f>
        <v>0</v>
      </c>
      <c r="H175">
        <f>VLOOKUP($B175,highest_20!$B$5:$BH$270,59,0)-I175</f>
        <v>0</v>
      </c>
      <c r="I175">
        <f>VLOOKUP($B175,highest_10!$B$5:$BH$270,59,0)</f>
        <v>0</v>
      </c>
      <c r="J175">
        <f>SUM($C175:C175)</f>
        <v>0</v>
      </c>
      <c r="K175">
        <f>SUM($C175:D175)</f>
        <v>0</v>
      </c>
      <c r="L175">
        <f>SUM($C175:E175)</f>
        <v>0</v>
      </c>
      <c r="M175">
        <f>SUM($C175:F175)</f>
        <v>0</v>
      </c>
      <c r="N175">
        <f>SUM($C175:G175)</f>
        <v>0</v>
      </c>
      <c r="O175">
        <f>SUM($C175:H175)</f>
        <v>0</v>
      </c>
      <c r="P175">
        <f>SUM($C175:I175)</f>
        <v>0</v>
      </c>
    </row>
    <row r="176" spans="1:16" x14ac:dyDescent="0.35">
      <c r="A176" t="s">
        <v>304</v>
      </c>
      <c r="B176" t="s">
        <v>685</v>
      </c>
      <c r="C176">
        <f>VLOOKUP($B176,lowest_10!$B$5:$BH$270,59,0)</f>
        <v>2.8</v>
      </c>
      <c r="D176">
        <f>VLOOKUP($B176,lowest_20!$B$5:$BH$270,59,0)-C176</f>
        <v>4.2</v>
      </c>
      <c r="E176">
        <f>VLOOKUP($B176,second_20!$B$5:$BH$270,59,0)</f>
        <v>11.3</v>
      </c>
      <c r="F176">
        <f>VLOOKUP($B176,third_20!$B$5:$BH$270,59,0)</f>
        <v>15.8</v>
      </c>
      <c r="G176">
        <f>VLOOKUP($B176,fourth_20!$B$5:$BH$270,59,0)</f>
        <v>22.8</v>
      </c>
      <c r="H176">
        <f>VLOOKUP($B176,highest_20!$B$5:$BH$270,59,0)-I176</f>
        <v>16.200000000000003</v>
      </c>
      <c r="I176">
        <f>VLOOKUP($B176,highest_10!$B$5:$BH$270,59,0)</f>
        <v>26.9</v>
      </c>
      <c r="J176">
        <f>SUM($C176:C176)</f>
        <v>2.8</v>
      </c>
      <c r="K176">
        <f>SUM($C176:D176)</f>
        <v>7</v>
      </c>
      <c r="L176">
        <f>SUM($C176:E176)</f>
        <v>18.3</v>
      </c>
      <c r="M176">
        <f>SUM($C176:F176)</f>
        <v>34.1</v>
      </c>
      <c r="N176">
        <f>SUM($C176:G176)</f>
        <v>56.900000000000006</v>
      </c>
      <c r="O176">
        <f>SUM($C176:H176)</f>
        <v>73.100000000000009</v>
      </c>
      <c r="P176">
        <f>SUM($C176:I176)</f>
        <v>100</v>
      </c>
    </row>
    <row r="177" spans="1:16" x14ac:dyDescent="0.35">
      <c r="A177" t="s">
        <v>604</v>
      </c>
      <c r="B177" t="s">
        <v>220</v>
      </c>
      <c r="C177">
        <f>VLOOKUP($B177,lowest_10!$B$5:$BH$270,59,0)</f>
        <v>0</v>
      </c>
      <c r="D177">
        <f>VLOOKUP($B177,lowest_20!$B$5:$BH$270,59,0)-C177</f>
        <v>0</v>
      </c>
      <c r="E177">
        <f>VLOOKUP($B177,second_20!$B$5:$BH$270,59,0)</f>
        <v>0</v>
      </c>
      <c r="F177">
        <f>VLOOKUP($B177,third_20!$B$5:$BH$270,59,0)</f>
        <v>0</v>
      </c>
      <c r="G177">
        <f>VLOOKUP($B177,fourth_20!$B$5:$BH$270,59,0)</f>
        <v>0</v>
      </c>
      <c r="H177">
        <f>VLOOKUP($B177,highest_20!$B$5:$BH$270,59,0)-I177</f>
        <v>0</v>
      </c>
      <c r="I177">
        <f>VLOOKUP($B177,highest_10!$B$5:$BH$270,59,0)</f>
        <v>0</v>
      </c>
      <c r="J177">
        <f>SUM($C177:C177)</f>
        <v>0</v>
      </c>
      <c r="K177">
        <f>SUM($C177:D177)</f>
        <v>0</v>
      </c>
      <c r="L177">
        <f>SUM($C177:E177)</f>
        <v>0</v>
      </c>
      <c r="M177">
        <f>SUM($C177:F177)</f>
        <v>0</v>
      </c>
      <c r="N177">
        <f>SUM($C177:G177)</f>
        <v>0</v>
      </c>
      <c r="O177">
        <f>SUM($C177:H177)</f>
        <v>0</v>
      </c>
      <c r="P177">
        <f>SUM($C177:I177)</f>
        <v>0</v>
      </c>
    </row>
    <row r="178" spans="1:16" x14ac:dyDescent="0.35">
      <c r="A178" t="s">
        <v>14</v>
      </c>
      <c r="B178" t="s">
        <v>517</v>
      </c>
      <c r="C178">
        <f>VLOOKUP($B178,lowest_10!$B$5:$BH$270,59,0)</f>
        <v>3.5</v>
      </c>
      <c r="D178">
        <f>VLOOKUP($B178,lowest_20!$B$5:$BH$270,59,0)-C178</f>
        <v>5.4</v>
      </c>
      <c r="E178">
        <f>VLOOKUP($B178,second_20!$B$5:$BH$270,59,0)</f>
        <v>13.9</v>
      </c>
      <c r="F178">
        <f>VLOOKUP($B178,third_20!$B$5:$BH$270,59,0)</f>
        <v>17.5</v>
      </c>
      <c r="G178">
        <f>VLOOKUP($B178,fourth_20!$B$5:$BH$270,59,0)</f>
        <v>22.4</v>
      </c>
      <c r="H178">
        <f>VLOOKUP($B178,highest_20!$B$5:$BH$270,59,0)-I178</f>
        <v>14.399999999999999</v>
      </c>
      <c r="I178">
        <f>VLOOKUP($B178,highest_10!$B$5:$BH$270,59,0)</f>
        <v>23</v>
      </c>
      <c r="J178">
        <f>SUM($C178:C178)</f>
        <v>3.5</v>
      </c>
      <c r="K178">
        <f>SUM($C178:D178)</f>
        <v>8.9</v>
      </c>
      <c r="L178">
        <f>SUM($C178:E178)</f>
        <v>22.8</v>
      </c>
      <c r="M178">
        <f>SUM($C178:F178)</f>
        <v>40.299999999999997</v>
      </c>
      <c r="N178">
        <f>SUM($C178:G178)</f>
        <v>62.699999999999996</v>
      </c>
      <c r="O178">
        <f>SUM($C178:H178)</f>
        <v>77.099999999999994</v>
      </c>
      <c r="P178">
        <f>SUM($C178:I178)</f>
        <v>100.1</v>
      </c>
    </row>
    <row r="179" spans="1:16" x14ac:dyDescent="0.35">
      <c r="A179" t="s">
        <v>680</v>
      </c>
      <c r="B179" t="s">
        <v>597</v>
      </c>
      <c r="C179">
        <f>VLOOKUP($B179,lowest_10!$B$5:$BH$270,59,0)</f>
        <v>3.5</v>
      </c>
      <c r="D179">
        <f>VLOOKUP($B179,lowest_20!$B$5:$BH$270,59,0)-C179</f>
        <v>5.5</v>
      </c>
      <c r="E179">
        <f>VLOOKUP($B179,second_20!$B$5:$BH$270,59,0)</f>
        <v>14.1</v>
      </c>
      <c r="F179">
        <f>VLOOKUP($B179,third_20!$B$5:$BH$270,59,0)</f>
        <v>17.7</v>
      </c>
      <c r="G179">
        <f>VLOOKUP($B179,fourth_20!$B$5:$BH$270,59,0)</f>
        <v>22.7</v>
      </c>
      <c r="H179">
        <f>VLOOKUP($B179,highest_20!$B$5:$BH$270,59,0)-I179</f>
        <v>14.3</v>
      </c>
      <c r="I179">
        <f>VLOOKUP($B179,highest_10!$B$5:$BH$270,59,0)</f>
        <v>22.2</v>
      </c>
      <c r="J179">
        <f>SUM($C179:C179)</f>
        <v>3.5</v>
      </c>
      <c r="K179">
        <f>SUM($C179:D179)</f>
        <v>9</v>
      </c>
      <c r="L179">
        <f>SUM($C179:E179)</f>
        <v>23.1</v>
      </c>
      <c r="M179">
        <f>SUM($C179:F179)</f>
        <v>40.799999999999997</v>
      </c>
      <c r="N179">
        <f>SUM($C179:G179)</f>
        <v>63.5</v>
      </c>
      <c r="O179">
        <f>SUM($C179:H179)</f>
        <v>77.8</v>
      </c>
      <c r="P179">
        <f>SUM($C179:I179)</f>
        <v>100</v>
      </c>
    </row>
    <row r="180" spans="1:16" x14ac:dyDescent="0.35">
      <c r="A180" t="s">
        <v>216</v>
      </c>
      <c r="B180" t="s">
        <v>721</v>
      </c>
      <c r="C180">
        <f>VLOOKUP($B180,lowest_10!$B$5:$BH$270,59,0)</f>
        <v>0</v>
      </c>
      <c r="D180">
        <f>VLOOKUP($B180,lowest_20!$B$5:$BH$270,59,0)-C180</f>
        <v>0</v>
      </c>
      <c r="E180">
        <f>VLOOKUP($B180,second_20!$B$5:$BH$270,59,0)</f>
        <v>0</v>
      </c>
      <c r="F180">
        <f>VLOOKUP($B180,third_20!$B$5:$BH$270,59,0)</f>
        <v>0</v>
      </c>
      <c r="G180">
        <f>VLOOKUP($B180,fourth_20!$B$5:$BH$270,59,0)</f>
        <v>0</v>
      </c>
      <c r="H180">
        <f>VLOOKUP($B180,highest_20!$B$5:$BH$270,59,0)-I180</f>
        <v>0</v>
      </c>
      <c r="I180">
        <f>VLOOKUP($B180,highest_10!$B$5:$BH$270,59,0)</f>
        <v>0</v>
      </c>
      <c r="J180">
        <f>SUM($C180:C180)</f>
        <v>0</v>
      </c>
      <c r="K180">
        <f>SUM($C180:D180)</f>
        <v>0</v>
      </c>
      <c r="L180">
        <f>SUM($C180:E180)</f>
        <v>0</v>
      </c>
      <c r="M180">
        <f>SUM($C180:F180)</f>
        <v>0</v>
      </c>
      <c r="N180">
        <f>SUM($C180:G180)</f>
        <v>0</v>
      </c>
      <c r="O180">
        <f>SUM($C180:H180)</f>
        <v>0</v>
      </c>
      <c r="P180">
        <f>SUM($C180:I180)</f>
        <v>0</v>
      </c>
    </row>
    <row r="181" spans="1:16" x14ac:dyDescent="0.35">
      <c r="A181" t="s">
        <v>105</v>
      </c>
      <c r="B181" t="s">
        <v>272</v>
      </c>
      <c r="C181">
        <f>VLOOKUP($B181,lowest_10!$B$5:$BH$270,59,0)</f>
        <v>0</v>
      </c>
      <c r="D181">
        <f>VLOOKUP($B181,lowest_20!$B$5:$BH$270,59,0)-C181</f>
        <v>0</v>
      </c>
      <c r="E181">
        <f>VLOOKUP($B181,second_20!$B$5:$BH$270,59,0)</f>
        <v>0</v>
      </c>
      <c r="F181">
        <f>VLOOKUP($B181,third_20!$B$5:$BH$270,59,0)</f>
        <v>0</v>
      </c>
      <c r="G181">
        <f>VLOOKUP($B181,fourth_20!$B$5:$BH$270,59,0)</f>
        <v>0</v>
      </c>
      <c r="H181">
        <f>VLOOKUP($B181,highest_20!$B$5:$BH$270,59,0)-I181</f>
        <v>0</v>
      </c>
      <c r="I181">
        <f>VLOOKUP($B181,highest_10!$B$5:$BH$270,59,0)</f>
        <v>0</v>
      </c>
      <c r="J181">
        <f>SUM($C181:C181)</f>
        <v>0</v>
      </c>
      <c r="K181">
        <f>SUM($C181:D181)</f>
        <v>0</v>
      </c>
      <c r="L181">
        <f>SUM($C181:E181)</f>
        <v>0</v>
      </c>
      <c r="M181">
        <f>SUM($C181:F181)</f>
        <v>0</v>
      </c>
      <c r="N181">
        <f>SUM($C181:G181)</f>
        <v>0</v>
      </c>
      <c r="O181">
        <f>SUM($C181:H181)</f>
        <v>0</v>
      </c>
      <c r="P181">
        <f>SUM($C181:I181)</f>
        <v>0</v>
      </c>
    </row>
    <row r="182" spans="1:16" x14ac:dyDescent="0.35">
      <c r="A182" t="s">
        <v>561</v>
      </c>
      <c r="B182" t="s">
        <v>295</v>
      </c>
      <c r="C182">
        <f>VLOOKUP($B182,lowest_10!$B$5:$BH$270,59,0)</f>
        <v>0</v>
      </c>
      <c r="D182">
        <f>VLOOKUP($B182,lowest_20!$B$5:$BH$270,59,0)-C182</f>
        <v>0</v>
      </c>
      <c r="E182">
        <f>VLOOKUP($B182,second_20!$B$5:$BH$270,59,0)</f>
        <v>0</v>
      </c>
      <c r="F182">
        <f>VLOOKUP($B182,third_20!$B$5:$BH$270,59,0)</f>
        <v>0</v>
      </c>
      <c r="G182">
        <f>VLOOKUP($B182,fourth_20!$B$5:$BH$270,59,0)</f>
        <v>0</v>
      </c>
      <c r="H182">
        <f>VLOOKUP($B182,highest_20!$B$5:$BH$270,59,0)-I182</f>
        <v>0</v>
      </c>
      <c r="I182">
        <f>VLOOKUP($B182,highest_10!$B$5:$BH$270,59,0)</f>
        <v>0</v>
      </c>
      <c r="J182">
        <f>SUM($C182:C182)</f>
        <v>0</v>
      </c>
      <c r="K182">
        <f>SUM($C182:D182)</f>
        <v>0</v>
      </c>
      <c r="L182">
        <f>SUM($C182:E182)</f>
        <v>0</v>
      </c>
      <c r="M182">
        <f>SUM($C182:F182)</f>
        <v>0</v>
      </c>
      <c r="N182">
        <f>SUM($C182:G182)</f>
        <v>0</v>
      </c>
      <c r="O182">
        <f>SUM($C182:H182)</f>
        <v>0</v>
      </c>
      <c r="P182">
        <f>SUM($C182:I182)</f>
        <v>0</v>
      </c>
    </row>
    <row r="183" spans="1:16" x14ac:dyDescent="0.35">
      <c r="A183" t="s">
        <v>344</v>
      </c>
      <c r="B183" t="s">
        <v>653</v>
      </c>
      <c r="C183">
        <f>VLOOKUP($B183,lowest_10!$B$5:$BH$270,59,0)</f>
        <v>0</v>
      </c>
      <c r="D183">
        <f>VLOOKUP($B183,lowest_20!$B$5:$BH$270,59,0)-C183</f>
        <v>0</v>
      </c>
      <c r="E183">
        <f>VLOOKUP($B183,second_20!$B$5:$BH$270,59,0)</f>
        <v>0</v>
      </c>
      <c r="F183">
        <f>VLOOKUP($B183,third_20!$B$5:$BH$270,59,0)</f>
        <v>0</v>
      </c>
      <c r="G183">
        <f>VLOOKUP($B183,fourth_20!$B$5:$BH$270,59,0)</f>
        <v>0</v>
      </c>
      <c r="H183">
        <f>VLOOKUP($B183,highest_20!$B$5:$BH$270,59,0)-I183</f>
        <v>0</v>
      </c>
      <c r="I183">
        <f>VLOOKUP($B183,highest_10!$B$5:$BH$270,59,0)</f>
        <v>0</v>
      </c>
      <c r="J183">
        <f>SUM($C183:C183)</f>
        <v>0</v>
      </c>
      <c r="K183">
        <f>SUM($C183:D183)</f>
        <v>0</v>
      </c>
      <c r="L183">
        <f>SUM($C183:E183)</f>
        <v>0</v>
      </c>
      <c r="M183">
        <f>SUM($C183:F183)</f>
        <v>0</v>
      </c>
      <c r="N183">
        <f>SUM($C183:G183)</f>
        <v>0</v>
      </c>
      <c r="O183">
        <f>SUM($C183:H183)</f>
        <v>0</v>
      </c>
      <c r="P183">
        <f>SUM($C183:I183)</f>
        <v>0</v>
      </c>
    </row>
    <row r="184" spans="1:16" x14ac:dyDescent="0.35">
      <c r="A184" t="s">
        <v>697</v>
      </c>
      <c r="B184" t="s">
        <v>567</v>
      </c>
      <c r="C184">
        <f>VLOOKUP($B184,lowest_10!$B$5:$BH$270,59,0)</f>
        <v>0</v>
      </c>
      <c r="D184">
        <f>VLOOKUP($B184,lowest_20!$B$5:$BH$270,59,0)-C184</f>
        <v>0</v>
      </c>
      <c r="E184">
        <f>VLOOKUP($B184,second_20!$B$5:$BH$270,59,0)</f>
        <v>0</v>
      </c>
      <c r="F184">
        <f>VLOOKUP($B184,third_20!$B$5:$BH$270,59,0)</f>
        <v>0</v>
      </c>
      <c r="G184">
        <f>VLOOKUP($B184,fourth_20!$B$5:$BH$270,59,0)</f>
        <v>0</v>
      </c>
      <c r="H184">
        <f>VLOOKUP($B184,highest_20!$B$5:$BH$270,59,0)-I184</f>
        <v>0</v>
      </c>
      <c r="I184">
        <f>VLOOKUP($B184,highest_10!$B$5:$BH$270,59,0)</f>
        <v>0</v>
      </c>
      <c r="J184">
        <f>SUM($C184:C184)</f>
        <v>0</v>
      </c>
      <c r="K184">
        <f>SUM($C184:D184)</f>
        <v>0</v>
      </c>
      <c r="L184">
        <f>SUM($C184:E184)</f>
        <v>0</v>
      </c>
      <c r="M184">
        <f>SUM($C184:F184)</f>
        <v>0</v>
      </c>
      <c r="N184">
        <f>SUM($C184:G184)</f>
        <v>0</v>
      </c>
      <c r="O184">
        <f>SUM($C184:H184)</f>
        <v>0</v>
      </c>
      <c r="P184">
        <f>SUM($C184:I184)</f>
        <v>0</v>
      </c>
    </row>
    <row r="185" spans="1:16" x14ac:dyDescent="0.35">
      <c r="A185" t="s">
        <v>695</v>
      </c>
      <c r="B185" t="s">
        <v>421</v>
      </c>
      <c r="C185">
        <f>VLOOKUP($B185,lowest_10!$B$5:$BH$270,59,0)</f>
        <v>0</v>
      </c>
      <c r="D185">
        <f>VLOOKUP($B185,lowest_20!$B$5:$BH$270,59,0)-C185</f>
        <v>0</v>
      </c>
      <c r="E185">
        <f>VLOOKUP($B185,second_20!$B$5:$BH$270,59,0)</f>
        <v>0</v>
      </c>
      <c r="F185">
        <f>VLOOKUP($B185,third_20!$B$5:$BH$270,59,0)</f>
        <v>0</v>
      </c>
      <c r="G185">
        <f>VLOOKUP($B185,fourth_20!$B$5:$BH$270,59,0)</f>
        <v>0</v>
      </c>
      <c r="H185">
        <f>VLOOKUP($B185,highest_20!$B$5:$BH$270,59,0)-I185</f>
        <v>0</v>
      </c>
      <c r="I185">
        <f>VLOOKUP($B185,highest_10!$B$5:$BH$270,59,0)</f>
        <v>0</v>
      </c>
      <c r="J185">
        <f>SUM($C185:C185)</f>
        <v>0</v>
      </c>
      <c r="K185">
        <f>SUM($C185:D185)</f>
        <v>0</v>
      </c>
      <c r="L185">
        <f>SUM($C185:E185)</f>
        <v>0</v>
      </c>
      <c r="M185">
        <f>SUM($C185:F185)</f>
        <v>0</v>
      </c>
      <c r="N185">
        <f>SUM($C185:G185)</f>
        <v>0</v>
      </c>
      <c r="O185">
        <f>SUM($C185:H185)</f>
        <v>0</v>
      </c>
      <c r="P185">
        <f>SUM($C185:I185)</f>
        <v>0</v>
      </c>
    </row>
    <row r="186" spans="1:16" x14ac:dyDescent="0.35">
      <c r="A186" t="s">
        <v>740</v>
      </c>
      <c r="B186" t="s">
        <v>135</v>
      </c>
      <c r="C186">
        <f>VLOOKUP($B186,lowest_10!$B$5:$BH$270,59,0)</f>
        <v>4.0999999999999996</v>
      </c>
      <c r="D186">
        <f>VLOOKUP($B186,lowest_20!$B$5:$BH$270,59,0)-C186</f>
        <v>5.2000000000000011</v>
      </c>
      <c r="E186">
        <f>VLOOKUP($B186,second_20!$B$5:$BH$270,59,0)</f>
        <v>12.7</v>
      </c>
      <c r="F186">
        <f>VLOOKUP($B186,third_20!$B$5:$BH$270,59,0)</f>
        <v>16</v>
      </c>
      <c r="G186">
        <f>VLOOKUP($B186,fourth_20!$B$5:$BH$270,59,0)</f>
        <v>21</v>
      </c>
      <c r="H186">
        <f>VLOOKUP($B186,highest_20!$B$5:$BH$270,59,0)-I186</f>
        <v>14</v>
      </c>
      <c r="I186">
        <f>VLOOKUP($B186,highest_10!$B$5:$BH$270,59,0)</f>
        <v>27</v>
      </c>
      <c r="J186">
        <f>SUM($C186:C186)</f>
        <v>4.0999999999999996</v>
      </c>
      <c r="K186">
        <f>SUM($C186:D186)</f>
        <v>9.3000000000000007</v>
      </c>
      <c r="L186">
        <f>SUM($C186:E186)</f>
        <v>22</v>
      </c>
      <c r="M186">
        <f>SUM($C186:F186)</f>
        <v>38</v>
      </c>
      <c r="N186">
        <f>SUM($C186:G186)</f>
        <v>59</v>
      </c>
      <c r="O186">
        <f>SUM($C186:H186)</f>
        <v>73</v>
      </c>
      <c r="P186">
        <f>SUM($C186:I186)</f>
        <v>100</v>
      </c>
    </row>
    <row r="187" spans="1:16" x14ac:dyDescent="0.35">
      <c r="A187" t="s">
        <v>541</v>
      </c>
      <c r="B187" t="s">
        <v>465</v>
      </c>
      <c r="C187">
        <f>VLOOKUP($B187,lowest_10!$B$5:$BH$270,59,0)</f>
        <v>1.1000000000000001</v>
      </c>
      <c r="D187">
        <f>VLOOKUP($B187,lowest_20!$B$5:$BH$270,59,0)-C187</f>
        <v>2.2999999999999998</v>
      </c>
      <c r="E187">
        <f>VLOOKUP($B187,second_20!$B$5:$BH$270,59,0)</f>
        <v>8</v>
      </c>
      <c r="F187">
        <f>VLOOKUP($B187,third_20!$B$5:$BH$270,59,0)</f>
        <v>12.8</v>
      </c>
      <c r="G187">
        <f>VLOOKUP($B187,fourth_20!$B$5:$BH$270,59,0)</f>
        <v>20.5</v>
      </c>
      <c r="H187">
        <f>VLOOKUP($B187,highest_20!$B$5:$BH$270,59,0)-I187</f>
        <v>16.299999999999997</v>
      </c>
      <c r="I187">
        <f>VLOOKUP($B187,highest_10!$B$5:$BH$270,59,0)</f>
        <v>39</v>
      </c>
      <c r="J187">
        <f>SUM($C187:C187)</f>
        <v>1.1000000000000001</v>
      </c>
      <c r="K187">
        <f>SUM($C187:D187)</f>
        <v>3.4</v>
      </c>
      <c r="L187">
        <f>SUM($C187:E187)</f>
        <v>11.4</v>
      </c>
      <c r="M187">
        <f>SUM($C187:F187)</f>
        <v>24.200000000000003</v>
      </c>
      <c r="N187">
        <f>SUM($C187:G187)</f>
        <v>44.7</v>
      </c>
      <c r="O187">
        <f>SUM($C187:H187)</f>
        <v>61</v>
      </c>
      <c r="P187">
        <f>SUM($C187:I187)</f>
        <v>100</v>
      </c>
    </row>
    <row r="188" spans="1:16" x14ac:dyDescent="0.35">
      <c r="A188" t="s">
        <v>495</v>
      </c>
      <c r="B188" t="s">
        <v>296</v>
      </c>
      <c r="C188">
        <f>VLOOKUP($B188,lowest_10!$B$5:$BH$270,59,0)</f>
        <v>1.6</v>
      </c>
      <c r="D188">
        <f>VLOOKUP($B188,lowest_20!$B$5:$BH$270,59,0)-C188</f>
        <v>3.1</v>
      </c>
      <c r="E188">
        <f>VLOOKUP($B188,second_20!$B$5:$BH$270,59,0)</f>
        <v>9.9</v>
      </c>
      <c r="F188">
        <f>VLOOKUP($B188,third_20!$B$5:$BH$270,59,0)</f>
        <v>14.8</v>
      </c>
      <c r="G188">
        <f>VLOOKUP($B188,fourth_20!$B$5:$BH$270,59,0)</f>
        <v>21.8</v>
      </c>
      <c r="H188">
        <f>VLOOKUP($B188,highest_20!$B$5:$BH$270,59,0)-I188</f>
        <v>16.100000000000001</v>
      </c>
      <c r="I188">
        <f>VLOOKUP($B188,highest_10!$B$5:$BH$270,59,0)</f>
        <v>32.6</v>
      </c>
      <c r="J188">
        <f>SUM($C188:C188)</f>
        <v>1.6</v>
      </c>
      <c r="K188">
        <f>SUM($C188:D188)</f>
        <v>4.7</v>
      </c>
      <c r="L188">
        <f>SUM($C188:E188)</f>
        <v>14.600000000000001</v>
      </c>
      <c r="M188">
        <f>SUM($C188:F188)</f>
        <v>29.400000000000002</v>
      </c>
      <c r="N188">
        <f>SUM($C188:G188)</f>
        <v>51.2</v>
      </c>
      <c r="O188">
        <f>SUM($C188:H188)</f>
        <v>67.300000000000011</v>
      </c>
      <c r="P188">
        <f>SUM($C188:I188)</f>
        <v>99.9</v>
      </c>
    </row>
    <row r="189" spans="1:16" x14ac:dyDescent="0.35">
      <c r="A189" t="s">
        <v>285</v>
      </c>
      <c r="B189" t="s">
        <v>580</v>
      </c>
      <c r="C189">
        <f>VLOOKUP($B189,lowest_10!$B$5:$BH$270,59,0)</f>
        <v>2.2999999999999998</v>
      </c>
      <c r="D189">
        <f>VLOOKUP($B189,lowest_20!$B$5:$BH$270,59,0)-C189</f>
        <v>3.3</v>
      </c>
      <c r="E189">
        <f>VLOOKUP($B189,second_20!$B$5:$BH$270,59,0)</f>
        <v>9.1999999999999993</v>
      </c>
      <c r="F189">
        <f>VLOOKUP($B189,third_20!$B$5:$BH$270,59,0)</f>
        <v>13.4</v>
      </c>
      <c r="G189">
        <f>VLOOKUP($B189,fourth_20!$B$5:$BH$270,59,0)</f>
        <v>20.7</v>
      </c>
      <c r="H189">
        <f>VLOOKUP($B189,highest_20!$B$5:$BH$270,59,0)-I189</f>
        <v>16.100000000000001</v>
      </c>
      <c r="I189">
        <f>VLOOKUP($B189,highest_10!$B$5:$BH$270,59,0)</f>
        <v>34.9</v>
      </c>
      <c r="J189">
        <f>SUM($C189:C189)</f>
        <v>2.2999999999999998</v>
      </c>
      <c r="K189">
        <f>SUM($C189:D189)</f>
        <v>5.6</v>
      </c>
      <c r="L189">
        <f>SUM($C189:E189)</f>
        <v>14.799999999999999</v>
      </c>
      <c r="M189">
        <f>SUM($C189:F189)</f>
        <v>28.2</v>
      </c>
      <c r="N189">
        <f>SUM($C189:G189)</f>
        <v>48.9</v>
      </c>
      <c r="O189">
        <f>SUM($C189:H189)</f>
        <v>65</v>
      </c>
      <c r="P189">
        <f>SUM($C189:I189)</f>
        <v>99.9</v>
      </c>
    </row>
    <row r="190" spans="1:16" x14ac:dyDescent="0.35">
      <c r="A190" t="s">
        <v>679</v>
      </c>
      <c r="B190" t="s">
        <v>384</v>
      </c>
      <c r="C190">
        <f>VLOOKUP($B190,lowest_10!$B$5:$BH$270,59,0)</f>
        <v>0</v>
      </c>
      <c r="D190">
        <f>VLOOKUP($B190,lowest_20!$B$5:$BH$270,59,0)-C190</f>
        <v>0</v>
      </c>
      <c r="E190">
        <f>VLOOKUP($B190,second_20!$B$5:$BH$270,59,0)</f>
        <v>0</v>
      </c>
      <c r="F190">
        <f>VLOOKUP($B190,third_20!$B$5:$BH$270,59,0)</f>
        <v>0</v>
      </c>
      <c r="G190">
        <f>VLOOKUP($B190,fourth_20!$B$5:$BH$270,59,0)</f>
        <v>0</v>
      </c>
      <c r="H190">
        <f>VLOOKUP($B190,highest_20!$B$5:$BH$270,59,0)-I190</f>
        <v>0</v>
      </c>
      <c r="I190">
        <f>VLOOKUP($B190,highest_10!$B$5:$BH$270,59,0)</f>
        <v>0</v>
      </c>
      <c r="J190">
        <f>SUM($C190:C190)</f>
        <v>0</v>
      </c>
      <c r="K190">
        <f>SUM($C190:D190)</f>
        <v>0</v>
      </c>
      <c r="L190">
        <f>SUM($C190:E190)</f>
        <v>0</v>
      </c>
      <c r="M190">
        <f>SUM($C190:F190)</f>
        <v>0</v>
      </c>
      <c r="N190">
        <f>SUM($C190:G190)</f>
        <v>0</v>
      </c>
      <c r="O190">
        <f>SUM($C190:H190)</f>
        <v>0</v>
      </c>
      <c r="P190">
        <f>SUM($C190:I190)</f>
        <v>0</v>
      </c>
    </row>
    <row r="191" spans="1:16" x14ac:dyDescent="0.35">
      <c r="A191" t="s">
        <v>454</v>
      </c>
      <c r="B191" t="s">
        <v>262</v>
      </c>
      <c r="C191">
        <f>VLOOKUP($B191,lowest_10!$B$5:$BH$270,59,0)</f>
        <v>0</v>
      </c>
      <c r="D191">
        <f>VLOOKUP($B191,lowest_20!$B$5:$BH$270,59,0)-C191</f>
        <v>0</v>
      </c>
      <c r="E191">
        <f>VLOOKUP($B191,second_20!$B$5:$BH$270,59,0)</f>
        <v>0</v>
      </c>
      <c r="F191">
        <f>VLOOKUP($B191,third_20!$B$5:$BH$270,59,0)</f>
        <v>0</v>
      </c>
      <c r="G191">
        <f>VLOOKUP($B191,fourth_20!$B$5:$BH$270,59,0)</f>
        <v>0</v>
      </c>
      <c r="H191">
        <f>VLOOKUP($B191,highest_20!$B$5:$BH$270,59,0)-I191</f>
        <v>0</v>
      </c>
      <c r="I191">
        <f>VLOOKUP($B191,highest_10!$B$5:$BH$270,59,0)</f>
        <v>0</v>
      </c>
      <c r="J191">
        <f>SUM($C191:C191)</f>
        <v>0</v>
      </c>
      <c r="K191">
        <f>SUM($C191:D191)</f>
        <v>0</v>
      </c>
      <c r="L191">
        <f>SUM($C191:E191)</f>
        <v>0</v>
      </c>
      <c r="M191">
        <f>SUM($C191:F191)</f>
        <v>0</v>
      </c>
      <c r="N191">
        <f>SUM($C191:G191)</f>
        <v>0</v>
      </c>
      <c r="O191">
        <f>SUM($C191:H191)</f>
        <v>0</v>
      </c>
      <c r="P191">
        <f>SUM($C191:I191)</f>
        <v>0</v>
      </c>
    </row>
    <row r="192" spans="1:16" x14ac:dyDescent="0.35">
      <c r="A192" t="s">
        <v>75</v>
      </c>
      <c r="B192" t="s">
        <v>43</v>
      </c>
      <c r="C192">
        <f>VLOOKUP($B192,lowest_10!$B$5:$BH$270,59,0)</f>
        <v>2.8</v>
      </c>
      <c r="D192">
        <f>VLOOKUP($B192,lowest_20!$B$5:$BH$270,59,0)-C192</f>
        <v>4.6000000000000005</v>
      </c>
      <c r="E192">
        <f>VLOOKUP($B192,second_20!$B$5:$BH$270,59,0)</f>
        <v>12.8</v>
      </c>
      <c r="F192">
        <f>VLOOKUP($B192,third_20!$B$5:$BH$270,59,0)</f>
        <v>17.5</v>
      </c>
      <c r="G192">
        <f>VLOOKUP($B192,fourth_20!$B$5:$BH$270,59,0)</f>
        <v>23</v>
      </c>
      <c r="H192">
        <f>VLOOKUP($B192,highest_20!$B$5:$BH$270,59,0)-I192</f>
        <v>15.099999999999998</v>
      </c>
      <c r="I192">
        <f>VLOOKUP($B192,highest_10!$B$5:$BH$270,59,0)</f>
        <v>24.2</v>
      </c>
      <c r="J192">
        <f>SUM($C192:C192)</f>
        <v>2.8</v>
      </c>
      <c r="K192">
        <f>SUM($C192:D192)</f>
        <v>7.4</v>
      </c>
      <c r="L192">
        <f>SUM($C192:E192)</f>
        <v>20.200000000000003</v>
      </c>
      <c r="M192">
        <f>SUM($C192:F192)</f>
        <v>37.700000000000003</v>
      </c>
      <c r="N192">
        <f>SUM($C192:G192)</f>
        <v>60.7</v>
      </c>
      <c r="O192">
        <f>SUM($C192:H192)</f>
        <v>75.8</v>
      </c>
      <c r="P192">
        <f>SUM($C192:I192)</f>
        <v>100</v>
      </c>
    </row>
    <row r="193" spans="1:16" x14ac:dyDescent="0.35">
      <c r="A193" t="s">
        <v>237</v>
      </c>
      <c r="B193" t="s">
        <v>294</v>
      </c>
      <c r="C193">
        <f>VLOOKUP($B193,lowest_10!$B$5:$BH$270,59,0)</f>
        <v>0</v>
      </c>
      <c r="D193">
        <f>VLOOKUP($B193,lowest_20!$B$5:$BH$270,59,0)-C193</f>
        <v>0</v>
      </c>
      <c r="E193">
        <f>VLOOKUP($B193,second_20!$B$5:$BH$270,59,0)</f>
        <v>0</v>
      </c>
      <c r="F193">
        <f>VLOOKUP($B193,third_20!$B$5:$BH$270,59,0)</f>
        <v>0</v>
      </c>
      <c r="G193">
        <f>VLOOKUP($B193,fourth_20!$B$5:$BH$270,59,0)</f>
        <v>0</v>
      </c>
      <c r="H193">
        <f>VLOOKUP($B193,highest_20!$B$5:$BH$270,59,0)-I193</f>
        <v>0</v>
      </c>
      <c r="I193">
        <f>VLOOKUP($B193,highest_10!$B$5:$BH$270,59,0)</f>
        <v>0</v>
      </c>
      <c r="J193">
        <f>SUM($C193:C193)</f>
        <v>0</v>
      </c>
      <c r="K193">
        <f>SUM($C193:D193)</f>
        <v>0</v>
      </c>
      <c r="L193">
        <f>SUM($C193:E193)</f>
        <v>0</v>
      </c>
      <c r="M193">
        <f>SUM($C193:F193)</f>
        <v>0</v>
      </c>
      <c r="N193">
        <f>SUM($C193:G193)</f>
        <v>0</v>
      </c>
      <c r="O193">
        <f>SUM($C193:H193)</f>
        <v>0</v>
      </c>
      <c r="P193">
        <f>SUM($C193:I193)</f>
        <v>0</v>
      </c>
    </row>
    <row r="194" spans="1:16" x14ac:dyDescent="0.35">
      <c r="A194" t="s">
        <v>269</v>
      </c>
      <c r="B194" t="s">
        <v>686</v>
      </c>
      <c r="C194">
        <f>VLOOKUP($B194,lowest_10!$B$5:$BH$270,59,0)</f>
        <v>0</v>
      </c>
      <c r="D194">
        <f>VLOOKUP($B194,lowest_20!$B$5:$BH$270,59,0)-C194</f>
        <v>0</v>
      </c>
      <c r="E194">
        <f>VLOOKUP($B194,second_20!$B$5:$BH$270,59,0)</f>
        <v>0</v>
      </c>
      <c r="F194">
        <f>VLOOKUP($B194,third_20!$B$5:$BH$270,59,0)</f>
        <v>0</v>
      </c>
      <c r="G194">
        <f>VLOOKUP($B194,fourth_20!$B$5:$BH$270,59,0)</f>
        <v>0</v>
      </c>
      <c r="H194">
        <f>VLOOKUP($B194,highest_20!$B$5:$BH$270,59,0)-I194</f>
        <v>0</v>
      </c>
      <c r="I194">
        <f>VLOOKUP($B194,highest_10!$B$5:$BH$270,59,0)</f>
        <v>0</v>
      </c>
      <c r="J194">
        <f>SUM($C194:C194)</f>
        <v>0</v>
      </c>
      <c r="K194">
        <f>SUM($C194:D194)</f>
        <v>0</v>
      </c>
      <c r="L194">
        <f>SUM($C194:E194)</f>
        <v>0</v>
      </c>
      <c r="M194">
        <f>SUM($C194:F194)</f>
        <v>0</v>
      </c>
      <c r="N194">
        <f>SUM($C194:G194)</f>
        <v>0</v>
      </c>
      <c r="O194">
        <f>SUM($C194:H194)</f>
        <v>0</v>
      </c>
      <c r="P194">
        <f>SUM($C194:I194)</f>
        <v>0</v>
      </c>
    </row>
    <row r="195" spans="1:16" x14ac:dyDescent="0.35">
      <c r="A195" t="s">
        <v>525</v>
      </c>
      <c r="B195" t="s">
        <v>60</v>
      </c>
      <c r="C195">
        <f>VLOOKUP($B195,lowest_10!$B$5:$BH$270,59,0)</f>
        <v>0</v>
      </c>
      <c r="D195">
        <f>VLOOKUP($B195,lowest_20!$B$5:$BH$270,59,0)-C195</f>
        <v>0</v>
      </c>
      <c r="E195">
        <f>VLOOKUP($B195,second_20!$B$5:$BH$270,59,0)</f>
        <v>0</v>
      </c>
      <c r="F195">
        <f>VLOOKUP($B195,third_20!$B$5:$BH$270,59,0)</f>
        <v>0</v>
      </c>
      <c r="G195">
        <f>VLOOKUP($B195,fourth_20!$B$5:$BH$270,59,0)</f>
        <v>0</v>
      </c>
      <c r="H195">
        <f>VLOOKUP($B195,highest_20!$B$5:$BH$270,59,0)-I195</f>
        <v>0</v>
      </c>
      <c r="I195">
        <f>VLOOKUP($B195,highest_10!$B$5:$BH$270,59,0)</f>
        <v>0</v>
      </c>
      <c r="J195">
        <f>SUM($C195:C195)</f>
        <v>0</v>
      </c>
      <c r="K195">
        <f>SUM($C195:D195)</f>
        <v>0</v>
      </c>
      <c r="L195">
        <f>SUM($C195:E195)</f>
        <v>0</v>
      </c>
      <c r="M195">
        <f>SUM($C195:F195)</f>
        <v>0</v>
      </c>
      <c r="N195">
        <f>SUM($C195:G195)</f>
        <v>0</v>
      </c>
      <c r="O195">
        <f>SUM($C195:H195)</f>
        <v>0</v>
      </c>
      <c r="P195">
        <f>SUM($C195:I195)</f>
        <v>0</v>
      </c>
    </row>
    <row r="196" spans="1:16" x14ac:dyDescent="0.35">
      <c r="A196" t="s">
        <v>434</v>
      </c>
      <c r="B196" t="s">
        <v>192</v>
      </c>
      <c r="C196">
        <f>VLOOKUP($B196,lowest_10!$B$5:$BH$270,59,0)</f>
        <v>2.4</v>
      </c>
      <c r="D196">
        <f>VLOOKUP($B196,lowest_20!$B$5:$BH$270,59,0)-C196</f>
        <v>4.3000000000000007</v>
      </c>
      <c r="E196">
        <f>VLOOKUP($B196,second_20!$B$5:$BH$270,59,0)</f>
        <v>12</v>
      </c>
      <c r="F196">
        <f>VLOOKUP($B196,third_20!$B$5:$BH$270,59,0)</f>
        <v>16.3</v>
      </c>
      <c r="G196">
        <f>VLOOKUP($B196,fourth_20!$B$5:$BH$270,59,0)</f>
        <v>22.3</v>
      </c>
      <c r="H196">
        <f>VLOOKUP($B196,highest_20!$B$5:$BH$270,59,0)-I196</f>
        <v>15.400000000000002</v>
      </c>
      <c r="I196">
        <f>VLOOKUP($B196,highest_10!$B$5:$BH$270,59,0)</f>
        <v>27.3</v>
      </c>
      <c r="J196">
        <f>SUM($C196:C196)</f>
        <v>2.4</v>
      </c>
      <c r="K196">
        <f>SUM($C196:D196)</f>
        <v>6.7000000000000011</v>
      </c>
      <c r="L196">
        <f>SUM($C196:E196)</f>
        <v>18.700000000000003</v>
      </c>
      <c r="M196">
        <f>SUM($C196:F196)</f>
        <v>35</v>
      </c>
      <c r="N196">
        <f>SUM($C196:G196)</f>
        <v>57.3</v>
      </c>
      <c r="O196">
        <f>SUM($C196:H196)</f>
        <v>72.7</v>
      </c>
      <c r="P196">
        <f>SUM($C196:I196)</f>
        <v>100</v>
      </c>
    </row>
    <row r="197" spans="1:16" x14ac:dyDescent="0.35">
      <c r="A197" t="s">
        <v>494</v>
      </c>
      <c r="B197" t="s">
        <v>72</v>
      </c>
      <c r="C197">
        <f>VLOOKUP($B197,lowest_10!$B$5:$BH$270,59,0)</f>
        <v>1.6</v>
      </c>
      <c r="D197">
        <f>VLOOKUP($B197,lowest_20!$B$5:$BH$270,59,0)-C197</f>
        <v>2.6999999999999997</v>
      </c>
      <c r="E197">
        <f>VLOOKUP($B197,second_20!$B$5:$BH$270,59,0)</f>
        <v>8.6999999999999993</v>
      </c>
      <c r="F197">
        <f>VLOOKUP($B197,third_20!$B$5:$BH$270,59,0)</f>
        <v>13.4</v>
      </c>
      <c r="G197">
        <f>VLOOKUP($B197,fourth_20!$B$5:$BH$270,59,0)</f>
        <v>20.9</v>
      </c>
      <c r="H197">
        <f>VLOOKUP($B197,highest_20!$B$5:$BH$270,59,0)-I197</f>
        <v>16</v>
      </c>
      <c r="I197">
        <f>VLOOKUP($B197,highest_10!$B$5:$BH$270,59,0)</f>
        <v>36.700000000000003</v>
      </c>
      <c r="J197">
        <f>SUM($C197:C197)</f>
        <v>1.6</v>
      </c>
      <c r="K197">
        <f>SUM($C197:D197)</f>
        <v>4.3</v>
      </c>
      <c r="L197">
        <f>SUM($C197:E197)</f>
        <v>13</v>
      </c>
      <c r="M197">
        <f>SUM($C197:F197)</f>
        <v>26.4</v>
      </c>
      <c r="N197">
        <f>SUM($C197:G197)</f>
        <v>47.3</v>
      </c>
      <c r="O197">
        <f>SUM($C197:H197)</f>
        <v>63.3</v>
      </c>
      <c r="P197">
        <f>SUM($C197:I197)</f>
        <v>100</v>
      </c>
    </row>
    <row r="198" spans="1:16" x14ac:dyDescent="0.35">
      <c r="A198" t="s">
        <v>87</v>
      </c>
      <c r="B198" t="s">
        <v>199</v>
      </c>
      <c r="C198">
        <f>VLOOKUP($B198,lowest_10!$B$5:$BH$270,59,0)</f>
        <v>0</v>
      </c>
      <c r="D198">
        <f>VLOOKUP($B198,lowest_20!$B$5:$BH$270,59,0)-C198</f>
        <v>0</v>
      </c>
      <c r="E198">
        <f>VLOOKUP($B198,second_20!$B$5:$BH$270,59,0)</f>
        <v>0</v>
      </c>
      <c r="F198">
        <f>VLOOKUP($B198,third_20!$B$5:$BH$270,59,0)</f>
        <v>0</v>
      </c>
      <c r="G198">
        <f>VLOOKUP($B198,fourth_20!$B$5:$BH$270,59,0)</f>
        <v>0</v>
      </c>
      <c r="H198">
        <f>VLOOKUP($B198,highest_20!$B$5:$BH$270,59,0)-I198</f>
        <v>0</v>
      </c>
      <c r="I198">
        <f>VLOOKUP($B198,highest_10!$B$5:$BH$270,59,0)</f>
        <v>0</v>
      </c>
      <c r="J198">
        <f>SUM($C198:C198)</f>
        <v>0</v>
      </c>
      <c r="K198">
        <f>SUM($C198:D198)</f>
        <v>0</v>
      </c>
      <c r="L198">
        <f>SUM($C198:E198)</f>
        <v>0</v>
      </c>
      <c r="M198">
        <f>SUM($C198:F198)</f>
        <v>0</v>
      </c>
      <c r="N198">
        <f>SUM($C198:G198)</f>
        <v>0</v>
      </c>
      <c r="O198">
        <f>SUM($C198:H198)</f>
        <v>0</v>
      </c>
      <c r="P198">
        <f>SUM($C198:I198)</f>
        <v>0</v>
      </c>
    </row>
    <row r="199" spans="1:16" x14ac:dyDescent="0.35">
      <c r="A199" t="s">
        <v>131</v>
      </c>
      <c r="B199" t="s">
        <v>210</v>
      </c>
      <c r="C199">
        <f>VLOOKUP($B199,lowest_10!$B$5:$BH$270,59,0)</f>
        <v>0</v>
      </c>
      <c r="D199">
        <f>VLOOKUP($B199,lowest_20!$B$5:$BH$270,59,0)-C199</f>
        <v>0</v>
      </c>
      <c r="E199">
        <f>VLOOKUP($B199,second_20!$B$5:$BH$270,59,0)</f>
        <v>0</v>
      </c>
      <c r="F199">
        <f>VLOOKUP($B199,third_20!$B$5:$BH$270,59,0)</f>
        <v>0</v>
      </c>
      <c r="G199">
        <f>VLOOKUP($B199,fourth_20!$B$5:$BH$270,59,0)</f>
        <v>0</v>
      </c>
      <c r="H199">
        <f>VLOOKUP($B199,highest_20!$B$5:$BH$270,59,0)-I199</f>
        <v>0</v>
      </c>
      <c r="I199">
        <f>VLOOKUP($B199,highest_10!$B$5:$BH$270,59,0)</f>
        <v>0</v>
      </c>
      <c r="J199">
        <f>SUM($C199:C199)</f>
        <v>0</v>
      </c>
      <c r="K199">
        <f>SUM($C199:D199)</f>
        <v>0</v>
      </c>
      <c r="L199">
        <f>SUM($C199:E199)</f>
        <v>0</v>
      </c>
      <c r="M199">
        <f>SUM($C199:F199)</f>
        <v>0</v>
      </c>
      <c r="N199">
        <f>SUM($C199:G199)</f>
        <v>0</v>
      </c>
      <c r="O199">
        <f>SUM($C199:H199)</f>
        <v>0</v>
      </c>
      <c r="P199">
        <f>SUM($C199:I199)</f>
        <v>0</v>
      </c>
    </row>
    <row r="200" spans="1:16" x14ac:dyDescent="0.35">
      <c r="A200" t="s">
        <v>592</v>
      </c>
      <c r="B200" t="s">
        <v>280</v>
      </c>
      <c r="C200">
        <f>VLOOKUP($B200,lowest_10!$B$5:$BH$270,59,0)</f>
        <v>0</v>
      </c>
      <c r="D200">
        <f>VLOOKUP($B200,lowest_20!$B$5:$BH$270,59,0)-C200</f>
        <v>0</v>
      </c>
      <c r="E200">
        <f>VLOOKUP($B200,second_20!$B$5:$BH$270,59,0)</f>
        <v>0</v>
      </c>
      <c r="F200">
        <f>VLOOKUP($B200,third_20!$B$5:$BH$270,59,0)</f>
        <v>0</v>
      </c>
      <c r="G200">
        <f>VLOOKUP($B200,fourth_20!$B$5:$BH$270,59,0)</f>
        <v>0</v>
      </c>
      <c r="H200">
        <f>VLOOKUP($B200,highest_20!$B$5:$BH$270,59,0)-I200</f>
        <v>0</v>
      </c>
      <c r="I200">
        <f>VLOOKUP($B200,highest_10!$B$5:$BH$270,59,0)</f>
        <v>0</v>
      </c>
      <c r="J200">
        <f>SUM($C200:C200)</f>
        <v>0</v>
      </c>
      <c r="K200">
        <f>SUM($C200:D200)</f>
        <v>0</v>
      </c>
      <c r="L200">
        <f>SUM($C200:E200)</f>
        <v>0</v>
      </c>
      <c r="M200">
        <f>SUM($C200:F200)</f>
        <v>0</v>
      </c>
      <c r="N200">
        <f>SUM($C200:G200)</f>
        <v>0</v>
      </c>
      <c r="O200">
        <f>SUM($C200:H200)</f>
        <v>0</v>
      </c>
      <c r="P200">
        <f>SUM($C200:I200)</f>
        <v>0</v>
      </c>
    </row>
    <row r="201" spans="1:16" x14ac:dyDescent="0.35">
      <c r="A201" t="s">
        <v>364</v>
      </c>
      <c r="B201" t="s">
        <v>577</v>
      </c>
      <c r="C201">
        <f>VLOOKUP($B201,lowest_10!$B$5:$BH$270,59,0)</f>
        <v>0</v>
      </c>
      <c r="D201">
        <f>VLOOKUP($B201,lowest_20!$B$5:$BH$270,59,0)-C201</f>
        <v>0</v>
      </c>
      <c r="E201">
        <f>VLOOKUP($B201,second_20!$B$5:$BH$270,59,0)</f>
        <v>0</v>
      </c>
      <c r="F201">
        <f>VLOOKUP($B201,third_20!$B$5:$BH$270,59,0)</f>
        <v>0</v>
      </c>
      <c r="G201">
        <f>VLOOKUP($B201,fourth_20!$B$5:$BH$270,59,0)</f>
        <v>0</v>
      </c>
      <c r="H201">
        <f>VLOOKUP($B201,highest_20!$B$5:$BH$270,59,0)-I201</f>
        <v>0</v>
      </c>
      <c r="I201">
        <f>VLOOKUP($B201,highest_10!$B$5:$BH$270,59,0)</f>
        <v>0</v>
      </c>
      <c r="J201">
        <f>SUM($C201:C201)</f>
        <v>0</v>
      </c>
      <c r="K201">
        <f>SUM($C201:D201)</f>
        <v>0</v>
      </c>
      <c r="L201">
        <f>SUM($C201:E201)</f>
        <v>0</v>
      </c>
      <c r="M201">
        <f>SUM($C201:F201)</f>
        <v>0</v>
      </c>
      <c r="N201">
        <f>SUM($C201:G201)</f>
        <v>0</v>
      </c>
      <c r="O201">
        <f>SUM($C201:H201)</f>
        <v>0</v>
      </c>
      <c r="P201">
        <f>SUM($C201:I201)</f>
        <v>0</v>
      </c>
    </row>
    <row r="202" spans="1:16" x14ac:dyDescent="0.35">
      <c r="A202" t="s">
        <v>614</v>
      </c>
      <c r="B202" t="s">
        <v>25</v>
      </c>
      <c r="C202">
        <f>VLOOKUP($B202,lowest_10!$B$5:$BH$270,59,0)</f>
        <v>0</v>
      </c>
      <c r="D202">
        <f>VLOOKUP($B202,lowest_20!$B$5:$BH$270,59,0)-C202</f>
        <v>0</v>
      </c>
      <c r="E202">
        <f>VLOOKUP($B202,second_20!$B$5:$BH$270,59,0)</f>
        <v>0</v>
      </c>
      <c r="F202">
        <f>VLOOKUP($B202,third_20!$B$5:$BH$270,59,0)</f>
        <v>0</v>
      </c>
      <c r="G202">
        <f>VLOOKUP($B202,fourth_20!$B$5:$BH$270,59,0)</f>
        <v>0</v>
      </c>
      <c r="H202">
        <f>VLOOKUP($B202,highest_20!$B$5:$BH$270,59,0)-I202</f>
        <v>0</v>
      </c>
      <c r="I202">
        <f>VLOOKUP($B202,highest_10!$B$5:$BH$270,59,0)</f>
        <v>0</v>
      </c>
      <c r="J202">
        <f>SUM($C202:C202)</f>
        <v>0</v>
      </c>
      <c r="K202">
        <f>SUM($C202:D202)</f>
        <v>0</v>
      </c>
      <c r="L202">
        <f>SUM($C202:E202)</f>
        <v>0</v>
      </c>
      <c r="M202">
        <f>SUM($C202:F202)</f>
        <v>0</v>
      </c>
      <c r="N202">
        <f>SUM($C202:G202)</f>
        <v>0</v>
      </c>
      <c r="O202">
        <f>SUM($C202:H202)</f>
        <v>0</v>
      </c>
      <c r="P202">
        <f>SUM($C202:I202)</f>
        <v>0</v>
      </c>
    </row>
    <row r="203" spans="1:16" x14ac:dyDescent="0.35">
      <c r="A203" t="s">
        <v>554</v>
      </c>
      <c r="B203" t="s">
        <v>333</v>
      </c>
      <c r="C203">
        <f>VLOOKUP($B203,lowest_10!$B$5:$BH$270,59,0)</f>
        <v>1.6</v>
      </c>
      <c r="D203">
        <f>VLOOKUP($B203,lowest_20!$B$5:$BH$270,59,0)-C203</f>
        <v>3.4999999999999996</v>
      </c>
      <c r="E203">
        <f>VLOOKUP($B203,second_20!$B$5:$BH$270,59,0)</f>
        <v>11.8</v>
      </c>
      <c r="F203">
        <f>VLOOKUP($B203,third_20!$B$5:$BH$270,59,0)</f>
        <v>17.7</v>
      </c>
      <c r="G203">
        <f>VLOOKUP($B203,fourth_20!$B$5:$BH$270,59,0)</f>
        <v>24.7</v>
      </c>
      <c r="H203">
        <f>VLOOKUP($B203,highest_20!$B$5:$BH$270,59,0)-I203</f>
        <v>15.900000000000002</v>
      </c>
      <c r="I203">
        <f>VLOOKUP($B203,highest_10!$B$5:$BH$270,59,0)</f>
        <v>24.8</v>
      </c>
      <c r="J203">
        <f>SUM($C203:C203)</f>
        <v>1.6</v>
      </c>
      <c r="K203">
        <f>SUM($C203:D203)</f>
        <v>5.0999999999999996</v>
      </c>
      <c r="L203">
        <f>SUM($C203:E203)</f>
        <v>16.899999999999999</v>
      </c>
      <c r="M203">
        <f>SUM($C203:F203)</f>
        <v>34.599999999999994</v>
      </c>
      <c r="N203">
        <f>SUM($C203:G203)</f>
        <v>59.3</v>
      </c>
      <c r="O203">
        <f>SUM($C203:H203)</f>
        <v>75.2</v>
      </c>
      <c r="P203">
        <f>SUM($C203:I203)</f>
        <v>100</v>
      </c>
    </row>
    <row r="204" spans="1:16" x14ac:dyDescent="0.35">
      <c r="A204" t="s">
        <v>2</v>
      </c>
      <c r="B204" t="s">
        <v>355</v>
      </c>
      <c r="C204">
        <f>VLOOKUP($B204,lowest_10!$B$5:$BH$270,59,0)</f>
        <v>2.2000000000000002</v>
      </c>
      <c r="D204">
        <f>VLOOKUP($B204,lowest_20!$B$5:$BH$270,59,0)-C204</f>
        <v>4</v>
      </c>
      <c r="E204">
        <f>VLOOKUP($B204,second_20!$B$5:$BH$270,59,0)</f>
        <v>11.4</v>
      </c>
      <c r="F204">
        <f>VLOOKUP($B204,third_20!$B$5:$BH$270,59,0)</f>
        <v>16.3</v>
      </c>
      <c r="G204">
        <f>VLOOKUP($B204,fourth_20!$B$5:$BH$270,59,0)</f>
        <v>23.2</v>
      </c>
      <c r="H204">
        <f>VLOOKUP($B204,highest_20!$B$5:$BH$270,59,0)-I204</f>
        <v>16.099999999999998</v>
      </c>
      <c r="I204">
        <f>VLOOKUP($B204,highest_10!$B$5:$BH$270,59,0)</f>
        <v>26.8</v>
      </c>
      <c r="J204">
        <f>SUM($C204:C204)</f>
        <v>2.2000000000000002</v>
      </c>
      <c r="K204">
        <f>SUM($C204:D204)</f>
        <v>6.2</v>
      </c>
      <c r="L204">
        <f>SUM($C204:E204)</f>
        <v>17.600000000000001</v>
      </c>
      <c r="M204">
        <f>SUM($C204:F204)</f>
        <v>33.900000000000006</v>
      </c>
      <c r="N204">
        <f>SUM($C204:G204)</f>
        <v>57.100000000000009</v>
      </c>
      <c r="O204">
        <f>SUM($C204:H204)</f>
        <v>73.2</v>
      </c>
      <c r="P204">
        <f>SUM($C204:I204)</f>
        <v>100</v>
      </c>
    </row>
    <row r="205" spans="1:16" x14ac:dyDescent="0.35">
      <c r="A205" t="s">
        <v>273</v>
      </c>
      <c r="B205" t="s">
        <v>94</v>
      </c>
      <c r="C205">
        <f>VLOOKUP($B205,lowest_10!$B$5:$BH$270,59,0)</f>
        <v>0</v>
      </c>
      <c r="D205">
        <f>VLOOKUP($B205,lowest_20!$B$5:$BH$270,59,0)-C205</f>
        <v>0</v>
      </c>
      <c r="E205">
        <f>VLOOKUP($B205,second_20!$B$5:$BH$270,59,0)</f>
        <v>0</v>
      </c>
      <c r="F205">
        <f>VLOOKUP($B205,third_20!$B$5:$BH$270,59,0)</f>
        <v>0</v>
      </c>
      <c r="G205">
        <f>VLOOKUP($B205,fourth_20!$B$5:$BH$270,59,0)</f>
        <v>0</v>
      </c>
      <c r="H205">
        <f>VLOOKUP($B205,highest_20!$B$5:$BH$270,59,0)-I205</f>
        <v>0</v>
      </c>
      <c r="I205">
        <f>VLOOKUP($B205,highest_10!$B$5:$BH$270,59,0)</f>
        <v>0</v>
      </c>
      <c r="J205">
        <f>SUM($C205:C205)</f>
        <v>0</v>
      </c>
      <c r="K205">
        <f>SUM($C205:D205)</f>
        <v>0</v>
      </c>
      <c r="L205">
        <f>SUM($C205:E205)</f>
        <v>0</v>
      </c>
      <c r="M205">
        <f>SUM($C205:F205)</f>
        <v>0</v>
      </c>
      <c r="N205">
        <f>SUM($C205:G205)</f>
        <v>0</v>
      </c>
      <c r="O205">
        <f>SUM($C205:H205)</f>
        <v>0</v>
      </c>
      <c r="P205">
        <f>SUM($C205:I205)</f>
        <v>0</v>
      </c>
    </row>
    <row r="206" spans="1:16" x14ac:dyDescent="0.35">
      <c r="A206" t="s">
        <v>90</v>
      </c>
      <c r="B206" t="s">
        <v>126</v>
      </c>
      <c r="C206">
        <f>VLOOKUP($B206,lowest_10!$B$5:$BH$270,59,0)</f>
        <v>0</v>
      </c>
      <c r="D206">
        <f>VLOOKUP($B206,lowest_20!$B$5:$BH$270,59,0)-C206</f>
        <v>0</v>
      </c>
      <c r="E206">
        <f>VLOOKUP($B206,second_20!$B$5:$BH$270,59,0)</f>
        <v>0</v>
      </c>
      <c r="F206">
        <f>VLOOKUP($B206,third_20!$B$5:$BH$270,59,0)</f>
        <v>0</v>
      </c>
      <c r="G206">
        <f>VLOOKUP($B206,fourth_20!$B$5:$BH$270,59,0)</f>
        <v>0</v>
      </c>
      <c r="H206">
        <f>VLOOKUP($B206,highest_20!$B$5:$BH$270,59,0)-I206</f>
        <v>0</v>
      </c>
      <c r="I206">
        <f>VLOOKUP($B206,highest_10!$B$5:$BH$270,59,0)</f>
        <v>0</v>
      </c>
      <c r="J206">
        <f>SUM($C206:C206)</f>
        <v>0</v>
      </c>
      <c r="K206">
        <f>SUM($C206:D206)</f>
        <v>0</v>
      </c>
      <c r="L206">
        <f>SUM($C206:E206)</f>
        <v>0</v>
      </c>
      <c r="M206">
        <f>SUM($C206:F206)</f>
        <v>0</v>
      </c>
      <c r="N206">
        <f>SUM($C206:G206)</f>
        <v>0</v>
      </c>
      <c r="O206">
        <f>SUM($C206:H206)</f>
        <v>0</v>
      </c>
      <c r="P206">
        <f>SUM($C206:I206)</f>
        <v>0</v>
      </c>
    </row>
    <row r="207" spans="1:16" x14ac:dyDescent="0.35">
      <c r="A207" t="s">
        <v>480</v>
      </c>
      <c r="B207" t="s">
        <v>249</v>
      </c>
      <c r="C207">
        <f>VLOOKUP($B207,lowest_10!$B$5:$BH$270,59,0)</f>
        <v>0</v>
      </c>
      <c r="D207">
        <f>VLOOKUP($B207,lowest_20!$B$5:$BH$270,59,0)-C207</f>
        <v>0</v>
      </c>
      <c r="E207">
        <f>VLOOKUP($B207,second_20!$B$5:$BH$270,59,0)</f>
        <v>0</v>
      </c>
      <c r="F207">
        <f>VLOOKUP($B207,third_20!$B$5:$BH$270,59,0)</f>
        <v>0</v>
      </c>
      <c r="G207">
        <f>VLOOKUP($B207,fourth_20!$B$5:$BH$270,59,0)</f>
        <v>0</v>
      </c>
      <c r="H207">
        <f>VLOOKUP($B207,highest_20!$B$5:$BH$270,59,0)-I207</f>
        <v>0</v>
      </c>
      <c r="I207">
        <f>VLOOKUP($B207,highest_10!$B$5:$BH$270,59,0)</f>
        <v>0</v>
      </c>
      <c r="J207">
        <f>SUM($C207:C207)</f>
        <v>0</v>
      </c>
      <c r="K207">
        <f>SUM($C207:D207)</f>
        <v>0</v>
      </c>
      <c r="L207">
        <f>SUM($C207:E207)</f>
        <v>0</v>
      </c>
      <c r="M207">
        <f>SUM($C207:F207)</f>
        <v>0</v>
      </c>
      <c r="N207">
        <f>SUM($C207:G207)</f>
        <v>0</v>
      </c>
      <c r="O207">
        <f>SUM($C207:H207)</f>
        <v>0</v>
      </c>
      <c r="P207">
        <f>SUM($C207:I207)</f>
        <v>0</v>
      </c>
    </row>
    <row r="208" spans="1:16" x14ac:dyDescent="0.35">
      <c r="A208" t="s">
        <v>232</v>
      </c>
      <c r="B208" t="s">
        <v>466</v>
      </c>
      <c r="C208">
        <f>VLOOKUP($B208,lowest_10!$B$5:$BH$270,59,0)</f>
        <v>0</v>
      </c>
      <c r="D208">
        <f>VLOOKUP($B208,lowest_20!$B$5:$BH$270,59,0)-C208</f>
        <v>0</v>
      </c>
      <c r="E208">
        <f>VLOOKUP($B208,second_20!$B$5:$BH$270,59,0)</f>
        <v>0</v>
      </c>
      <c r="F208">
        <f>VLOOKUP($B208,third_20!$B$5:$BH$270,59,0)</f>
        <v>0</v>
      </c>
      <c r="G208">
        <f>VLOOKUP($B208,fourth_20!$B$5:$BH$270,59,0)</f>
        <v>0</v>
      </c>
      <c r="H208">
        <f>VLOOKUP($B208,highest_20!$B$5:$BH$270,59,0)-I208</f>
        <v>0</v>
      </c>
      <c r="I208">
        <f>VLOOKUP($B208,highest_10!$B$5:$BH$270,59,0)</f>
        <v>0</v>
      </c>
      <c r="J208">
        <f>SUM($C208:C208)</f>
        <v>0</v>
      </c>
      <c r="K208">
        <f>SUM($C208:D208)</f>
        <v>0</v>
      </c>
      <c r="L208">
        <f>SUM($C208:E208)</f>
        <v>0</v>
      </c>
      <c r="M208">
        <f>SUM($C208:F208)</f>
        <v>0</v>
      </c>
      <c r="N208">
        <f>SUM($C208:G208)</f>
        <v>0</v>
      </c>
      <c r="O208">
        <f>SUM($C208:H208)</f>
        <v>0</v>
      </c>
      <c r="P208">
        <f>SUM($C208:I208)</f>
        <v>0</v>
      </c>
    </row>
    <row r="209" spans="1:16" x14ac:dyDescent="0.35">
      <c r="A209" t="s">
        <v>35</v>
      </c>
      <c r="B209" t="s">
        <v>560</v>
      </c>
      <c r="C209">
        <f>VLOOKUP($B209,lowest_10!$B$5:$BH$270,59,0)</f>
        <v>0</v>
      </c>
      <c r="D209">
        <f>VLOOKUP($B209,lowest_20!$B$5:$BH$270,59,0)-C209</f>
        <v>0</v>
      </c>
      <c r="E209">
        <f>VLOOKUP($B209,second_20!$B$5:$BH$270,59,0)</f>
        <v>0</v>
      </c>
      <c r="F209">
        <f>VLOOKUP($B209,third_20!$B$5:$BH$270,59,0)</f>
        <v>0</v>
      </c>
      <c r="G209">
        <f>VLOOKUP($B209,fourth_20!$B$5:$BH$270,59,0)</f>
        <v>0</v>
      </c>
      <c r="H209">
        <f>VLOOKUP($B209,highest_20!$B$5:$BH$270,59,0)-I209</f>
        <v>0</v>
      </c>
      <c r="I209">
        <f>VLOOKUP($B209,highest_10!$B$5:$BH$270,59,0)</f>
        <v>0</v>
      </c>
      <c r="J209">
        <f>SUM($C209:C209)</f>
        <v>0</v>
      </c>
      <c r="K209">
        <f>SUM($C209:D209)</f>
        <v>0</v>
      </c>
      <c r="L209">
        <f>SUM($C209:E209)</f>
        <v>0</v>
      </c>
      <c r="M209">
        <f>SUM($C209:F209)</f>
        <v>0</v>
      </c>
      <c r="N209">
        <f>SUM($C209:G209)</f>
        <v>0</v>
      </c>
      <c r="O209">
        <f>SUM($C209:H209)</f>
        <v>0</v>
      </c>
      <c r="P209">
        <f>SUM($C209:I209)</f>
        <v>0</v>
      </c>
    </row>
    <row r="210" spans="1:16" x14ac:dyDescent="0.35">
      <c r="A210" t="s">
        <v>508</v>
      </c>
      <c r="B210" t="s">
        <v>83</v>
      </c>
      <c r="C210">
        <f>VLOOKUP($B210,lowest_10!$B$5:$BH$270,59,0)</f>
        <v>0</v>
      </c>
      <c r="D210">
        <f>VLOOKUP($B210,lowest_20!$B$5:$BH$270,59,0)-C210</f>
        <v>0</v>
      </c>
      <c r="E210">
        <f>VLOOKUP($B210,second_20!$B$5:$BH$270,59,0)</f>
        <v>0</v>
      </c>
      <c r="F210">
        <f>VLOOKUP($B210,third_20!$B$5:$BH$270,59,0)</f>
        <v>0</v>
      </c>
      <c r="G210">
        <f>VLOOKUP($B210,fourth_20!$B$5:$BH$270,59,0)</f>
        <v>0</v>
      </c>
      <c r="H210">
        <f>VLOOKUP($B210,highest_20!$B$5:$BH$270,59,0)-I210</f>
        <v>0</v>
      </c>
      <c r="I210">
        <f>VLOOKUP($B210,highest_10!$B$5:$BH$270,59,0)</f>
        <v>0</v>
      </c>
      <c r="J210">
        <f>SUM($C210:C210)</f>
        <v>0</v>
      </c>
      <c r="K210">
        <f>SUM($C210:D210)</f>
        <v>0</v>
      </c>
      <c r="L210">
        <f>SUM($C210:E210)</f>
        <v>0</v>
      </c>
      <c r="M210">
        <f>SUM($C210:F210)</f>
        <v>0</v>
      </c>
      <c r="N210">
        <f>SUM($C210:G210)</f>
        <v>0</v>
      </c>
      <c r="O210">
        <f>SUM($C210:H210)</f>
        <v>0</v>
      </c>
      <c r="P210">
        <f>SUM($C210:I210)</f>
        <v>0</v>
      </c>
    </row>
    <row r="211" spans="1:16" x14ac:dyDescent="0.35">
      <c r="A211" t="s">
        <v>101</v>
      </c>
      <c r="B211" t="s">
        <v>316</v>
      </c>
      <c r="C211">
        <f>VLOOKUP($B211,lowest_10!$B$5:$BH$270,59,0)</f>
        <v>0</v>
      </c>
      <c r="D211">
        <f>VLOOKUP($B211,lowest_20!$B$5:$BH$270,59,0)-C211</f>
        <v>0</v>
      </c>
      <c r="E211">
        <f>VLOOKUP($B211,second_20!$B$5:$BH$270,59,0)</f>
        <v>0</v>
      </c>
      <c r="F211">
        <f>VLOOKUP($B211,third_20!$B$5:$BH$270,59,0)</f>
        <v>0</v>
      </c>
      <c r="G211">
        <f>VLOOKUP($B211,fourth_20!$B$5:$BH$270,59,0)</f>
        <v>0</v>
      </c>
      <c r="H211">
        <f>VLOOKUP($B211,highest_20!$B$5:$BH$270,59,0)-I211</f>
        <v>0</v>
      </c>
      <c r="I211">
        <f>VLOOKUP($B211,highest_10!$B$5:$BH$270,59,0)</f>
        <v>0</v>
      </c>
      <c r="J211">
        <f>SUM($C211:C211)</f>
        <v>0</v>
      </c>
      <c r="K211">
        <f>SUM($C211:D211)</f>
        <v>0</v>
      </c>
      <c r="L211">
        <f>SUM($C211:E211)</f>
        <v>0</v>
      </c>
      <c r="M211">
        <f>SUM($C211:F211)</f>
        <v>0</v>
      </c>
      <c r="N211">
        <f>SUM($C211:G211)</f>
        <v>0</v>
      </c>
      <c r="O211">
        <f>SUM($C211:H211)</f>
        <v>0</v>
      </c>
      <c r="P211">
        <f>SUM($C211:I211)</f>
        <v>0</v>
      </c>
    </row>
    <row r="212" spans="1:16" x14ac:dyDescent="0.35">
      <c r="A212" t="s">
        <v>703</v>
      </c>
      <c r="B212" t="s">
        <v>644</v>
      </c>
      <c r="C212">
        <f>VLOOKUP($B212,lowest_10!$B$5:$BH$270,59,0)</f>
        <v>0</v>
      </c>
      <c r="D212">
        <f>VLOOKUP($B212,lowest_20!$B$5:$BH$270,59,0)-C212</f>
        <v>0</v>
      </c>
      <c r="E212">
        <f>VLOOKUP($B212,second_20!$B$5:$BH$270,59,0)</f>
        <v>0</v>
      </c>
      <c r="F212">
        <f>VLOOKUP($B212,third_20!$B$5:$BH$270,59,0)</f>
        <v>0</v>
      </c>
      <c r="G212">
        <f>VLOOKUP($B212,fourth_20!$B$5:$BH$270,59,0)</f>
        <v>0</v>
      </c>
      <c r="H212">
        <f>VLOOKUP($B212,highest_20!$B$5:$BH$270,59,0)-I212</f>
        <v>0</v>
      </c>
      <c r="I212">
        <f>VLOOKUP($B212,highest_10!$B$5:$BH$270,59,0)</f>
        <v>0</v>
      </c>
      <c r="J212">
        <f>SUM($C212:C212)</f>
        <v>0</v>
      </c>
      <c r="K212">
        <f>SUM($C212:D212)</f>
        <v>0</v>
      </c>
      <c r="L212">
        <f>SUM($C212:E212)</f>
        <v>0</v>
      </c>
      <c r="M212">
        <f>SUM($C212:F212)</f>
        <v>0</v>
      </c>
      <c r="N212">
        <f>SUM($C212:G212)</f>
        <v>0</v>
      </c>
      <c r="O212">
        <f>SUM($C212:H212)</f>
        <v>0</v>
      </c>
      <c r="P212">
        <f>SUM($C212:I212)</f>
        <v>0</v>
      </c>
    </row>
    <row r="213" spans="1:16" x14ac:dyDescent="0.35">
      <c r="A213" t="s">
        <v>573</v>
      </c>
      <c r="B213" t="s">
        <v>95</v>
      </c>
      <c r="C213">
        <f>VLOOKUP($B213,lowest_10!$B$5:$BH$270,59,0)</f>
        <v>2.4</v>
      </c>
      <c r="D213">
        <f>VLOOKUP($B213,lowest_20!$B$5:$BH$270,59,0)-C213</f>
        <v>3.6999999999999997</v>
      </c>
      <c r="E213">
        <f>VLOOKUP($B213,second_20!$B$5:$BH$270,59,0)</f>
        <v>10.5</v>
      </c>
      <c r="F213">
        <f>VLOOKUP($B213,third_20!$B$5:$BH$270,59,0)</f>
        <v>14.8</v>
      </c>
      <c r="G213">
        <f>VLOOKUP($B213,fourth_20!$B$5:$BH$270,59,0)</f>
        <v>21.4</v>
      </c>
      <c r="H213">
        <f>VLOOKUP($B213,highest_20!$B$5:$BH$270,59,0)-I213</f>
        <v>15.400000000000002</v>
      </c>
      <c r="I213">
        <f>VLOOKUP($B213,highest_10!$B$5:$BH$270,59,0)</f>
        <v>31.8</v>
      </c>
      <c r="J213">
        <f>SUM($C213:C213)</f>
        <v>2.4</v>
      </c>
      <c r="K213">
        <f>SUM($C213:D213)</f>
        <v>6.1</v>
      </c>
      <c r="L213">
        <f>SUM($C213:E213)</f>
        <v>16.600000000000001</v>
      </c>
      <c r="M213">
        <f>SUM($C213:F213)</f>
        <v>31.400000000000002</v>
      </c>
      <c r="N213">
        <f>SUM($C213:G213)</f>
        <v>52.8</v>
      </c>
      <c r="O213">
        <f>SUM($C213:H213)</f>
        <v>68.2</v>
      </c>
      <c r="P213">
        <f>SUM($C213:I213)</f>
        <v>100</v>
      </c>
    </row>
    <row r="214" spans="1:16" x14ac:dyDescent="0.35">
      <c r="A214" t="s">
        <v>457</v>
      </c>
      <c r="B214" t="s">
        <v>519</v>
      </c>
      <c r="C214">
        <f>VLOOKUP($B214,lowest_10!$B$5:$BH$270,59,0)</f>
        <v>0</v>
      </c>
      <c r="D214">
        <f>VLOOKUP($B214,lowest_20!$B$5:$BH$270,59,0)-C214</f>
        <v>0</v>
      </c>
      <c r="E214">
        <f>VLOOKUP($B214,second_20!$B$5:$BH$270,59,0)</f>
        <v>0</v>
      </c>
      <c r="F214">
        <f>VLOOKUP($B214,third_20!$B$5:$BH$270,59,0)</f>
        <v>0</v>
      </c>
      <c r="G214">
        <f>VLOOKUP($B214,fourth_20!$B$5:$BH$270,59,0)</f>
        <v>0</v>
      </c>
      <c r="H214">
        <f>VLOOKUP($B214,highest_20!$B$5:$BH$270,59,0)-I214</f>
        <v>0</v>
      </c>
      <c r="I214">
        <f>VLOOKUP($B214,highest_10!$B$5:$BH$270,59,0)</f>
        <v>0</v>
      </c>
      <c r="J214">
        <f>SUM($C214:C214)</f>
        <v>0</v>
      </c>
      <c r="K214">
        <f>SUM($C214:D214)</f>
        <v>0</v>
      </c>
      <c r="L214">
        <f>SUM($C214:E214)</f>
        <v>0</v>
      </c>
      <c r="M214">
        <f>SUM($C214:F214)</f>
        <v>0</v>
      </c>
      <c r="N214">
        <f>SUM($C214:G214)</f>
        <v>0</v>
      </c>
      <c r="O214">
        <f>SUM($C214:H214)</f>
        <v>0</v>
      </c>
      <c r="P214">
        <f>SUM($C214:I214)</f>
        <v>0</v>
      </c>
    </row>
    <row r="215" spans="1:16" x14ac:dyDescent="0.35">
      <c r="A215" t="s">
        <v>352</v>
      </c>
      <c r="B215" t="s">
        <v>32</v>
      </c>
      <c r="C215">
        <f>VLOOKUP($B215,lowest_10!$B$5:$BH$270,59,0)</f>
        <v>0</v>
      </c>
      <c r="D215">
        <f>VLOOKUP($B215,lowest_20!$B$5:$BH$270,59,0)-C215</f>
        <v>0</v>
      </c>
      <c r="E215">
        <f>VLOOKUP($B215,second_20!$B$5:$BH$270,59,0)</f>
        <v>0</v>
      </c>
      <c r="F215">
        <f>VLOOKUP($B215,third_20!$B$5:$BH$270,59,0)</f>
        <v>0</v>
      </c>
      <c r="G215">
        <f>VLOOKUP($B215,fourth_20!$B$5:$BH$270,59,0)</f>
        <v>0</v>
      </c>
      <c r="H215">
        <f>VLOOKUP($B215,highest_20!$B$5:$BH$270,59,0)-I215</f>
        <v>0</v>
      </c>
      <c r="I215">
        <f>VLOOKUP($B215,highest_10!$B$5:$BH$270,59,0)</f>
        <v>0</v>
      </c>
      <c r="J215">
        <f>SUM($C215:C215)</f>
        <v>0</v>
      </c>
      <c r="K215">
        <f>SUM($C215:D215)</f>
        <v>0</v>
      </c>
      <c r="L215">
        <f>SUM($C215:E215)</f>
        <v>0</v>
      </c>
      <c r="M215">
        <f>SUM($C215:F215)</f>
        <v>0</v>
      </c>
      <c r="N215">
        <f>SUM($C215:G215)</f>
        <v>0</v>
      </c>
      <c r="O215">
        <f>SUM($C215:H215)</f>
        <v>0</v>
      </c>
      <c r="P215">
        <f>SUM($C215:I215)</f>
        <v>0</v>
      </c>
    </row>
    <row r="216" spans="1:16" x14ac:dyDescent="0.35">
      <c r="A216" t="s">
        <v>321</v>
      </c>
      <c r="B216" t="s">
        <v>445</v>
      </c>
      <c r="C216">
        <f>VLOOKUP($B216,lowest_10!$B$5:$BH$270,59,0)</f>
        <v>1.1000000000000001</v>
      </c>
      <c r="D216">
        <f>VLOOKUP($B216,lowest_20!$B$5:$BH$270,59,0)-C216</f>
        <v>3.3000000000000003</v>
      </c>
      <c r="E216">
        <f>VLOOKUP($B216,second_20!$B$5:$BH$270,59,0)</f>
        <v>10.9</v>
      </c>
      <c r="F216">
        <f>VLOOKUP($B216,third_20!$B$5:$BH$270,59,0)</f>
        <v>16.5</v>
      </c>
      <c r="G216">
        <f>VLOOKUP($B216,fourth_20!$B$5:$BH$270,59,0)</f>
        <v>23.3</v>
      </c>
      <c r="H216">
        <f>VLOOKUP($B216,highest_20!$B$5:$BH$270,59,0)-I216</f>
        <v>15.7</v>
      </c>
      <c r="I216">
        <f>VLOOKUP($B216,highest_10!$B$5:$BH$270,59,0)</f>
        <v>29.2</v>
      </c>
      <c r="J216">
        <f>SUM($C216:C216)</f>
        <v>1.1000000000000001</v>
      </c>
      <c r="K216">
        <f>SUM($C216:D216)</f>
        <v>4.4000000000000004</v>
      </c>
      <c r="L216">
        <f>SUM($C216:E216)</f>
        <v>15.3</v>
      </c>
      <c r="M216">
        <f>SUM($C216:F216)</f>
        <v>31.8</v>
      </c>
      <c r="N216">
        <f>SUM($C216:G216)</f>
        <v>55.1</v>
      </c>
      <c r="O216">
        <f>SUM($C216:H216)</f>
        <v>70.8</v>
      </c>
      <c r="P216">
        <f>SUM($C216:I216)</f>
        <v>100</v>
      </c>
    </row>
    <row r="217" spans="1:16" x14ac:dyDescent="0.35">
      <c r="A217" t="s">
        <v>61</v>
      </c>
      <c r="B217" t="s">
        <v>460</v>
      </c>
      <c r="C217">
        <f>VLOOKUP($B217,lowest_10!$B$5:$BH$270,59,0)</f>
        <v>0</v>
      </c>
      <c r="D217">
        <f>VLOOKUP($B217,lowest_20!$B$5:$BH$270,59,0)-C217</f>
        <v>0</v>
      </c>
      <c r="E217">
        <f>VLOOKUP($B217,second_20!$B$5:$BH$270,59,0)</f>
        <v>0</v>
      </c>
      <c r="F217">
        <f>VLOOKUP($B217,third_20!$B$5:$BH$270,59,0)</f>
        <v>0</v>
      </c>
      <c r="G217">
        <f>VLOOKUP($B217,fourth_20!$B$5:$BH$270,59,0)</f>
        <v>0</v>
      </c>
      <c r="H217">
        <f>VLOOKUP($B217,highest_20!$B$5:$BH$270,59,0)-I217</f>
        <v>0</v>
      </c>
      <c r="I217">
        <f>VLOOKUP($B217,highest_10!$B$5:$BH$270,59,0)</f>
        <v>0</v>
      </c>
      <c r="J217">
        <f>SUM($C217:C217)</f>
        <v>0</v>
      </c>
      <c r="K217">
        <f>SUM($C217:D217)</f>
        <v>0</v>
      </c>
      <c r="L217">
        <f>SUM($C217:E217)</f>
        <v>0</v>
      </c>
      <c r="M217">
        <f>SUM($C217:F217)</f>
        <v>0</v>
      </c>
      <c r="N217">
        <f>SUM($C217:G217)</f>
        <v>0</v>
      </c>
      <c r="O217">
        <f>SUM($C217:H217)</f>
        <v>0</v>
      </c>
      <c r="P217">
        <f>SUM($C217:I217)</f>
        <v>0</v>
      </c>
    </row>
    <row r="218" spans="1:16" x14ac:dyDescent="0.35">
      <c r="A218" t="s">
        <v>288</v>
      </c>
      <c r="B218" t="s">
        <v>64</v>
      </c>
      <c r="C218">
        <f>VLOOKUP($B218,lowest_10!$B$5:$BH$270,59,0)</f>
        <v>0</v>
      </c>
      <c r="D218">
        <f>VLOOKUP($B218,lowest_20!$B$5:$BH$270,59,0)-C218</f>
        <v>0</v>
      </c>
      <c r="E218">
        <f>VLOOKUP($B218,second_20!$B$5:$BH$270,59,0)</f>
        <v>0</v>
      </c>
      <c r="F218">
        <f>VLOOKUP($B218,third_20!$B$5:$BH$270,59,0)</f>
        <v>0</v>
      </c>
      <c r="G218">
        <f>VLOOKUP($B218,fourth_20!$B$5:$BH$270,59,0)</f>
        <v>0</v>
      </c>
      <c r="H218">
        <f>VLOOKUP($B218,highest_20!$B$5:$BH$270,59,0)-I218</f>
        <v>0</v>
      </c>
      <c r="I218">
        <f>VLOOKUP($B218,highest_10!$B$5:$BH$270,59,0)</f>
        <v>0</v>
      </c>
      <c r="J218">
        <f>SUM($C218:C218)</f>
        <v>0</v>
      </c>
      <c r="K218">
        <f>SUM($C218:D218)</f>
        <v>0</v>
      </c>
      <c r="L218">
        <f>SUM($C218:E218)</f>
        <v>0</v>
      </c>
      <c r="M218">
        <f>SUM($C218:F218)</f>
        <v>0</v>
      </c>
      <c r="N218">
        <f>SUM($C218:G218)</f>
        <v>0</v>
      </c>
      <c r="O218">
        <f>SUM($C218:H218)</f>
        <v>0</v>
      </c>
      <c r="P218">
        <f>SUM($C218:I218)</f>
        <v>0</v>
      </c>
    </row>
    <row r="219" spans="1:16" x14ac:dyDescent="0.35">
      <c r="A219" t="s">
        <v>313</v>
      </c>
      <c r="B219" t="s">
        <v>187</v>
      </c>
      <c r="C219">
        <f>VLOOKUP($B219,lowest_10!$B$5:$BH$270,59,0)</f>
        <v>0</v>
      </c>
      <c r="D219">
        <f>VLOOKUP($B219,lowest_20!$B$5:$BH$270,59,0)-C219</f>
        <v>0</v>
      </c>
      <c r="E219">
        <f>VLOOKUP($B219,second_20!$B$5:$BH$270,59,0)</f>
        <v>0</v>
      </c>
      <c r="F219">
        <f>VLOOKUP($B219,third_20!$B$5:$BH$270,59,0)</f>
        <v>0</v>
      </c>
      <c r="G219">
        <f>VLOOKUP($B219,fourth_20!$B$5:$BH$270,59,0)</f>
        <v>0</v>
      </c>
      <c r="H219">
        <f>VLOOKUP($B219,highest_20!$B$5:$BH$270,59,0)-I219</f>
        <v>0</v>
      </c>
      <c r="I219">
        <f>VLOOKUP($B219,highest_10!$B$5:$BH$270,59,0)</f>
        <v>0</v>
      </c>
      <c r="J219">
        <f>SUM($C219:C219)</f>
        <v>0</v>
      </c>
      <c r="K219">
        <f>SUM($C219:D219)</f>
        <v>0</v>
      </c>
      <c r="L219">
        <f>SUM($C219:E219)</f>
        <v>0</v>
      </c>
      <c r="M219">
        <f>SUM($C219:F219)</f>
        <v>0</v>
      </c>
      <c r="N219">
        <f>SUM($C219:G219)</f>
        <v>0</v>
      </c>
      <c r="O219">
        <f>SUM($C219:H219)</f>
        <v>0</v>
      </c>
      <c r="P219">
        <f>SUM($C219:I219)</f>
        <v>0</v>
      </c>
    </row>
    <row r="220" spans="1:16" x14ac:dyDescent="0.35">
      <c r="A220" t="s">
        <v>44</v>
      </c>
      <c r="B220" t="s">
        <v>196</v>
      </c>
      <c r="C220">
        <f>VLOOKUP($B220,lowest_10!$B$5:$BH$270,59,0)</f>
        <v>0</v>
      </c>
      <c r="D220">
        <f>VLOOKUP($B220,lowest_20!$B$5:$BH$270,59,0)-C220</f>
        <v>0</v>
      </c>
      <c r="E220">
        <f>VLOOKUP($B220,second_20!$B$5:$BH$270,59,0)</f>
        <v>0</v>
      </c>
      <c r="F220">
        <f>VLOOKUP($B220,third_20!$B$5:$BH$270,59,0)</f>
        <v>0</v>
      </c>
      <c r="G220">
        <f>VLOOKUP($B220,fourth_20!$B$5:$BH$270,59,0)</f>
        <v>0</v>
      </c>
      <c r="H220">
        <f>VLOOKUP($B220,highest_20!$B$5:$BH$270,59,0)-I220</f>
        <v>0</v>
      </c>
      <c r="I220">
        <f>VLOOKUP($B220,highest_10!$B$5:$BH$270,59,0)</f>
        <v>0</v>
      </c>
      <c r="J220">
        <f>SUM($C220:C220)</f>
        <v>0</v>
      </c>
      <c r="K220">
        <f>SUM($C220:D220)</f>
        <v>0</v>
      </c>
      <c r="L220">
        <f>SUM($C220:E220)</f>
        <v>0</v>
      </c>
      <c r="M220">
        <f>SUM($C220:F220)</f>
        <v>0</v>
      </c>
      <c r="N220">
        <f>SUM($C220:G220)</f>
        <v>0</v>
      </c>
      <c r="O220">
        <f>SUM($C220:H220)</f>
        <v>0</v>
      </c>
      <c r="P220">
        <f>SUM($C220:I220)</f>
        <v>0</v>
      </c>
    </row>
    <row r="221" spans="1:16" x14ac:dyDescent="0.35">
      <c r="A221" t="s">
        <v>255</v>
      </c>
      <c r="B221" t="s">
        <v>449</v>
      </c>
      <c r="C221">
        <f>VLOOKUP($B221,lowest_10!$B$5:$BH$270,59,0)</f>
        <v>0</v>
      </c>
      <c r="D221">
        <f>VLOOKUP($B221,lowest_20!$B$5:$BH$270,59,0)-C221</f>
        <v>0</v>
      </c>
      <c r="E221">
        <f>VLOOKUP($B221,second_20!$B$5:$BH$270,59,0)</f>
        <v>0</v>
      </c>
      <c r="F221">
        <f>VLOOKUP($B221,third_20!$B$5:$BH$270,59,0)</f>
        <v>0</v>
      </c>
      <c r="G221">
        <f>VLOOKUP($B221,fourth_20!$B$5:$BH$270,59,0)</f>
        <v>0</v>
      </c>
      <c r="H221">
        <f>VLOOKUP($B221,highest_20!$B$5:$BH$270,59,0)-I221</f>
        <v>0</v>
      </c>
      <c r="I221">
        <f>VLOOKUP($B221,highest_10!$B$5:$BH$270,59,0)</f>
        <v>0</v>
      </c>
      <c r="J221">
        <f>SUM($C221:C221)</f>
        <v>0</v>
      </c>
      <c r="K221">
        <f>SUM($C221:D221)</f>
        <v>0</v>
      </c>
      <c r="L221">
        <f>SUM($C221:E221)</f>
        <v>0</v>
      </c>
      <c r="M221">
        <f>SUM($C221:F221)</f>
        <v>0</v>
      </c>
      <c r="N221">
        <f>SUM($C221:G221)</f>
        <v>0</v>
      </c>
      <c r="O221">
        <f>SUM($C221:H221)</f>
        <v>0</v>
      </c>
      <c r="P221">
        <f>SUM($C221:I221)</f>
        <v>0</v>
      </c>
    </row>
    <row r="222" spans="1:16" x14ac:dyDescent="0.35">
      <c r="A222" t="s">
        <v>512</v>
      </c>
      <c r="B222" t="s">
        <v>68</v>
      </c>
      <c r="C222">
        <f>VLOOKUP($B222,lowest_10!$B$5:$BH$270,59,0)</f>
        <v>0</v>
      </c>
      <c r="D222">
        <f>VLOOKUP($B222,lowest_20!$B$5:$BH$270,59,0)-C222</f>
        <v>0</v>
      </c>
      <c r="E222">
        <f>VLOOKUP($B222,second_20!$B$5:$BH$270,59,0)</f>
        <v>0</v>
      </c>
      <c r="F222">
        <f>VLOOKUP($B222,third_20!$B$5:$BH$270,59,0)</f>
        <v>0</v>
      </c>
      <c r="G222">
        <f>VLOOKUP($B222,fourth_20!$B$5:$BH$270,59,0)</f>
        <v>0</v>
      </c>
      <c r="H222">
        <f>VLOOKUP($B222,highest_20!$B$5:$BH$270,59,0)-I222</f>
        <v>0</v>
      </c>
      <c r="I222">
        <f>VLOOKUP($B222,highest_10!$B$5:$BH$270,59,0)</f>
        <v>0</v>
      </c>
      <c r="J222">
        <f>SUM($C222:C222)</f>
        <v>0</v>
      </c>
      <c r="K222">
        <f>SUM($C222:D222)</f>
        <v>0</v>
      </c>
      <c r="L222">
        <f>SUM($C222:E222)</f>
        <v>0</v>
      </c>
      <c r="M222">
        <f>SUM($C222:F222)</f>
        <v>0</v>
      </c>
      <c r="N222">
        <f>SUM($C222:G222)</f>
        <v>0</v>
      </c>
      <c r="O222">
        <f>SUM($C222:H222)</f>
        <v>0</v>
      </c>
      <c r="P222">
        <f>SUM($C222:I222)</f>
        <v>0</v>
      </c>
    </row>
    <row r="223" spans="1:16" x14ac:dyDescent="0.35">
      <c r="A223" t="s">
        <v>387</v>
      </c>
      <c r="B223" t="s">
        <v>151</v>
      </c>
      <c r="C223">
        <f>VLOOKUP($B223,lowest_10!$B$5:$BH$270,59,0)</f>
        <v>3</v>
      </c>
      <c r="D223">
        <f>VLOOKUP($B223,lowest_20!$B$5:$BH$270,59,0)-C223</f>
        <v>5.5</v>
      </c>
      <c r="E223">
        <f>VLOOKUP($B223,second_20!$B$5:$BH$270,59,0)</f>
        <v>14.6</v>
      </c>
      <c r="F223">
        <f>VLOOKUP($B223,third_20!$B$5:$BH$270,59,0)</f>
        <v>18.7</v>
      </c>
      <c r="G223">
        <f>VLOOKUP($B223,fourth_20!$B$5:$BH$270,59,0)</f>
        <v>23.2</v>
      </c>
      <c r="H223">
        <f>VLOOKUP($B223,highest_20!$B$5:$BH$270,59,0)-I223</f>
        <v>14.100000000000001</v>
      </c>
      <c r="I223">
        <f>VLOOKUP($B223,highest_10!$B$5:$BH$270,59,0)</f>
        <v>20.9</v>
      </c>
      <c r="J223">
        <f>SUM($C223:C223)</f>
        <v>3</v>
      </c>
      <c r="K223">
        <f>SUM($C223:D223)</f>
        <v>8.5</v>
      </c>
      <c r="L223">
        <f>SUM($C223:E223)</f>
        <v>23.1</v>
      </c>
      <c r="M223">
        <f>SUM($C223:F223)</f>
        <v>41.8</v>
      </c>
      <c r="N223">
        <f>SUM($C223:G223)</f>
        <v>65</v>
      </c>
      <c r="O223">
        <f>SUM($C223:H223)</f>
        <v>79.099999999999994</v>
      </c>
      <c r="P223">
        <f>SUM($C223:I223)</f>
        <v>100</v>
      </c>
    </row>
    <row r="224" spans="1:16" x14ac:dyDescent="0.35">
      <c r="A224" t="s">
        <v>378</v>
      </c>
      <c r="B224" t="s">
        <v>335</v>
      </c>
      <c r="C224">
        <f>VLOOKUP($B224,lowest_10!$B$5:$BH$270,59,0)</f>
        <v>3.9</v>
      </c>
      <c r="D224">
        <f>VLOOKUP($B224,lowest_20!$B$5:$BH$270,59,0)-C224</f>
        <v>5.6999999999999993</v>
      </c>
      <c r="E224">
        <f>VLOOKUP($B224,second_20!$B$5:$BH$270,59,0)</f>
        <v>14.5</v>
      </c>
      <c r="F224">
        <f>VLOOKUP($B224,third_20!$B$5:$BH$270,59,0)</f>
        <v>18.2</v>
      </c>
      <c r="G224">
        <f>VLOOKUP($B224,fourth_20!$B$5:$BH$270,59,0)</f>
        <v>22.6</v>
      </c>
      <c r="H224">
        <f>VLOOKUP($B224,highest_20!$B$5:$BH$270,59,0)-I224</f>
        <v>14.100000000000001</v>
      </c>
      <c r="I224">
        <f>VLOOKUP($B224,highest_10!$B$5:$BH$270,59,0)</f>
        <v>21</v>
      </c>
      <c r="J224">
        <f>SUM($C224:C224)</f>
        <v>3.9</v>
      </c>
      <c r="K224">
        <f>SUM($C224:D224)</f>
        <v>9.6</v>
      </c>
      <c r="L224">
        <f>SUM($C224:E224)</f>
        <v>24.1</v>
      </c>
      <c r="M224">
        <f>SUM($C224:F224)</f>
        <v>42.3</v>
      </c>
      <c r="N224">
        <f>SUM($C224:G224)</f>
        <v>64.900000000000006</v>
      </c>
      <c r="O224">
        <f>SUM($C224:H224)</f>
        <v>79</v>
      </c>
      <c r="P224">
        <f>SUM($C224:I224)</f>
        <v>100</v>
      </c>
    </row>
    <row r="225" spans="1:16" x14ac:dyDescent="0.35">
      <c r="A225" t="s">
        <v>73</v>
      </c>
      <c r="B225" t="s">
        <v>291</v>
      </c>
      <c r="C225">
        <f>VLOOKUP($B225,lowest_10!$B$5:$BH$270,59,0)</f>
        <v>2.9</v>
      </c>
      <c r="D225">
        <f>VLOOKUP($B225,lowest_20!$B$5:$BH$270,59,0)-C225</f>
        <v>5.2999999999999989</v>
      </c>
      <c r="E225">
        <f>VLOOKUP($B225,second_20!$B$5:$BH$270,59,0)</f>
        <v>13.9</v>
      </c>
      <c r="F225">
        <f>VLOOKUP($B225,third_20!$B$5:$BH$270,59,0)</f>
        <v>17.5</v>
      </c>
      <c r="G225">
        <f>VLOOKUP($B225,fourth_20!$B$5:$BH$270,59,0)</f>
        <v>22.8</v>
      </c>
      <c r="H225">
        <f>VLOOKUP($B225,highest_20!$B$5:$BH$270,59,0)-I225</f>
        <v>14.700000000000003</v>
      </c>
      <c r="I225">
        <f>VLOOKUP($B225,highest_10!$B$5:$BH$270,59,0)</f>
        <v>22.9</v>
      </c>
      <c r="J225">
        <f>SUM($C225:C225)</f>
        <v>2.9</v>
      </c>
      <c r="K225">
        <f>SUM($C225:D225)</f>
        <v>8.1999999999999993</v>
      </c>
      <c r="L225">
        <f>SUM($C225:E225)</f>
        <v>22.1</v>
      </c>
      <c r="M225">
        <f>SUM($C225:F225)</f>
        <v>39.6</v>
      </c>
      <c r="N225">
        <f>SUM($C225:G225)</f>
        <v>62.400000000000006</v>
      </c>
      <c r="O225">
        <f>SUM($C225:H225)</f>
        <v>77.100000000000009</v>
      </c>
      <c r="P225">
        <f>SUM($C225:I225)</f>
        <v>100</v>
      </c>
    </row>
    <row r="226" spans="1:16" x14ac:dyDescent="0.35">
      <c r="A226" t="s">
        <v>656</v>
      </c>
      <c r="B226" t="s">
        <v>139</v>
      </c>
      <c r="C226">
        <f>VLOOKUP($B226,lowest_10!$B$5:$BH$270,59,0)</f>
        <v>0</v>
      </c>
      <c r="D226">
        <f>VLOOKUP($B226,lowest_20!$B$5:$BH$270,59,0)-C226</f>
        <v>0</v>
      </c>
      <c r="E226">
        <f>VLOOKUP($B226,second_20!$B$5:$BH$270,59,0)</f>
        <v>0</v>
      </c>
      <c r="F226">
        <f>VLOOKUP($B226,third_20!$B$5:$BH$270,59,0)</f>
        <v>0</v>
      </c>
      <c r="G226">
        <f>VLOOKUP($B226,fourth_20!$B$5:$BH$270,59,0)</f>
        <v>0</v>
      </c>
      <c r="H226">
        <f>VLOOKUP($B226,highest_20!$B$5:$BH$270,59,0)-I226</f>
        <v>0</v>
      </c>
      <c r="I226">
        <f>VLOOKUP($B226,highest_10!$B$5:$BH$270,59,0)</f>
        <v>0</v>
      </c>
      <c r="J226">
        <f>SUM($C226:C226)</f>
        <v>0</v>
      </c>
      <c r="K226">
        <f>SUM($C226:D226)</f>
        <v>0</v>
      </c>
      <c r="L226">
        <f>SUM($C226:E226)</f>
        <v>0</v>
      </c>
      <c r="M226">
        <f>SUM($C226:F226)</f>
        <v>0</v>
      </c>
      <c r="N226">
        <f>SUM($C226:G226)</f>
        <v>0</v>
      </c>
      <c r="O226">
        <f>SUM($C226:H226)</f>
        <v>0</v>
      </c>
      <c r="P226">
        <f>SUM($C226:I226)</f>
        <v>0</v>
      </c>
    </row>
    <row r="227" spans="1:16" x14ac:dyDescent="0.35">
      <c r="A227" t="s">
        <v>368</v>
      </c>
      <c r="B227" t="s">
        <v>418</v>
      </c>
      <c r="C227">
        <f>VLOOKUP($B227,lowest_10!$B$5:$BH$270,59,0)</f>
        <v>0</v>
      </c>
      <c r="D227">
        <f>VLOOKUP($B227,lowest_20!$B$5:$BH$270,59,0)-C227</f>
        <v>0</v>
      </c>
      <c r="E227">
        <f>VLOOKUP($B227,second_20!$B$5:$BH$270,59,0)</f>
        <v>0</v>
      </c>
      <c r="F227">
        <f>VLOOKUP($B227,third_20!$B$5:$BH$270,59,0)</f>
        <v>0</v>
      </c>
      <c r="G227">
        <f>VLOOKUP($B227,fourth_20!$B$5:$BH$270,59,0)</f>
        <v>0</v>
      </c>
      <c r="H227">
        <f>VLOOKUP($B227,highest_20!$B$5:$BH$270,59,0)-I227</f>
        <v>0</v>
      </c>
      <c r="I227">
        <f>VLOOKUP($B227,highest_10!$B$5:$BH$270,59,0)</f>
        <v>0</v>
      </c>
      <c r="J227">
        <f>SUM($C227:C227)</f>
        <v>0</v>
      </c>
      <c r="K227">
        <f>SUM($C227:D227)</f>
        <v>0</v>
      </c>
      <c r="L227">
        <f>SUM($C227:E227)</f>
        <v>0</v>
      </c>
      <c r="M227">
        <f>SUM($C227:F227)</f>
        <v>0</v>
      </c>
      <c r="N227">
        <f>SUM($C227:G227)</f>
        <v>0</v>
      </c>
      <c r="O227">
        <f>SUM($C227:H227)</f>
        <v>0</v>
      </c>
      <c r="P227">
        <f>SUM($C227:I227)</f>
        <v>0</v>
      </c>
    </row>
    <row r="228" spans="1:16" x14ac:dyDescent="0.35">
      <c r="A228" t="s">
        <v>504</v>
      </c>
      <c r="B228" t="s">
        <v>155</v>
      </c>
      <c r="C228">
        <f>VLOOKUP($B228,lowest_10!$B$5:$BH$270,59,0)</f>
        <v>0</v>
      </c>
      <c r="D228">
        <f>VLOOKUP($B228,lowest_20!$B$5:$BH$270,59,0)-C228</f>
        <v>0</v>
      </c>
      <c r="E228">
        <f>VLOOKUP($B228,second_20!$B$5:$BH$270,59,0)</f>
        <v>0</v>
      </c>
      <c r="F228">
        <f>VLOOKUP($B228,third_20!$B$5:$BH$270,59,0)</f>
        <v>0</v>
      </c>
      <c r="G228">
        <f>VLOOKUP($B228,fourth_20!$B$5:$BH$270,59,0)</f>
        <v>0</v>
      </c>
      <c r="H228">
        <f>VLOOKUP($B228,highest_20!$B$5:$BH$270,59,0)-I228</f>
        <v>0</v>
      </c>
      <c r="I228">
        <f>VLOOKUP($B228,highest_10!$B$5:$BH$270,59,0)</f>
        <v>0</v>
      </c>
      <c r="J228">
        <f>SUM($C228:C228)</f>
        <v>0</v>
      </c>
      <c r="K228">
        <f>SUM($C228:D228)</f>
        <v>0</v>
      </c>
      <c r="L228">
        <f>SUM($C228:E228)</f>
        <v>0</v>
      </c>
      <c r="M228">
        <f>SUM($C228:F228)</f>
        <v>0</v>
      </c>
      <c r="N228">
        <f>SUM($C228:G228)</f>
        <v>0</v>
      </c>
      <c r="O228">
        <f>SUM($C228:H228)</f>
        <v>0</v>
      </c>
      <c r="P228">
        <f>SUM($C228:I228)</f>
        <v>0</v>
      </c>
    </row>
    <row r="229" spans="1:16" x14ac:dyDescent="0.35">
      <c r="A229" t="s">
        <v>179</v>
      </c>
      <c r="B229" t="s">
        <v>224</v>
      </c>
      <c r="C229">
        <f>VLOOKUP($B229,lowest_10!$B$5:$BH$270,59,0)</f>
        <v>0</v>
      </c>
      <c r="D229">
        <f>VLOOKUP($B229,lowest_20!$B$5:$BH$270,59,0)-C229</f>
        <v>0</v>
      </c>
      <c r="E229">
        <f>VLOOKUP($B229,second_20!$B$5:$BH$270,59,0)</f>
        <v>0</v>
      </c>
      <c r="F229">
        <f>VLOOKUP($B229,third_20!$B$5:$BH$270,59,0)</f>
        <v>0</v>
      </c>
      <c r="G229">
        <f>VLOOKUP($B229,fourth_20!$B$5:$BH$270,59,0)</f>
        <v>0</v>
      </c>
      <c r="H229">
        <f>VLOOKUP($B229,highest_20!$B$5:$BH$270,59,0)-I229</f>
        <v>0</v>
      </c>
      <c r="I229">
        <f>VLOOKUP($B229,highest_10!$B$5:$BH$270,59,0)</f>
        <v>0</v>
      </c>
      <c r="J229">
        <f>SUM($C229:C229)</f>
        <v>0</v>
      </c>
      <c r="K229">
        <f>SUM($C229:D229)</f>
        <v>0</v>
      </c>
      <c r="L229">
        <f>SUM($C229:E229)</f>
        <v>0</v>
      </c>
      <c r="M229">
        <f>SUM($C229:F229)</f>
        <v>0</v>
      </c>
      <c r="N229">
        <f>SUM($C229:G229)</f>
        <v>0</v>
      </c>
      <c r="O229">
        <f>SUM($C229:H229)</f>
        <v>0</v>
      </c>
      <c r="P229">
        <f>SUM($C229:I229)</f>
        <v>0</v>
      </c>
    </row>
    <row r="230" spans="1:16" x14ac:dyDescent="0.35">
      <c r="A230" t="s">
        <v>124</v>
      </c>
      <c r="B230" t="s">
        <v>233</v>
      </c>
      <c r="C230">
        <f>VLOOKUP($B230,lowest_10!$B$5:$BH$270,59,0)</f>
        <v>0</v>
      </c>
      <c r="D230">
        <f>VLOOKUP($B230,lowest_20!$B$5:$BH$270,59,0)-C230</f>
        <v>0</v>
      </c>
      <c r="E230">
        <f>VLOOKUP($B230,second_20!$B$5:$BH$270,59,0)</f>
        <v>0</v>
      </c>
      <c r="F230">
        <f>VLOOKUP($B230,third_20!$B$5:$BH$270,59,0)</f>
        <v>0</v>
      </c>
      <c r="G230">
        <f>VLOOKUP($B230,fourth_20!$B$5:$BH$270,59,0)</f>
        <v>0</v>
      </c>
      <c r="H230">
        <f>VLOOKUP($B230,highest_20!$B$5:$BH$270,59,0)-I230</f>
        <v>0</v>
      </c>
      <c r="I230">
        <f>VLOOKUP($B230,highest_10!$B$5:$BH$270,59,0)</f>
        <v>0</v>
      </c>
      <c r="J230">
        <f>SUM($C230:C230)</f>
        <v>0</v>
      </c>
      <c r="K230">
        <f>SUM($C230:D230)</f>
        <v>0</v>
      </c>
      <c r="L230">
        <f>SUM($C230:E230)</f>
        <v>0</v>
      </c>
      <c r="M230">
        <f>SUM($C230:F230)</f>
        <v>0</v>
      </c>
      <c r="N230">
        <f>SUM($C230:G230)</f>
        <v>0</v>
      </c>
      <c r="O230">
        <f>SUM($C230:H230)</f>
        <v>0</v>
      </c>
      <c r="P230">
        <f>SUM($C230:I230)</f>
        <v>0</v>
      </c>
    </row>
    <row r="231" spans="1:16" x14ac:dyDescent="0.35">
      <c r="A231" t="s">
        <v>609</v>
      </c>
      <c r="B231" t="s">
        <v>582</v>
      </c>
      <c r="C231">
        <f>VLOOKUP($B231,lowest_10!$B$5:$BH$270,59,0)</f>
        <v>0</v>
      </c>
      <c r="D231">
        <f>VLOOKUP($B231,lowest_20!$B$5:$BH$270,59,0)-C231</f>
        <v>0</v>
      </c>
      <c r="E231">
        <f>VLOOKUP($B231,second_20!$B$5:$BH$270,59,0)</f>
        <v>0</v>
      </c>
      <c r="F231">
        <f>VLOOKUP($B231,third_20!$B$5:$BH$270,59,0)</f>
        <v>0</v>
      </c>
      <c r="G231">
        <f>VLOOKUP($B231,fourth_20!$B$5:$BH$270,59,0)</f>
        <v>0</v>
      </c>
      <c r="H231">
        <f>VLOOKUP($B231,highest_20!$B$5:$BH$270,59,0)-I231</f>
        <v>0</v>
      </c>
      <c r="I231">
        <f>VLOOKUP($B231,highest_10!$B$5:$BH$270,59,0)</f>
        <v>0</v>
      </c>
      <c r="J231">
        <f>SUM($C231:C231)</f>
        <v>0</v>
      </c>
      <c r="K231">
        <f>SUM($C231:D231)</f>
        <v>0</v>
      </c>
      <c r="L231">
        <f>SUM($C231:E231)</f>
        <v>0</v>
      </c>
      <c r="M231">
        <f>SUM($C231:F231)</f>
        <v>0</v>
      </c>
      <c r="N231">
        <f>SUM($C231:G231)</f>
        <v>0</v>
      </c>
      <c r="O231">
        <f>SUM($C231:H231)</f>
        <v>0</v>
      </c>
      <c r="P231">
        <f>SUM($C231:I231)</f>
        <v>0</v>
      </c>
    </row>
    <row r="232" spans="1:16" x14ac:dyDescent="0.35">
      <c r="A232" t="s">
        <v>713</v>
      </c>
      <c r="B232" t="s">
        <v>379</v>
      </c>
      <c r="C232">
        <f>VLOOKUP($B232,lowest_10!$B$5:$BH$270,59,0)</f>
        <v>0</v>
      </c>
      <c r="D232">
        <f>VLOOKUP($B232,lowest_20!$B$5:$BH$270,59,0)-C232</f>
        <v>0</v>
      </c>
      <c r="E232">
        <f>VLOOKUP($B232,second_20!$B$5:$BH$270,59,0)</f>
        <v>0</v>
      </c>
      <c r="F232">
        <f>VLOOKUP($B232,third_20!$B$5:$BH$270,59,0)</f>
        <v>0</v>
      </c>
      <c r="G232">
        <f>VLOOKUP($B232,fourth_20!$B$5:$BH$270,59,0)</f>
        <v>0</v>
      </c>
      <c r="H232">
        <f>VLOOKUP($B232,highest_20!$B$5:$BH$270,59,0)-I232</f>
        <v>0</v>
      </c>
      <c r="I232">
        <f>VLOOKUP($B232,highest_10!$B$5:$BH$270,59,0)</f>
        <v>0</v>
      </c>
      <c r="J232">
        <f>SUM($C232:C232)</f>
        <v>0</v>
      </c>
      <c r="K232">
        <f>SUM($C232:D232)</f>
        <v>0</v>
      </c>
      <c r="L232">
        <f>SUM($C232:E232)</f>
        <v>0</v>
      </c>
      <c r="M232">
        <f>SUM($C232:F232)</f>
        <v>0</v>
      </c>
      <c r="N232">
        <f>SUM($C232:G232)</f>
        <v>0</v>
      </c>
      <c r="O232">
        <f>SUM($C232:H232)</f>
        <v>0</v>
      </c>
      <c r="P232">
        <f>SUM($C232:I232)</f>
        <v>0</v>
      </c>
    </row>
    <row r="233" spans="1:16" x14ac:dyDescent="0.35">
      <c r="A233" t="s">
        <v>489</v>
      </c>
      <c r="B233" t="s">
        <v>513</v>
      </c>
      <c r="C233">
        <f>VLOOKUP($B233,lowest_10!$B$5:$BH$270,59,0)</f>
        <v>0</v>
      </c>
      <c r="D233">
        <f>VLOOKUP($B233,lowest_20!$B$5:$BH$270,59,0)-C233</f>
        <v>0</v>
      </c>
      <c r="E233">
        <f>VLOOKUP($B233,second_20!$B$5:$BH$270,59,0)</f>
        <v>0</v>
      </c>
      <c r="F233">
        <f>VLOOKUP($B233,third_20!$B$5:$BH$270,59,0)</f>
        <v>0</v>
      </c>
      <c r="G233">
        <f>VLOOKUP($B233,fourth_20!$B$5:$BH$270,59,0)</f>
        <v>0</v>
      </c>
      <c r="H233">
        <f>VLOOKUP($B233,highest_20!$B$5:$BH$270,59,0)-I233</f>
        <v>0</v>
      </c>
      <c r="I233">
        <f>VLOOKUP($B233,highest_10!$B$5:$BH$270,59,0)</f>
        <v>0</v>
      </c>
      <c r="J233">
        <f>SUM($C233:C233)</f>
        <v>0</v>
      </c>
      <c r="K233">
        <f>SUM($C233:D233)</f>
        <v>0</v>
      </c>
      <c r="L233">
        <f>SUM($C233:E233)</f>
        <v>0</v>
      </c>
      <c r="M233">
        <f>SUM($C233:F233)</f>
        <v>0</v>
      </c>
      <c r="N233">
        <f>SUM($C233:G233)</f>
        <v>0</v>
      </c>
      <c r="O233">
        <f>SUM($C233:H233)</f>
        <v>0</v>
      </c>
      <c r="P233">
        <f>SUM($C233:I233)</f>
        <v>0</v>
      </c>
    </row>
    <row r="234" spans="1:16" x14ac:dyDescent="0.35">
      <c r="A234" t="s">
        <v>260</v>
      </c>
      <c r="B234" t="s">
        <v>388</v>
      </c>
      <c r="C234">
        <f>VLOOKUP($B234,lowest_10!$B$5:$BH$270,59,0)</f>
        <v>1.9</v>
      </c>
      <c r="D234">
        <f>VLOOKUP($B234,lowest_20!$B$5:$BH$270,59,0)-C234</f>
        <v>3.1999999999999997</v>
      </c>
      <c r="E234">
        <f>VLOOKUP($B234,second_20!$B$5:$BH$270,59,0)</f>
        <v>9.5</v>
      </c>
      <c r="F234">
        <f>VLOOKUP($B234,third_20!$B$5:$BH$270,59,0)</f>
        <v>14.4</v>
      </c>
      <c r="G234">
        <f>VLOOKUP($B234,fourth_20!$B$5:$BH$270,59,0)</f>
        <v>22.4</v>
      </c>
      <c r="H234">
        <f>VLOOKUP($B234,highest_20!$B$5:$BH$270,59,0)-I234</f>
        <v>17.100000000000001</v>
      </c>
      <c r="I234">
        <f>VLOOKUP($B234,highest_10!$B$5:$BH$270,59,0)</f>
        <v>31.5</v>
      </c>
      <c r="J234">
        <f>SUM($C234:C234)</f>
        <v>1.9</v>
      </c>
      <c r="K234">
        <f>SUM($C234:D234)</f>
        <v>5.0999999999999996</v>
      </c>
      <c r="L234">
        <f>SUM($C234:E234)</f>
        <v>14.6</v>
      </c>
      <c r="M234">
        <f>SUM($C234:F234)</f>
        <v>29</v>
      </c>
      <c r="N234">
        <f>SUM($C234:G234)</f>
        <v>51.4</v>
      </c>
      <c r="O234">
        <f>SUM($C234:H234)</f>
        <v>68.5</v>
      </c>
      <c r="P234">
        <f>SUM($C234:I234)</f>
        <v>100</v>
      </c>
    </row>
    <row r="235" spans="1:16" x14ac:dyDescent="0.35">
      <c r="A235" t="s">
        <v>557</v>
      </c>
      <c r="B235" t="s">
        <v>450</v>
      </c>
      <c r="C235">
        <f>VLOOKUP($B235,lowest_10!$B$5:$BH$270,59,0)</f>
        <v>3.2</v>
      </c>
      <c r="D235">
        <f>VLOOKUP($B235,lowest_20!$B$5:$BH$270,59,0)-C235</f>
        <v>4.3</v>
      </c>
      <c r="E235">
        <f>VLOOKUP($B235,second_20!$B$5:$BH$270,59,0)</f>
        <v>11.3</v>
      </c>
      <c r="F235">
        <f>VLOOKUP($B235,third_20!$B$5:$BH$270,59,0)</f>
        <v>15.5</v>
      </c>
      <c r="G235">
        <f>VLOOKUP($B235,fourth_20!$B$5:$BH$270,59,0)</f>
        <v>21.9</v>
      </c>
      <c r="H235">
        <f>VLOOKUP($B235,highest_20!$B$5:$BH$270,59,0)-I235</f>
        <v>15.300000000000004</v>
      </c>
      <c r="I235">
        <f>VLOOKUP($B235,highest_10!$B$5:$BH$270,59,0)</f>
        <v>28.4</v>
      </c>
      <c r="J235">
        <f>SUM($C235:C235)</f>
        <v>3.2</v>
      </c>
      <c r="K235">
        <f>SUM($C235:D235)</f>
        <v>7.5</v>
      </c>
      <c r="L235">
        <f>SUM($C235:E235)</f>
        <v>18.8</v>
      </c>
      <c r="M235">
        <f>SUM($C235:F235)</f>
        <v>34.299999999999997</v>
      </c>
      <c r="N235">
        <f>SUM($C235:G235)</f>
        <v>56.199999999999996</v>
      </c>
      <c r="O235">
        <f>SUM($C235:H235)</f>
        <v>71.5</v>
      </c>
      <c r="P235">
        <f>SUM($C235:I235)</f>
        <v>99.9</v>
      </c>
    </row>
    <row r="236" spans="1:16" x14ac:dyDescent="0.35">
      <c r="A236" t="s">
        <v>47</v>
      </c>
      <c r="B236" t="s">
        <v>49</v>
      </c>
      <c r="C236">
        <f>VLOOKUP($B236,lowest_10!$B$5:$BH$270,59,0)</f>
        <v>3</v>
      </c>
      <c r="D236">
        <f>VLOOKUP($B236,lowest_20!$B$5:$BH$270,59,0)-C236</f>
        <v>4.4000000000000004</v>
      </c>
      <c r="E236">
        <f>VLOOKUP($B236,second_20!$B$5:$BH$270,59,0)</f>
        <v>12</v>
      </c>
      <c r="F236">
        <f>VLOOKUP($B236,third_20!$B$5:$BH$270,59,0)</f>
        <v>16.399999999999999</v>
      </c>
      <c r="G236">
        <f>VLOOKUP($B236,fourth_20!$B$5:$BH$270,59,0)</f>
        <v>22.4</v>
      </c>
      <c r="H236">
        <f>VLOOKUP($B236,highest_20!$B$5:$BH$270,59,0)-I236</f>
        <v>15.300000000000004</v>
      </c>
      <c r="I236">
        <f>VLOOKUP($B236,highest_10!$B$5:$BH$270,59,0)</f>
        <v>26.4</v>
      </c>
      <c r="J236">
        <f>SUM($C236:C236)</f>
        <v>3</v>
      </c>
      <c r="K236">
        <f>SUM($C236:D236)</f>
        <v>7.4</v>
      </c>
      <c r="L236">
        <f>SUM($C236:E236)</f>
        <v>19.399999999999999</v>
      </c>
      <c r="M236">
        <f>SUM($C236:F236)</f>
        <v>35.799999999999997</v>
      </c>
      <c r="N236">
        <f>SUM($C236:G236)</f>
        <v>58.199999999999996</v>
      </c>
      <c r="O236">
        <f>SUM($C236:H236)</f>
        <v>73.5</v>
      </c>
      <c r="P236">
        <f>SUM($C236:I236)</f>
        <v>99.9</v>
      </c>
    </row>
    <row r="237" spans="1:16" x14ac:dyDescent="0.35">
      <c r="A237" t="s">
        <v>524</v>
      </c>
      <c r="B237" t="s">
        <v>267</v>
      </c>
      <c r="C237">
        <f>VLOOKUP($B237,lowest_10!$B$5:$BH$270,59,0)</f>
        <v>0</v>
      </c>
      <c r="D237">
        <f>VLOOKUP($B237,lowest_20!$B$5:$BH$270,59,0)-C237</f>
        <v>0</v>
      </c>
      <c r="E237">
        <f>VLOOKUP($B237,second_20!$B$5:$BH$270,59,0)</f>
        <v>0</v>
      </c>
      <c r="F237">
        <f>VLOOKUP($B237,third_20!$B$5:$BH$270,59,0)</f>
        <v>0</v>
      </c>
      <c r="G237">
        <f>VLOOKUP($B237,fourth_20!$B$5:$BH$270,59,0)</f>
        <v>0</v>
      </c>
      <c r="H237">
        <f>VLOOKUP($B237,highest_20!$B$5:$BH$270,59,0)-I237</f>
        <v>0</v>
      </c>
      <c r="I237">
        <f>VLOOKUP($B237,highest_10!$B$5:$BH$270,59,0)</f>
        <v>0</v>
      </c>
      <c r="J237">
        <f>SUM($C237:C237)</f>
        <v>0</v>
      </c>
      <c r="K237">
        <f>SUM($C237:D237)</f>
        <v>0</v>
      </c>
      <c r="L237">
        <f>SUM($C237:E237)</f>
        <v>0</v>
      </c>
      <c r="M237">
        <f>SUM($C237:F237)</f>
        <v>0</v>
      </c>
      <c r="N237">
        <f>SUM($C237:G237)</f>
        <v>0</v>
      </c>
      <c r="O237">
        <f>SUM($C237:H237)</f>
        <v>0</v>
      </c>
      <c r="P237">
        <f>SUM($C237:I237)</f>
        <v>0</v>
      </c>
    </row>
    <row r="238" spans="1:16" x14ac:dyDescent="0.35">
      <c r="A238" t="s">
        <v>147</v>
      </c>
      <c r="B238" t="s">
        <v>611</v>
      </c>
      <c r="C238">
        <f>VLOOKUP($B238,lowest_10!$B$5:$BH$270,59,0)</f>
        <v>0</v>
      </c>
      <c r="D238">
        <f>VLOOKUP($B238,lowest_20!$B$5:$BH$270,59,0)-C238</f>
        <v>0</v>
      </c>
      <c r="E238">
        <f>VLOOKUP($B238,second_20!$B$5:$BH$270,59,0)</f>
        <v>0</v>
      </c>
      <c r="F238">
        <f>VLOOKUP($B238,third_20!$B$5:$BH$270,59,0)</f>
        <v>0</v>
      </c>
      <c r="G238">
        <f>VLOOKUP($B238,fourth_20!$B$5:$BH$270,59,0)</f>
        <v>0</v>
      </c>
      <c r="H238">
        <f>VLOOKUP($B238,highest_20!$B$5:$BH$270,59,0)-I238</f>
        <v>0</v>
      </c>
      <c r="I238">
        <f>VLOOKUP($B238,highest_10!$B$5:$BH$270,59,0)</f>
        <v>0</v>
      </c>
      <c r="J238">
        <f>SUM($C238:C238)</f>
        <v>0</v>
      </c>
      <c r="K238">
        <f>SUM($C238:D238)</f>
        <v>0</v>
      </c>
      <c r="L238">
        <f>SUM($C238:E238)</f>
        <v>0</v>
      </c>
      <c r="M238">
        <f>SUM($C238:F238)</f>
        <v>0</v>
      </c>
      <c r="N238">
        <f>SUM($C238:G238)</f>
        <v>0</v>
      </c>
      <c r="O238">
        <f>SUM($C238:H238)</f>
        <v>0</v>
      </c>
      <c r="P238">
        <f>SUM($C238:I238)</f>
        <v>0</v>
      </c>
    </row>
    <row r="239" spans="1:16" x14ac:dyDescent="0.35">
      <c r="A239" t="s">
        <v>673</v>
      </c>
      <c r="B239" t="s">
        <v>289</v>
      </c>
      <c r="C239">
        <f>VLOOKUP($B239,lowest_10!$B$5:$BH$270,59,0)</f>
        <v>0</v>
      </c>
      <c r="D239">
        <f>VLOOKUP($B239,lowest_20!$B$5:$BH$270,59,0)-C239</f>
        <v>0</v>
      </c>
      <c r="E239">
        <f>VLOOKUP($B239,second_20!$B$5:$BH$270,59,0)</f>
        <v>0</v>
      </c>
      <c r="F239">
        <f>VLOOKUP($B239,third_20!$B$5:$BH$270,59,0)</f>
        <v>0</v>
      </c>
      <c r="G239">
        <f>VLOOKUP($B239,fourth_20!$B$5:$BH$270,59,0)</f>
        <v>0</v>
      </c>
      <c r="H239">
        <f>VLOOKUP($B239,highest_20!$B$5:$BH$270,59,0)-I239</f>
        <v>0</v>
      </c>
      <c r="I239">
        <f>VLOOKUP($B239,highest_10!$B$5:$BH$270,59,0)</f>
        <v>0</v>
      </c>
      <c r="J239">
        <f>SUM($C239:C239)</f>
        <v>0</v>
      </c>
      <c r="K239">
        <f>SUM($C239:D239)</f>
        <v>0</v>
      </c>
      <c r="L239">
        <f>SUM($C239:E239)</f>
        <v>0</v>
      </c>
      <c r="M239">
        <f>SUM($C239:F239)</f>
        <v>0</v>
      </c>
      <c r="N239">
        <f>SUM($C239:G239)</f>
        <v>0</v>
      </c>
      <c r="O239">
        <f>SUM($C239:H239)</f>
        <v>0</v>
      </c>
      <c r="P239">
        <f>SUM($C239:I239)</f>
        <v>0</v>
      </c>
    </row>
    <row r="240" spans="1:16" x14ac:dyDescent="0.35">
      <c r="A240" t="s">
        <v>718</v>
      </c>
      <c r="B240" t="s">
        <v>469</v>
      </c>
      <c r="C240">
        <f>VLOOKUP($B240,lowest_10!$B$5:$BH$270,59,0)</f>
        <v>0</v>
      </c>
      <c r="D240">
        <f>VLOOKUP($B240,lowest_20!$B$5:$BH$270,59,0)-C240</f>
        <v>0</v>
      </c>
      <c r="E240">
        <f>VLOOKUP($B240,second_20!$B$5:$BH$270,59,0)</f>
        <v>0</v>
      </c>
      <c r="F240">
        <f>VLOOKUP($B240,third_20!$B$5:$BH$270,59,0)</f>
        <v>0</v>
      </c>
      <c r="G240">
        <f>VLOOKUP($B240,fourth_20!$B$5:$BH$270,59,0)</f>
        <v>0</v>
      </c>
      <c r="H240">
        <f>VLOOKUP($B240,highest_20!$B$5:$BH$270,59,0)-I240</f>
        <v>0</v>
      </c>
      <c r="I240">
        <f>VLOOKUP($B240,highest_10!$B$5:$BH$270,59,0)</f>
        <v>0</v>
      </c>
      <c r="J240">
        <f>SUM($C240:C240)</f>
        <v>0</v>
      </c>
      <c r="K240">
        <f>SUM($C240:D240)</f>
        <v>0</v>
      </c>
      <c r="L240">
        <f>SUM($C240:E240)</f>
        <v>0</v>
      </c>
      <c r="M240">
        <f>SUM($C240:F240)</f>
        <v>0</v>
      </c>
      <c r="N240">
        <f>SUM($C240:G240)</f>
        <v>0</v>
      </c>
      <c r="O240">
        <f>SUM($C240:H240)</f>
        <v>0</v>
      </c>
      <c r="P240">
        <f>SUM($C240:I240)</f>
        <v>0</v>
      </c>
    </row>
    <row r="241" spans="1:16" x14ac:dyDescent="0.35">
      <c r="A241" t="s">
        <v>646</v>
      </c>
      <c r="B241" t="s">
        <v>624</v>
      </c>
      <c r="C241">
        <f>VLOOKUP($B241,lowest_10!$B$5:$BH$270,59,0)</f>
        <v>3.2</v>
      </c>
      <c r="D241">
        <f>VLOOKUP($B241,lowest_20!$B$5:$BH$270,59,0)-C241</f>
        <v>4.5</v>
      </c>
      <c r="E241">
        <f>VLOOKUP($B241,second_20!$B$5:$BH$270,59,0)</f>
        <v>12.3</v>
      </c>
      <c r="F241">
        <f>VLOOKUP($B241,third_20!$B$5:$BH$270,59,0)</f>
        <v>16.600000000000001</v>
      </c>
      <c r="G241">
        <f>VLOOKUP($B241,fourth_20!$B$5:$BH$270,59,0)</f>
        <v>21.7</v>
      </c>
      <c r="H241">
        <f>VLOOKUP($B241,highest_20!$B$5:$BH$270,59,0)-I241</f>
        <v>14.900000000000002</v>
      </c>
      <c r="I241">
        <f>VLOOKUP($B241,highest_10!$B$5:$BH$270,59,0)</f>
        <v>26.8</v>
      </c>
      <c r="J241">
        <f>SUM($C241:C241)</f>
        <v>3.2</v>
      </c>
      <c r="K241">
        <f>SUM($C241:D241)</f>
        <v>7.7</v>
      </c>
      <c r="L241">
        <f>SUM($C241:E241)</f>
        <v>20</v>
      </c>
      <c r="M241">
        <f>SUM($C241:F241)</f>
        <v>36.6</v>
      </c>
      <c r="N241">
        <f>SUM($C241:G241)</f>
        <v>58.3</v>
      </c>
      <c r="O241">
        <f>SUM($C241:H241)</f>
        <v>73.2</v>
      </c>
      <c r="P241">
        <f>SUM($C241:I241)</f>
        <v>100</v>
      </c>
    </row>
    <row r="242" spans="1:16" x14ac:dyDescent="0.35">
      <c r="A242" t="s">
        <v>8</v>
      </c>
      <c r="B242" t="s">
        <v>91</v>
      </c>
      <c r="C242">
        <f>VLOOKUP($B242,lowest_10!$B$5:$BH$270,59,0)</f>
        <v>0</v>
      </c>
      <c r="D242">
        <f>VLOOKUP($B242,lowest_20!$B$5:$BH$270,59,0)-C242</f>
        <v>0</v>
      </c>
      <c r="E242">
        <f>VLOOKUP($B242,second_20!$B$5:$BH$270,59,0)</f>
        <v>0</v>
      </c>
      <c r="F242">
        <f>VLOOKUP($B242,third_20!$B$5:$BH$270,59,0)</f>
        <v>0</v>
      </c>
      <c r="G242">
        <f>VLOOKUP($B242,fourth_20!$B$5:$BH$270,59,0)</f>
        <v>0</v>
      </c>
      <c r="H242">
        <f>VLOOKUP($B242,highest_20!$B$5:$BH$270,59,0)-I242</f>
        <v>0</v>
      </c>
      <c r="I242">
        <f>VLOOKUP($B242,highest_10!$B$5:$BH$270,59,0)</f>
        <v>0</v>
      </c>
      <c r="J242">
        <f>SUM($C242:C242)</f>
        <v>0</v>
      </c>
      <c r="K242">
        <f>SUM($C242:D242)</f>
        <v>0</v>
      </c>
      <c r="L242">
        <f>SUM($C242:E242)</f>
        <v>0</v>
      </c>
      <c r="M242">
        <f>SUM($C242:F242)</f>
        <v>0</v>
      </c>
      <c r="N242">
        <f>SUM($C242:G242)</f>
        <v>0</v>
      </c>
      <c r="O242">
        <f>SUM($C242:H242)</f>
        <v>0</v>
      </c>
      <c r="P242">
        <f>SUM($C242:I242)</f>
        <v>0</v>
      </c>
    </row>
    <row r="243" spans="1:16" x14ac:dyDescent="0.35">
      <c r="A243" t="s">
        <v>240</v>
      </c>
      <c r="B243" t="s">
        <v>505</v>
      </c>
      <c r="C243">
        <f>VLOOKUP($B243,lowest_10!$B$5:$BH$270,59,0)</f>
        <v>0</v>
      </c>
      <c r="D243">
        <f>VLOOKUP($B243,lowest_20!$B$5:$BH$270,59,0)-C243</f>
        <v>0</v>
      </c>
      <c r="E243">
        <f>VLOOKUP($B243,second_20!$B$5:$BH$270,59,0)</f>
        <v>0</v>
      </c>
      <c r="F243">
        <f>VLOOKUP($B243,third_20!$B$5:$BH$270,59,0)</f>
        <v>0</v>
      </c>
      <c r="G243">
        <f>VLOOKUP($B243,fourth_20!$B$5:$BH$270,59,0)</f>
        <v>0</v>
      </c>
      <c r="H243">
        <f>VLOOKUP($B243,highest_20!$B$5:$BH$270,59,0)-I243</f>
        <v>0</v>
      </c>
      <c r="I243">
        <f>VLOOKUP($B243,highest_10!$B$5:$BH$270,59,0)</f>
        <v>0</v>
      </c>
      <c r="J243">
        <f>SUM($C243:C243)</f>
        <v>0</v>
      </c>
      <c r="K243">
        <f>SUM($C243:D243)</f>
        <v>0</v>
      </c>
      <c r="L243">
        <f>SUM($C243:E243)</f>
        <v>0</v>
      </c>
      <c r="M243">
        <f>SUM($C243:F243)</f>
        <v>0</v>
      </c>
      <c r="N243">
        <f>SUM($C243:G243)</f>
        <v>0</v>
      </c>
      <c r="O243">
        <f>SUM($C243:H243)</f>
        <v>0</v>
      </c>
      <c r="P243">
        <f>SUM($C243:I243)</f>
        <v>0</v>
      </c>
    </row>
    <row r="244" spans="1:16" x14ac:dyDescent="0.35">
      <c r="A244" t="s">
        <v>665</v>
      </c>
      <c r="B244" t="s">
        <v>176</v>
      </c>
      <c r="C244">
        <f>VLOOKUP($B244,lowest_10!$B$5:$BH$270,59,0)</f>
        <v>0</v>
      </c>
      <c r="D244">
        <f>VLOOKUP($B244,lowest_20!$B$5:$BH$270,59,0)-C244</f>
        <v>0</v>
      </c>
      <c r="E244">
        <f>VLOOKUP($B244,second_20!$B$5:$BH$270,59,0)</f>
        <v>0</v>
      </c>
      <c r="F244">
        <f>VLOOKUP($B244,third_20!$B$5:$BH$270,59,0)</f>
        <v>0</v>
      </c>
      <c r="G244">
        <f>VLOOKUP($B244,fourth_20!$B$5:$BH$270,59,0)</f>
        <v>0</v>
      </c>
      <c r="H244">
        <f>VLOOKUP($B244,highest_20!$B$5:$BH$270,59,0)-I244</f>
        <v>0</v>
      </c>
      <c r="I244">
        <f>VLOOKUP($B244,highest_10!$B$5:$BH$270,59,0)</f>
        <v>0</v>
      </c>
      <c r="J244">
        <f>SUM($C244:C244)</f>
        <v>0</v>
      </c>
      <c r="K244">
        <f>SUM($C244:D244)</f>
        <v>0</v>
      </c>
      <c r="L244">
        <f>SUM($C244:E244)</f>
        <v>0</v>
      </c>
      <c r="M244">
        <f>SUM($C244:F244)</f>
        <v>0</v>
      </c>
      <c r="N244">
        <f>SUM($C244:G244)</f>
        <v>0</v>
      </c>
      <c r="O244">
        <f>SUM($C244:H244)</f>
        <v>0</v>
      </c>
      <c r="P244">
        <f>SUM($C244:I244)</f>
        <v>0</v>
      </c>
    </row>
    <row r="245" spans="1:16" x14ac:dyDescent="0.35">
      <c r="A245" t="s">
        <v>214</v>
      </c>
      <c r="B245" t="s">
        <v>21</v>
      </c>
      <c r="C245">
        <f>VLOOKUP($B245,lowest_10!$B$5:$BH$270,59,0)</f>
        <v>3.2</v>
      </c>
      <c r="D245">
        <f>VLOOKUP($B245,lowest_20!$B$5:$BH$270,59,0)-C245</f>
        <v>4.5999999999999996</v>
      </c>
      <c r="E245">
        <f>VLOOKUP($B245,second_20!$B$5:$BH$270,59,0)</f>
        <v>12.3</v>
      </c>
      <c r="F245">
        <f>VLOOKUP($B245,third_20!$B$5:$BH$270,59,0)</f>
        <v>16.5</v>
      </c>
      <c r="G245">
        <f>VLOOKUP($B245,fourth_20!$B$5:$BH$270,59,0)</f>
        <v>22.5</v>
      </c>
      <c r="H245">
        <f>VLOOKUP($B245,highest_20!$B$5:$BH$270,59,0)-I245</f>
        <v>15.299999999999997</v>
      </c>
      <c r="I245">
        <f>VLOOKUP($B245,highest_10!$B$5:$BH$270,59,0)</f>
        <v>25.6</v>
      </c>
      <c r="J245">
        <f>SUM($C245:C245)</f>
        <v>3.2</v>
      </c>
      <c r="K245">
        <f>SUM($C245:D245)</f>
        <v>7.8</v>
      </c>
      <c r="L245">
        <f>SUM($C245:E245)</f>
        <v>20.100000000000001</v>
      </c>
      <c r="M245">
        <f>SUM($C245:F245)</f>
        <v>36.6</v>
      </c>
      <c r="N245">
        <f>SUM($C245:G245)</f>
        <v>59.1</v>
      </c>
      <c r="O245">
        <f>SUM($C245:H245)</f>
        <v>74.400000000000006</v>
      </c>
      <c r="P245">
        <f>SUM($C245:I245)</f>
        <v>100</v>
      </c>
    </row>
    <row r="246" spans="1:16" x14ac:dyDescent="0.35">
      <c r="A246" t="s">
        <v>121</v>
      </c>
      <c r="B246" t="s">
        <v>432</v>
      </c>
      <c r="C246">
        <f>VLOOKUP($B246,lowest_10!$B$5:$BH$270,59,0)</f>
        <v>2.1</v>
      </c>
      <c r="D246">
        <f>VLOOKUP($B246,lowest_20!$B$5:$BH$270,59,0)-C246</f>
        <v>3.4999999999999996</v>
      </c>
      <c r="E246">
        <f>VLOOKUP($B246,second_20!$B$5:$BH$270,59,0)</f>
        <v>9.9</v>
      </c>
      <c r="F246">
        <f>VLOOKUP($B246,third_20!$B$5:$BH$270,59,0)</f>
        <v>14.2</v>
      </c>
      <c r="G246">
        <f>VLOOKUP($B246,fourth_20!$B$5:$BH$270,59,0)</f>
        <v>21.1</v>
      </c>
      <c r="H246">
        <f>VLOOKUP($B246,highest_20!$B$5:$BH$270,59,0)-I246</f>
        <v>15.700000000000003</v>
      </c>
      <c r="I246">
        <f>VLOOKUP($B246,highest_10!$B$5:$BH$270,59,0)</f>
        <v>33.5</v>
      </c>
      <c r="J246">
        <f>SUM($C246:C246)</f>
        <v>2.1</v>
      </c>
      <c r="K246">
        <f>SUM($C246:D246)</f>
        <v>5.6</v>
      </c>
      <c r="L246">
        <f>SUM($C246:E246)</f>
        <v>15.5</v>
      </c>
      <c r="M246">
        <f>SUM($C246:F246)</f>
        <v>29.7</v>
      </c>
      <c r="N246">
        <f>SUM($C246:G246)</f>
        <v>50.8</v>
      </c>
      <c r="O246">
        <f>SUM($C246:H246)</f>
        <v>66.5</v>
      </c>
      <c r="P246">
        <f>SUM($C246:I246)</f>
        <v>100</v>
      </c>
    </row>
    <row r="247" spans="1:16" x14ac:dyDescent="0.35">
      <c r="A247" t="s">
        <v>443</v>
      </c>
      <c r="B247" t="s">
        <v>98</v>
      </c>
      <c r="C247">
        <f>VLOOKUP($B247,lowest_10!$B$5:$BH$270,59,0)</f>
        <v>0</v>
      </c>
      <c r="D247">
        <f>VLOOKUP($B247,lowest_20!$B$5:$BH$270,59,0)-C247</f>
        <v>0</v>
      </c>
      <c r="E247">
        <f>VLOOKUP($B247,second_20!$B$5:$BH$270,59,0)</f>
        <v>0</v>
      </c>
      <c r="F247">
        <f>VLOOKUP($B247,third_20!$B$5:$BH$270,59,0)</f>
        <v>0</v>
      </c>
      <c r="G247">
        <f>VLOOKUP($B247,fourth_20!$B$5:$BH$270,59,0)</f>
        <v>0</v>
      </c>
      <c r="H247">
        <f>VLOOKUP($B247,highest_20!$B$5:$BH$270,59,0)-I247</f>
        <v>0</v>
      </c>
      <c r="I247">
        <f>VLOOKUP($B247,highest_10!$B$5:$BH$270,59,0)</f>
        <v>0</v>
      </c>
      <c r="J247">
        <f>SUM($C247:C247)</f>
        <v>0</v>
      </c>
      <c r="K247">
        <f>SUM($C247:D247)</f>
        <v>0</v>
      </c>
      <c r="L247">
        <f>SUM($C247:E247)</f>
        <v>0</v>
      </c>
      <c r="M247">
        <f>SUM($C247:F247)</f>
        <v>0</v>
      </c>
      <c r="N247">
        <f>SUM($C247:G247)</f>
        <v>0</v>
      </c>
      <c r="O247">
        <f>SUM($C247:H247)</f>
        <v>0</v>
      </c>
      <c r="P247">
        <f>SUM($C247:I247)</f>
        <v>0</v>
      </c>
    </row>
    <row r="248" spans="1:16" x14ac:dyDescent="0.35">
      <c r="A248" t="s">
        <v>569</v>
      </c>
      <c r="B248" t="s">
        <v>467</v>
      </c>
      <c r="C248">
        <f>VLOOKUP($B248,lowest_10!$B$5:$BH$270,59,0)</f>
        <v>0</v>
      </c>
      <c r="D248">
        <f>VLOOKUP($B248,lowest_20!$B$5:$BH$270,59,0)-C248</f>
        <v>0</v>
      </c>
      <c r="E248">
        <f>VLOOKUP($B248,second_20!$B$5:$BH$270,59,0)</f>
        <v>0</v>
      </c>
      <c r="F248">
        <f>VLOOKUP($B248,third_20!$B$5:$BH$270,59,0)</f>
        <v>0</v>
      </c>
      <c r="G248">
        <f>VLOOKUP($B248,fourth_20!$B$5:$BH$270,59,0)</f>
        <v>0</v>
      </c>
      <c r="H248">
        <f>VLOOKUP($B248,highest_20!$B$5:$BH$270,59,0)-I248</f>
        <v>0</v>
      </c>
      <c r="I248">
        <f>VLOOKUP($B248,highest_10!$B$5:$BH$270,59,0)</f>
        <v>0</v>
      </c>
      <c r="J248">
        <f>SUM($C248:C248)</f>
        <v>0</v>
      </c>
      <c r="K248">
        <f>SUM($C248:D248)</f>
        <v>0</v>
      </c>
      <c r="L248">
        <f>SUM($C248:E248)</f>
        <v>0</v>
      </c>
      <c r="M248">
        <f>SUM($C248:F248)</f>
        <v>0</v>
      </c>
      <c r="N248">
        <f>SUM($C248:G248)</f>
        <v>0</v>
      </c>
      <c r="O248">
        <f>SUM($C248:H248)</f>
        <v>0</v>
      </c>
      <c r="P248">
        <f>SUM($C248:I248)</f>
        <v>0</v>
      </c>
    </row>
    <row r="249" spans="1:16" x14ac:dyDescent="0.35">
      <c r="A249" t="s">
        <v>694</v>
      </c>
      <c r="B249" t="s">
        <v>161</v>
      </c>
      <c r="C249">
        <f>VLOOKUP($B249,lowest_10!$B$5:$BH$270,59,0)</f>
        <v>0</v>
      </c>
      <c r="D249">
        <f>VLOOKUP($B249,lowest_20!$B$5:$BH$270,59,0)-C249</f>
        <v>0</v>
      </c>
      <c r="E249">
        <f>VLOOKUP($B249,second_20!$B$5:$BH$270,59,0)</f>
        <v>0</v>
      </c>
      <c r="F249">
        <f>VLOOKUP($B249,third_20!$B$5:$BH$270,59,0)</f>
        <v>0</v>
      </c>
      <c r="G249">
        <f>VLOOKUP($B249,fourth_20!$B$5:$BH$270,59,0)</f>
        <v>0</v>
      </c>
      <c r="H249">
        <f>VLOOKUP($B249,highest_20!$B$5:$BH$270,59,0)-I249</f>
        <v>0</v>
      </c>
      <c r="I249">
        <f>VLOOKUP($B249,highest_10!$B$5:$BH$270,59,0)</f>
        <v>0</v>
      </c>
      <c r="J249">
        <f>SUM($C249:C249)</f>
        <v>0</v>
      </c>
      <c r="K249">
        <f>SUM($C249:D249)</f>
        <v>0</v>
      </c>
      <c r="L249">
        <f>SUM($C249:E249)</f>
        <v>0</v>
      </c>
      <c r="M249">
        <f>SUM($C249:F249)</f>
        <v>0</v>
      </c>
      <c r="N249">
        <f>SUM($C249:G249)</f>
        <v>0</v>
      </c>
      <c r="O249">
        <f>SUM($C249:H249)</f>
        <v>0</v>
      </c>
      <c r="P249">
        <f>SUM($C249:I249)</f>
        <v>0</v>
      </c>
    </row>
    <row r="250" spans="1:16" x14ac:dyDescent="0.35">
      <c r="A250" t="s">
        <v>441</v>
      </c>
      <c r="B250" t="s">
        <v>510</v>
      </c>
      <c r="C250">
        <f>VLOOKUP($B250,lowest_10!$B$5:$BH$270,59,0)</f>
        <v>4.2</v>
      </c>
      <c r="D250">
        <f>VLOOKUP($B250,lowest_20!$B$5:$BH$270,59,0)-C250</f>
        <v>5.8</v>
      </c>
      <c r="E250">
        <f>VLOOKUP($B250,second_20!$B$5:$BH$270,59,0)</f>
        <v>14.3</v>
      </c>
      <c r="F250">
        <f>VLOOKUP($B250,third_20!$B$5:$BH$270,59,0)</f>
        <v>17.8</v>
      </c>
      <c r="G250">
        <f>VLOOKUP($B250,fourth_20!$B$5:$BH$270,59,0)</f>
        <v>22.3</v>
      </c>
      <c r="H250">
        <f>VLOOKUP($B250,highest_20!$B$5:$BH$270,59,0)-I250</f>
        <v>14</v>
      </c>
      <c r="I250">
        <f>VLOOKUP($B250,highest_10!$B$5:$BH$270,59,0)</f>
        <v>21.6</v>
      </c>
      <c r="J250">
        <f>SUM($C250:C250)</f>
        <v>4.2</v>
      </c>
      <c r="K250">
        <f>SUM($C250:D250)</f>
        <v>10</v>
      </c>
      <c r="L250">
        <f>SUM($C250:E250)</f>
        <v>24.3</v>
      </c>
      <c r="M250">
        <f>SUM($C250:F250)</f>
        <v>42.1</v>
      </c>
      <c r="N250">
        <f>SUM($C250:G250)</f>
        <v>64.400000000000006</v>
      </c>
      <c r="O250">
        <f>SUM($C250:H250)</f>
        <v>78.400000000000006</v>
      </c>
      <c r="P250">
        <f>SUM($C250:I250)</f>
        <v>100</v>
      </c>
    </row>
    <row r="251" spans="1:16" x14ac:dyDescent="0.35">
      <c r="A251" t="s">
        <v>166</v>
      </c>
      <c r="B251" t="s">
        <v>594</v>
      </c>
      <c r="C251">
        <f>VLOOKUP($B251,lowest_10!$B$5:$BH$270,59,0)</f>
        <v>0</v>
      </c>
      <c r="D251">
        <f>VLOOKUP($B251,lowest_20!$B$5:$BH$270,59,0)-C251</f>
        <v>0</v>
      </c>
      <c r="E251">
        <f>VLOOKUP($B251,second_20!$B$5:$BH$270,59,0)</f>
        <v>0</v>
      </c>
      <c r="F251">
        <f>VLOOKUP($B251,third_20!$B$5:$BH$270,59,0)</f>
        <v>0</v>
      </c>
      <c r="G251">
        <f>VLOOKUP($B251,fourth_20!$B$5:$BH$270,59,0)</f>
        <v>0</v>
      </c>
      <c r="H251">
        <f>VLOOKUP($B251,highest_20!$B$5:$BH$270,59,0)-I251</f>
        <v>0</v>
      </c>
      <c r="I251">
        <f>VLOOKUP($B251,highest_10!$B$5:$BH$270,59,0)</f>
        <v>0</v>
      </c>
      <c r="J251">
        <f>SUM($C251:C251)</f>
        <v>0</v>
      </c>
      <c r="K251">
        <f>SUM($C251:D251)</f>
        <v>0</v>
      </c>
      <c r="L251">
        <f>SUM($C251:E251)</f>
        <v>0</v>
      </c>
      <c r="M251">
        <f>SUM($C251:F251)</f>
        <v>0</v>
      </c>
      <c r="N251">
        <f>SUM($C251:G251)</f>
        <v>0</v>
      </c>
      <c r="O251">
        <f>SUM($C251:H251)</f>
        <v>0</v>
      </c>
      <c r="P251">
        <f>SUM($C251:I251)</f>
        <v>0</v>
      </c>
    </row>
    <row r="252" spans="1:16" x14ac:dyDescent="0.35">
      <c r="A252" t="s">
        <v>532</v>
      </c>
      <c r="B252" t="s">
        <v>730</v>
      </c>
      <c r="C252">
        <f>VLOOKUP($B252,lowest_10!$B$5:$BH$270,59,0)</f>
        <v>2.1</v>
      </c>
      <c r="D252">
        <f>VLOOKUP($B252,lowest_20!$B$5:$BH$270,59,0)-C252</f>
        <v>3.4999999999999996</v>
      </c>
      <c r="E252">
        <f>VLOOKUP($B252,second_20!$B$5:$BH$270,59,0)</f>
        <v>10.4</v>
      </c>
      <c r="F252">
        <f>VLOOKUP($B252,third_20!$B$5:$BH$270,59,0)</f>
        <v>15.4</v>
      </c>
      <c r="G252">
        <f>VLOOKUP($B252,fourth_20!$B$5:$BH$270,59,0)</f>
        <v>22.6</v>
      </c>
      <c r="H252">
        <f>VLOOKUP($B252,highest_20!$B$5:$BH$270,59,0)-I252</f>
        <v>16.3</v>
      </c>
      <c r="I252">
        <f>VLOOKUP($B252,highest_10!$B$5:$BH$270,59,0)</f>
        <v>29.8</v>
      </c>
      <c r="J252">
        <f>SUM($C252:C252)</f>
        <v>2.1</v>
      </c>
      <c r="K252">
        <f>SUM($C252:D252)</f>
        <v>5.6</v>
      </c>
      <c r="L252">
        <f>SUM($C252:E252)</f>
        <v>16</v>
      </c>
      <c r="M252">
        <f>SUM($C252:F252)</f>
        <v>31.4</v>
      </c>
      <c r="N252">
        <f>SUM($C252:G252)</f>
        <v>54</v>
      </c>
      <c r="O252">
        <f>SUM($C252:H252)</f>
        <v>70.3</v>
      </c>
      <c r="P252">
        <f>SUM($C252:I252)</f>
        <v>100.1</v>
      </c>
    </row>
    <row r="253" spans="1:16" x14ac:dyDescent="0.35">
      <c r="A253" t="s">
        <v>408</v>
      </c>
      <c r="B253" t="s">
        <v>617</v>
      </c>
      <c r="C253">
        <f>VLOOKUP($B253,lowest_10!$B$5:$BH$270,59,0)</f>
        <v>1.9</v>
      </c>
      <c r="D253">
        <f>VLOOKUP($B253,lowest_20!$B$5:$BH$270,59,0)-C253</f>
        <v>3.5000000000000004</v>
      </c>
      <c r="E253">
        <f>VLOOKUP($B253,second_20!$B$5:$BH$270,59,0)</f>
        <v>10.199999999999999</v>
      </c>
      <c r="F253">
        <f>VLOOKUP($B253,third_20!$B$5:$BH$270,59,0)</f>
        <v>15.1</v>
      </c>
      <c r="G253">
        <f>VLOOKUP($B253,fourth_20!$B$5:$BH$270,59,0)</f>
        <v>22.6</v>
      </c>
      <c r="H253">
        <f>VLOOKUP($B253,highest_20!$B$5:$BH$270,59,0)-I253</f>
        <v>16.500000000000004</v>
      </c>
      <c r="I253">
        <f>VLOOKUP($B253,highest_10!$B$5:$BH$270,59,0)</f>
        <v>30.2</v>
      </c>
      <c r="J253">
        <f>SUM($C253:C253)</f>
        <v>1.9</v>
      </c>
      <c r="K253">
        <f>SUM($C253:D253)</f>
        <v>5.4</v>
      </c>
      <c r="L253">
        <f>SUM($C253:E253)</f>
        <v>15.6</v>
      </c>
      <c r="M253">
        <f>SUM($C253:F253)</f>
        <v>30.7</v>
      </c>
      <c r="N253">
        <f>SUM($C253:G253)</f>
        <v>53.3</v>
      </c>
      <c r="O253">
        <f>SUM($C253:H253)</f>
        <v>69.8</v>
      </c>
      <c r="P253">
        <f>SUM($C253:I253)</f>
        <v>100</v>
      </c>
    </row>
    <row r="254" spans="1:16" x14ac:dyDescent="0.35">
      <c r="A254" t="s">
        <v>315</v>
      </c>
      <c r="B254" t="s">
        <v>158</v>
      </c>
      <c r="C254">
        <f>VLOOKUP($B254,lowest_10!$B$5:$BH$270,59,0)</f>
        <v>0</v>
      </c>
      <c r="D254">
        <f>VLOOKUP($B254,lowest_20!$B$5:$BH$270,59,0)-C254</f>
        <v>0</v>
      </c>
      <c r="E254">
        <f>VLOOKUP($B254,second_20!$B$5:$BH$270,59,0)</f>
        <v>0</v>
      </c>
      <c r="F254">
        <f>VLOOKUP($B254,third_20!$B$5:$BH$270,59,0)</f>
        <v>0</v>
      </c>
      <c r="G254">
        <f>VLOOKUP($B254,fourth_20!$B$5:$BH$270,59,0)</f>
        <v>0</v>
      </c>
      <c r="H254">
        <f>VLOOKUP($B254,highest_20!$B$5:$BH$270,59,0)-I254</f>
        <v>0</v>
      </c>
      <c r="I254">
        <f>VLOOKUP($B254,highest_10!$B$5:$BH$270,59,0)</f>
        <v>0</v>
      </c>
      <c r="J254">
        <f>SUM($C254:C254)</f>
        <v>0</v>
      </c>
      <c r="K254">
        <f>SUM($C254:D254)</f>
        <v>0</v>
      </c>
      <c r="L254">
        <f>SUM($C254:E254)</f>
        <v>0</v>
      </c>
      <c r="M254">
        <f>SUM($C254:F254)</f>
        <v>0</v>
      </c>
      <c r="N254">
        <f>SUM($C254:G254)</f>
        <v>0</v>
      </c>
      <c r="O254">
        <f>SUM($C254:H254)</f>
        <v>0</v>
      </c>
      <c r="P254">
        <f>SUM($C254:I254)</f>
        <v>0</v>
      </c>
    </row>
    <row r="255" spans="1:16" x14ac:dyDescent="0.35">
      <c r="A255" t="s">
        <v>55</v>
      </c>
      <c r="B255" t="s">
        <v>104</v>
      </c>
      <c r="C255">
        <f>VLOOKUP($B255,lowest_10!$B$5:$BH$270,59,0)</f>
        <v>0</v>
      </c>
      <c r="D255">
        <f>VLOOKUP($B255,lowest_20!$B$5:$BH$270,59,0)-C255</f>
        <v>0</v>
      </c>
      <c r="E255">
        <f>VLOOKUP($B255,second_20!$B$5:$BH$270,59,0)</f>
        <v>0</v>
      </c>
      <c r="F255">
        <f>VLOOKUP($B255,third_20!$B$5:$BH$270,59,0)</f>
        <v>0</v>
      </c>
      <c r="G255">
        <f>VLOOKUP($B255,fourth_20!$B$5:$BH$270,59,0)</f>
        <v>0</v>
      </c>
      <c r="H255">
        <f>VLOOKUP($B255,highest_20!$B$5:$BH$270,59,0)-I255</f>
        <v>0</v>
      </c>
      <c r="I255">
        <f>VLOOKUP($B255,highest_10!$B$5:$BH$270,59,0)</f>
        <v>0</v>
      </c>
      <c r="J255">
        <f>SUM($C255:C255)</f>
        <v>0</v>
      </c>
      <c r="K255">
        <f>SUM($C255:D255)</f>
        <v>0</v>
      </c>
      <c r="L255">
        <f>SUM($C255:E255)</f>
        <v>0</v>
      </c>
      <c r="M255">
        <f>SUM($C255:F255)</f>
        <v>0</v>
      </c>
      <c r="N255">
        <f>SUM($C255:G255)</f>
        <v>0</v>
      </c>
      <c r="O255">
        <f>SUM($C255:H255)</f>
        <v>0</v>
      </c>
      <c r="P255">
        <f>SUM($C255:I255)</f>
        <v>0</v>
      </c>
    </row>
    <row r="256" spans="1:16" x14ac:dyDescent="0.35">
      <c r="A256" t="s">
        <v>81</v>
      </c>
      <c r="B256" t="s">
        <v>324</v>
      </c>
      <c r="C256">
        <f>VLOOKUP($B256,lowest_10!$B$5:$BH$270,59,0)</f>
        <v>0</v>
      </c>
      <c r="D256">
        <f>VLOOKUP($B256,lowest_20!$B$5:$BH$270,59,0)-C256</f>
        <v>0</v>
      </c>
      <c r="E256">
        <f>VLOOKUP($B256,second_20!$B$5:$BH$270,59,0)</f>
        <v>0</v>
      </c>
      <c r="F256">
        <f>VLOOKUP($B256,third_20!$B$5:$BH$270,59,0)</f>
        <v>0</v>
      </c>
      <c r="G256">
        <f>VLOOKUP($B256,fourth_20!$B$5:$BH$270,59,0)</f>
        <v>0</v>
      </c>
      <c r="H256">
        <f>VLOOKUP($B256,highest_20!$B$5:$BH$270,59,0)-I256</f>
        <v>0</v>
      </c>
      <c r="I256">
        <f>VLOOKUP($B256,highest_10!$B$5:$BH$270,59,0)</f>
        <v>0</v>
      </c>
      <c r="J256">
        <f>SUM($C256:C256)</f>
        <v>0</v>
      </c>
      <c r="K256">
        <f>SUM($C256:D256)</f>
        <v>0</v>
      </c>
      <c r="L256">
        <f>SUM($C256:E256)</f>
        <v>0</v>
      </c>
      <c r="M256">
        <f>SUM($C256:F256)</f>
        <v>0</v>
      </c>
      <c r="N256">
        <f>SUM($C256:G256)</f>
        <v>0</v>
      </c>
      <c r="O256">
        <f>SUM($C256:H256)</f>
        <v>0</v>
      </c>
      <c r="P256">
        <f>SUM($C256:I256)</f>
        <v>0</v>
      </c>
    </row>
    <row r="257" spans="1:16" x14ac:dyDescent="0.35">
      <c r="A257" t="s">
        <v>332</v>
      </c>
      <c r="B257" t="s">
        <v>595</v>
      </c>
      <c r="C257">
        <f>VLOOKUP($B257,lowest_10!$B$5:$BH$270,59,0)</f>
        <v>0</v>
      </c>
      <c r="D257">
        <f>VLOOKUP($B257,lowest_20!$B$5:$BH$270,59,0)-C257</f>
        <v>0</v>
      </c>
      <c r="E257">
        <f>VLOOKUP($B257,second_20!$B$5:$BH$270,59,0)</f>
        <v>0</v>
      </c>
      <c r="F257">
        <f>VLOOKUP($B257,third_20!$B$5:$BH$270,59,0)</f>
        <v>0</v>
      </c>
      <c r="G257">
        <f>VLOOKUP($B257,fourth_20!$B$5:$BH$270,59,0)</f>
        <v>0</v>
      </c>
      <c r="H257">
        <f>VLOOKUP($B257,highest_20!$B$5:$BH$270,59,0)-I257</f>
        <v>0</v>
      </c>
      <c r="I257">
        <f>VLOOKUP($B257,highest_10!$B$5:$BH$270,59,0)</f>
        <v>0</v>
      </c>
      <c r="J257">
        <f>SUM($C257:C257)</f>
        <v>0</v>
      </c>
      <c r="K257">
        <f>SUM($C257:D257)</f>
        <v>0</v>
      </c>
      <c r="L257">
        <f>SUM($C257:E257)</f>
        <v>0</v>
      </c>
      <c r="M257">
        <f>SUM($C257:F257)</f>
        <v>0</v>
      </c>
      <c r="N257">
        <f>SUM($C257:G257)</f>
        <v>0</v>
      </c>
      <c r="O257">
        <f>SUM($C257:H257)</f>
        <v>0</v>
      </c>
      <c r="P257">
        <f>SUM($C257:I257)</f>
        <v>0</v>
      </c>
    </row>
    <row r="258" spans="1:16" x14ac:dyDescent="0.35">
      <c r="A258" t="s">
        <v>436</v>
      </c>
      <c r="B258" t="s">
        <v>138</v>
      </c>
      <c r="C258">
        <f>VLOOKUP($B258,lowest_10!$B$5:$BH$270,59,0)</f>
        <v>0</v>
      </c>
      <c r="D258">
        <f>VLOOKUP($B258,lowest_20!$B$5:$BH$270,59,0)-C258</f>
        <v>0</v>
      </c>
      <c r="E258">
        <f>VLOOKUP($B258,second_20!$B$5:$BH$270,59,0)</f>
        <v>0</v>
      </c>
      <c r="F258">
        <f>VLOOKUP($B258,third_20!$B$5:$BH$270,59,0)</f>
        <v>0</v>
      </c>
      <c r="G258">
        <f>VLOOKUP($B258,fourth_20!$B$5:$BH$270,59,0)</f>
        <v>0</v>
      </c>
      <c r="H258">
        <f>VLOOKUP($B258,highest_20!$B$5:$BH$270,59,0)-I258</f>
        <v>0</v>
      </c>
      <c r="I258">
        <f>VLOOKUP($B258,highest_10!$B$5:$BH$270,59,0)</f>
        <v>0</v>
      </c>
      <c r="J258">
        <f>SUM($C258:C258)</f>
        <v>0</v>
      </c>
      <c r="K258">
        <f>SUM($C258:D258)</f>
        <v>0</v>
      </c>
      <c r="L258">
        <f>SUM($C258:E258)</f>
        <v>0</v>
      </c>
      <c r="M258">
        <f>SUM($C258:F258)</f>
        <v>0</v>
      </c>
      <c r="N258">
        <f>SUM($C258:G258)</f>
        <v>0</v>
      </c>
      <c r="O258">
        <f>SUM($C258:H258)</f>
        <v>0</v>
      </c>
      <c r="P258">
        <f>SUM($C258:I258)</f>
        <v>0</v>
      </c>
    </row>
    <row r="259" spans="1:16" x14ac:dyDescent="0.35">
      <c r="A259" t="s">
        <v>399</v>
      </c>
      <c r="B259" t="s">
        <v>636</v>
      </c>
      <c r="C259">
        <f>VLOOKUP($B259,lowest_10!$B$5:$BH$270,59,0)</f>
        <v>0</v>
      </c>
      <c r="D259">
        <f>VLOOKUP($B259,lowest_20!$B$5:$BH$270,59,0)-C259</f>
        <v>0</v>
      </c>
      <c r="E259">
        <f>VLOOKUP($B259,second_20!$B$5:$BH$270,59,0)</f>
        <v>0</v>
      </c>
      <c r="F259">
        <f>VLOOKUP($B259,third_20!$B$5:$BH$270,59,0)</f>
        <v>0</v>
      </c>
      <c r="G259">
        <f>VLOOKUP($B259,fourth_20!$B$5:$BH$270,59,0)</f>
        <v>0</v>
      </c>
      <c r="H259">
        <f>VLOOKUP($B259,highest_20!$B$5:$BH$270,59,0)-I259</f>
        <v>0</v>
      </c>
      <c r="I259">
        <f>VLOOKUP($B259,highest_10!$B$5:$BH$270,59,0)</f>
        <v>0</v>
      </c>
      <c r="J259">
        <f>SUM($C259:C259)</f>
        <v>0</v>
      </c>
      <c r="K259">
        <f>SUM($C259:D259)</f>
        <v>0</v>
      </c>
      <c r="L259">
        <f>SUM($C259:E259)</f>
        <v>0</v>
      </c>
      <c r="M259">
        <f>SUM($C259:F259)</f>
        <v>0</v>
      </c>
      <c r="N259">
        <f>SUM($C259:G259)</f>
        <v>0</v>
      </c>
      <c r="O259">
        <f>SUM($C259:H259)</f>
        <v>0</v>
      </c>
      <c r="P259">
        <f>SUM($C259:I259)</f>
        <v>0</v>
      </c>
    </row>
    <row r="260" spans="1:16" x14ac:dyDescent="0.35">
      <c r="A260" t="s">
        <v>633</v>
      </c>
      <c r="B260" t="s">
        <v>125</v>
      </c>
      <c r="C260">
        <f>VLOOKUP($B260,lowest_10!$B$5:$BH$270,59,0)</f>
        <v>0</v>
      </c>
      <c r="D260">
        <f>VLOOKUP($B260,lowest_20!$B$5:$BH$270,59,0)-C260</f>
        <v>0</v>
      </c>
      <c r="E260">
        <f>VLOOKUP($B260,second_20!$B$5:$BH$270,59,0)</f>
        <v>0</v>
      </c>
      <c r="F260">
        <f>VLOOKUP($B260,third_20!$B$5:$BH$270,59,0)</f>
        <v>0</v>
      </c>
      <c r="G260">
        <f>VLOOKUP($B260,fourth_20!$B$5:$BH$270,59,0)</f>
        <v>0</v>
      </c>
      <c r="H260">
        <f>VLOOKUP($B260,highest_20!$B$5:$BH$270,59,0)-I260</f>
        <v>0</v>
      </c>
      <c r="I260">
        <f>VLOOKUP($B260,highest_10!$B$5:$BH$270,59,0)</f>
        <v>0</v>
      </c>
      <c r="J260">
        <f>SUM($C260:C260)</f>
        <v>0</v>
      </c>
      <c r="K260">
        <f>SUM($C260:D260)</f>
        <v>0</v>
      </c>
      <c r="L260">
        <f>SUM($C260:E260)</f>
        <v>0</v>
      </c>
      <c r="M260">
        <f>SUM($C260:F260)</f>
        <v>0</v>
      </c>
      <c r="N260">
        <f>SUM($C260:G260)</f>
        <v>0</v>
      </c>
      <c r="O260">
        <f>SUM($C260:H260)</f>
        <v>0</v>
      </c>
      <c r="P260">
        <f>SUM($C260:I260)</f>
        <v>0</v>
      </c>
    </row>
    <row r="261" spans="1:16" x14ac:dyDescent="0.35">
      <c r="A261" t="s">
        <v>591</v>
      </c>
      <c r="B261" t="s">
        <v>717</v>
      </c>
      <c r="C261">
        <f>VLOOKUP($B261,lowest_10!$B$5:$BH$270,59,0)</f>
        <v>0</v>
      </c>
      <c r="D261">
        <f>VLOOKUP($B261,lowest_20!$B$5:$BH$270,59,0)-C261</f>
        <v>0</v>
      </c>
      <c r="E261">
        <f>VLOOKUP($B261,second_20!$B$5:$BH$270,59,0)</f>
        <v>0</v>
      </c>
      <c r="F261">
        <f>VLOOKUP($B261,third_20!$B$5:$BH$270,59,0)</f>
        <v>0</v>
      </c>
      <c r="G261">
        <f>VLOOKUP($B261,fourth_20!$B$5:$BH$270,59,0)</f>
        <v>0</v>
      </c>
      <c r="H261">
        <f>VLOOKUP($B261,highest_20!$B$5:$BH$270,59,0)-I261</f>
        <v>0</v>
      </c>
      <c r="I261">
        <f>VLOOKUP($B261,highest_10!$B$5:$BH$270,59,0)</f>
        <v>0</v>
      </c>
      <c r="J261">
        <f>SUM($C261:C261)</f>
        <v>0</v>
      </c>
      <c r="K261">
        <f>SUM($C261:D261)</f>
        <v>0</v>
      </c>
      <c r="L261">
        <f>SUM($C261:E261)</f>
        <v>0</v>
      </c>
      <c r="M261">
        <f>SUM($C261:F261)</f>
        <v>0</v>
      </c>
      <c r="N261">
        <f>SUM($C261:G261)</f>
        <v>0</v>
      </c>
      <c r="O261">
        <f>SUM($C261:H261)</f>
        <v>0</v>
      </c>
      <c r="P261">
        <f>SUM($C261:I261)</f>
        <v>0</v>
      </c>
    </row>
    <row r="262" spans="1:16" x14ac:dyDescent="0.35">
      <c r="A262" t="s">
        <v>185</v>
      </c>
      <c r="B262" t="s">
        <v>491</v>
      </c>
      <c r="C262">
        <f>VLOOKUP($B262,lowest_10!$B$5:$BH$270,59,0)</f>
        <v>0</v>
      </c>
      <c r="D262">
        <f>VLOOKUP($B262,lowest_20!$B$5:$BH$270,59,0)-C262</f>
        <v>0</v>
      </c>
      <c r="E262">
        <f>VLOOKUP($B262,second_20!$B$5:$BH$270,59,0)</f>
        <v>0</v>
      </c>
      <c r="F262">
        <f>VLOOKUP($B262,third_20!$B$5:$BH$270,59,0)</f>
        <v>0</v>
      </c>
      <c r="G262">
        <f>VLOOKUP($B262,fourth_20!$B$5:$BH$270,59,0)</f>
        <v>0</v>
      </c>
      <c r="H262">
        <f>VLOOKUP($B262,highest_20!$B$5:$BH$270,59,0)-I262</f>
        <v>0</v>
      </c>
      <c r="I262">
        <f>VLOOKUP($B262,highest_10!$B$5:$BH$270,59,0)</f>
        <v>0</v>
      </c>
      <c r="J262">
        <f>SUM($C262:C262)</f>
        <v>0</v>
      </c>
      <c r="K262">
        <f>SUM($C262:D262)</f>
        <v>0</v>
      </c>
      <c r="L262">
        <f>SUM($C262:E262)</f>
        <v>0</v>
      </c>
      <c r="M262">
        <f>SUM($C262:F262)</f>
        <v>0</v>
      </c>
      <c r="N262">
        <f>SUM($C262:G262)</f>
        <v>0</v>
      </c>
      <c r="O262">
        <f>SUM($C262:H262)</f>
        <v>0</v>
      </c>
      <c r="P262">
        <f>SUM($C262:I262)</f>
        <v>0</v>
      </c>
    </row>
    <row r="263" spans="1:16" x14ac:dyDescent="0.35">
      <c r="A263" t="s">
        <v>442</v>
      </c>
      <c r="B263" t="s">
        <v>218</v>
      </c>
      <c r="C263">
        <f>VLOOKUP($B263,lowest_10!$B$5:$BH$270,59,0)</f>
        <v>4</v>
      </c>
      <c r="D263">
        <f>VLOOKUP($B263,lowest_20!$B$5:$BH$270,59,0)-C263</f>
        <v>5.5</v>
      </c>
      <c r="E263">
        <f>VLOOKUP($B263,second_20!$B$5:$BH$270,59,0)</f>
        <v>14</v>
      </c>
      <c r="F263">
        <f>VLOOKUP($B263,third_20!$B$5:$BH$270,59,0)</f>
        <v>17.7</v>
      </c>
      <c r="G263">
        <f>VLOOKUP($B263,fourth_20!$B$5:$BH$270,59,0)</f>
        <v>22.7</v>
      </c>
      <c r="H263">
        <f>VLOOKUP($B263,highest_20!$B$5:$BH$270,59,0)-I263</f>
        <v>14.600000000000001</v>
      </c>
      <c r="I263">
        <f>VLOOKUP($B263,highest_10!$B$5:$BH$270,59,0)</f>
        <v>21.5</v>
      </c>
      <c r="J263">
        <f>SUM($C263:C263)</f>
        <v>4</v>
      </c>
      <c r="K263">
        <f>SUM($C263:D263)</f>
        <v>9.5</v>
      </c>
      <c r="L263">
        <f>SUM($C263:E263)</f>
        <v>23.5</v>
      </c>
      <c r="M263">
        <f>SUM($C263:F263)</f>
        <v>41.2</v>
      </c>
      <c r="N263">
        <f>SUM($C263:G263)</f>
        <v>63.900000000000006</v>
      </c>
      <c r="O263">
        <f>SUM($C263:H263)</f>
        <v>78.5</v>
      </c>
      <c r="P263">
        <f>SUM($C263:I263)</f>
        <v>100</v>
      </c>
    </row>
    <row r="264" spans="1:16" x14ac:dyDescent="0.35">
      <c r="A264" t="s">
        <v>700</v>
      </c>
      <c r="B264" t="s">
        <v>16</v>
      </c>
      <c r="C264">
        <f>VLOOKUP($B264,lowest_10!$B$5:$BH$270,59,0)</f>
        <v>0</v>
      </c>
      <c r="D264">
        <f>VLOOKUP($B264,lowest_20!$B$5:$BH$270,59,0)-C264</f>
        <v>0</v>
      </c>
      <c r="E264">
        <f>VLOOKUP($B264,second_20!$B$5:$BH$270,59,0)</f>
        <v>0</v>
      </c>
      <c r="F264">
        <f>VLOOKUP($B264,third_20!$B$5:$BH$270,59,0)</f>
        <v>0</v>
      </c>
      <c r="G264">
        <f>VLOOKUP($B264,fourth_20!$B$5:$BH$270,59,0)</f>
        <v>0</v>
      </c>
      <c r="H264">
        <f>VLOOKUP($B264,highest_20!$B$5:$BH$270,59,0)-I264</f>
        <v>0</v>
      </c>
      <c r="I264">
        <f>VLOOKUP($B264,highest_10!$B$5:$BH$270,59,0)</f>
        <v>0</v>
      </c>
      <c r="J264">
        <f>SUM($C264:C264)</f>
        <v>0</v>
      </c>
      <c r="K264">
        <f>SUM($C264:D264)</f>
        <v>0</v>
      </c>
      <c r="L264">
        <f>SUM($C264:E264)</f>
        <v>0</v>
      </c>
      <c r="M264">
        <f>SUM($C264:F264)</f>
        <v>0</v>
      </c>
      <c r="N264">
        <f>SUM($C264:G264)</f>
        <v>0</v>
      </c>
      <c r="O264">
        <f>SUM($C264:H264)</f>
        <v>0</v>
      </c>
      <c r="P264">
        <f>SUM($C264:I264)</f>
        <v>0</v>
      </c>
    </row>
    <row r="265" spans="1:16" x14ac:dyDescent="0.35">
      <c r="A265" t="s">
        <v>493</v>
      </c>
      <c r="B265" t="s">
        <v>397</v>
      </c>
      <c r="C265">
        <f>VLOOKUP($B265,lowest_10!$B$5:$BH$270,59,0)</f>
        <v>0</v>
      </c>
      <c r="D265">
        <f>VLOOKUP($B265,lowest_20!$B$5:$BH$270,59,0)-C265</f>
        <v>0</v>
      </c>
      <c r="E265">
        <f>VLOOKUP($B265,second_20!$B$5:$BH$270,59,0)</f>
        <v>0</v>
      </c>
      <c r="F265">
        <f>VLOOKUP($B265,third_20!$B$5:$BH$270,59,0)</f>
        <v>0</v>
      </c>
      <c r="G265">
        <f>VLOOKUP($B265,fourth_20!$B$5:$BH$270,59,0)</f>
        <v>0</v>
      </c>
      <c r="H265">
        <f>VLOOKUP($B265,highest_20!$B$5:$BH$270,59,0)-I265</f>
        <v>0</v>
      </c>
      <c r="I265">
        <f>VLOOKUP($B265,highest_10!$B$5:$BH$270,59,0)</f>
        <v>0</v>
      </c>
      <c r="J265">
        <f>SUM($C265:C265)</f>
        <v>0</v>
      </c>
      <c r="K265">
        <f>SUM($C265:D265)</f>
        <v>0</v>
      </c>
      <c r="L265">
        <f>SUM($C265:E265)</f>
        <v>0</v>
      </c>
      <c r="M265">
        <f>SUM($C265:F265)</f>
        <v>0</v>
      </c>
      <c r="N265">
        <f>SUM($C265:G265)</f>
        <v>0</v>
      </c>
      <c r="O265">
        <f>SUM($C265:H265)</f>
        <v>0</v>
      </c>
      <c r="P265">
        <f>SUM($C265:I265)</f>
        <v>0</v>
      </c>
    </row>
    <row r="266" spans="1:16" x14ac:dyDescent="0.35">
      <c r="A266" t="s">
        <v>9</v>
      </c>
      <c r="B266" t="s">
        <v>437</v>
      </c>
      <c r="C266">
        <f>VLOOKUP($B266,lowest_10!$B$5:$BH$270,59,0)</f>
        <v>1.2</v>
      </c>
      <c r="D266">
        <f>VLOOKUP($B266,lowest_20!$B$5:$BH$270,59,0)-C266</f>
        <v>1.9000000000000001</v>
      </c>
      <c r="E266">
        <f>VLOOKUP($B266,second_20!$B$5:$BH$270,59,0)</f>
        <v>6.3</v>
      </c>
      <c r="F266">
        <f>VLOOKUP($B266,third_20!$B$5:$BH$270,59,0)</f>
        <v>10.9</v>
      </c>
      <c r="G266">
        <f>VLOOKUP($B266,fourth_20!$B$5:$BH$270,59,0)</f>
        <v>19.399999999999999</v>
      </c>
      <c r="H266">
        <f>VLOOKUP($B266,highest_20!$B$5:$BH$270,59,0)-I266</f>
        <v>16.800000000000004</v>
      </c>
      <c r="I266">
        <f>VLOOKUP($B266,highest_10!$B$5:$BH$270,59,0)</f>
        <v>43.4</v>
      </c>
      <c r="J266">
        <f>SUM($C266:C266)</f>
        <v>1.2</v>
      </c>
      <c r="K266">
        <f>SUM($C266:D266)</f>
        <v>3.1</v>
      </c>
      <c r="L266">
        <f>SUM($C266:E266)</f>
        <v>9.4</v>
      </c>
      <c r="M266">
        <f>SUM($C266:F266)</f>
        <v>20.3</v>
      </c>
      <c r="N266">
        <f>SUM($C266:G266)</f>
        <v>39.700000000000003</v>
      </c>
      <c r="O266">
        <f>SUM($C266:H266)</f>
        <v>56.500000000000007</v>
      </c>
      <c r="P266">
        <f>SUM($C266:I266)</f>
        <v>99.9</v>
      </c>
    </row>
    <row r="267" spans="1:16" x14ac:dyDescent="0.35">
      <c r="A267" t="s">
        <v>741</v>
      </c>
      <c r="B267" t="s">
        <v>350</v>
      </c>
      <c r="C267">
        <f>VLOOKUP($B267,lowest_10!$B$5:$BH$270,59,0)</f>
        <v>0</v>
      </c>
      <c r="D267">
        <f>VLOOKUP($B267,lowest_20!$B$5:$BH$270,59,0)-C267</f>
        <v>0</v>
      </c>
      <c r="E267">
        <f>VLOOKUP($B267,second_20!$B$5:$BH$270,59,0)</f>
        <v>0</v>
      </c>
      <c r="F267">
        <f>VLOOKUP($B267,third_20!$B$5:$BH$270,59,0)</f>
        <v>0</v>
      </c>
      <c r="G267">
        <f>VLOOKUP($B267,fourth_20!$B$5:$BH$270,59,0)</f>
        <v>0</v>
      </c>
      <c r="H267">
        <f>VLOOKUP($B267,highest_20!$B$5:$BH$270,59,0)-I267</f>
        <v>0</v>
      </c>
      <c r="I267">
        <f>VLOOKUP($B267,highest_10!$B$5:$BH$270,59,0)</f>
        <v>0</v>
      </c>
      <c r="J267">
        <f>SUM($C267:C267)</f>
        <v>0</v>
      </c>
      <c r="K267">
        <f>SUM($C267:D267)</f>
        <v>0</v>
      </c>
      <c r="L267">
        <f>SUM($C267:E267)</f>
        <v>0</v>
      </c>
      <c r="M267">
        <f>SUM($C267:F267)</f>
        <v>0</v>
      </c>
      <c r="N267">
        <f>SUM($C267:G267)</f>
        <v>0</v>
      </c>
      <c r="O267">
        <f>SUM($C267:H267)</f>
        <v>0</v>
      </c>
      <c r="P267">
        <f>SUM($C267:I267)</f>
        <v>0</v>
      </c>
    </row>
  </sheetData>
  <pageMargins left="0.7" right="0.7" top="0.75" bottom="0.75" header="0.3" footer="0.3"/>
  <headerFooter>
    <oddFooter>&amp;L_x000D_&amp;1#&amp;"Aptos"&amp;10&amp;K000000 LUT Group Confidential - Other information (3Y)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A9A16-5586-453A-9042-F10637323315}">
  <dimension ref="A1:E266"/>
  <sheetViews>
    <sheetView workbookViewId="0"/>
  </sheetViews>
  <sheetFormatPr defaultRowHeight="14.5" x14ac:dyDescent="0.35"/>
  <cols>
    <col min="1" max="5" width="17.54296875" customWidth="1"/>
  </cols>
  <sheetData>
    <row r="1" spans="1:5" x14ac:dyDescent="0.35">
      <c r="A1" t="s">
        <v>487</v>
      </c>
      <c r="B1" t="s">
        <v>632</v>
      </c>
      <c r="C1" t="s">
        <v>681</v>
      </c>
      <c r="D1" t="s">
        <v>670</v>
      </c>
      <c r="E1" t="s">
        <v>330</v>
      </c>
    </row>
    <row r="2" spans="1:5" x14ac:dyDescent="0.35">
      <c r="A2" t="s">
        <v>12</v>
      </c>
      <c r="B2" t="s">
        <v>605</v>
      </c>
      <c r="C2" t="s">
        <v>353</v>
      </c>
      <c r="E2" t="s">
        <v>529</v>
      </c>
    </row>
    <row r="3" spans="1:5" x14ac:dyDescent="0.35">
      <c r="A3" t="s">
        <v>511</v>
      </c>
      <c r="D3" t="s">
        <v>476</v>
      </c>
      <c r="E3" t="s">
        <v>542</v>
      </c>
    </row>
    <row r="4" spans="1:5" ht="409.5" x14ac:dyDescent="0.35">
      <c r="A4" t="s">
        <v>628</v>
      </c>
      <c r="B4" t="s">
        <v>134</v>
      </c>
      <c r="C4" t="s">
        <v>649</v>
      </c>
      <c r="D4" s="1" t="s">
        <v>698</v>
      </c>
      <c r="E4" t="s">
        <v>336</v>
      </c>
    </row>
    <row r="5" spans="1:5" x14ac:dyDescent="0.35">
      <c r="A5" t="s">
        <v>177</v>
      </c>
      <c r="D5" t="s">
        <v>266</v>
      </c>
      <c r="E5" t="s">
        <v>706</v>
      </c>
    </row>
    <row r="6" spans="1:5" x14ac:dyDescent="0.35">
      <c r="A6" t="s">
        <v>18</v>
      </c>
      <c r="B6" t="s">
        <v>313</v>
      </c>
      <c r="C6" t="s">
        <v>374</v>
      </c>
      <c r="D6" t="s">
        <v>331</v>
      </c>
      <c r="E6" t="s">
        <v>326</v>
      </c>
    </row>
    <row r="7" spans="1:5" x14ac:dyDescent="0.35">
      <c r="A7" t="s">
        <v>462</v>
      </c>
      <c r="B7" t="s">
        <v>400</v>
      </c>
      <c r="C7" t="s">
        <v>166</v>
      </c>
      <c r="E7" t="s">
        <v>207</v>
      </c>
    </row>
    <row r="8" spans="1:5" x14ac:dyDescent="0.35">
      <c r="A8" t="s">
        <v>738</v>
      </c>
      <c r="B8" t="s">
        <v>400</v>
      </c>
      <c r="C8" t="s">
        <v>353</v>
      </c>
      <c r="E8" t="s">
        <v>351</v>
      </c>
    </row>
    <row r="9" spans="1:5" x14ac:dyDescent="0.35">
      <c r="A9" t="s">
        <v>618</v>
      </c>
      <c r="D9" t="s">
        <v>349</v>
      </c>
      <c r="E9" t="s">
        <v>115</v>
      </c>
    </row>
    <row r="10" spans="1:5" x14ac:dyDescent="0.35">
      <c r="A10" t="s">
        <v>217</v>
      </c>
      <c r="B10" t="s">
        <v>134</v>
      </c>
      <c r="C10" t="s">
        <v>353</v>
      </c>
      <c r="E10" t="s">
        <v>46</v>
      </c>
    </row>
    <row r="11" spans="1:5" x14ac:dyDescent="0.35">
      <c r="A11" t="s">
        <v>500</v>
      </c>
      <c r="B11" t="s">
        <v>605</v>
      </c>
      <c r="C11" t="s">
        <v>166</v>
      </c>
      <c r="D11" t="s">
        <v>85</v>
      </c>
      <c r="E11" t="s">
        <v>318</v>
      </c>
    </row>
    <row r="12" spans="1:5" x14ac:dyDescent="0.35">
      <c r="A12" t="s">
        <v>293</v>
      </c>
      <c r="B12" t="s">
        <v>400</v>
      </c>
      <c r="C12" t="s">
        <v>166</v>
      </c>
      <c r="E12" t="s">
        <v>89</v>
      </c>
    </row>
    <row r="13" spans="1:5" x14ac:dyDescent="0.35">
      <c r="A13" t="s">
        <v>360</v>
      </c>
      <c r="B13" t="s">
        <v>490</v>
      </c>
      <c r="C13" t="s">
        <v>353</v>
      </c>
      <c r="E13" t="s">
        <v>112</v>
      </c>
    </row>
    <row r="14" spans="1:5" x14ac:dyDescent="0.35">
      <c r="A14" t="s">
        <v>499</v>
      </c>
      <c r="B14" t="s">
        <v>605</v>
      </c>
      <c r="C14" t="s">
        <v>353</v>
      </c>
      <c r="E14" t="s">
        <v>417</v>
      </c>
    </row>
    <row r="15" spans="1:5" x14ac:dyDescent="0.35">
      <c r="A15" t="s">
        <v>309</v>
      </c>
      <c r="B15" t="s">
        <v>490</v>
      </c>
      <c r="C15" t="s">
        <v>353</v>
      </c>
      <c r="D15" t="s">
        <v>276</v>
      </c>
      <c r="E15" t="s">
        <v>439</v>
      </c>
    </row>
    <row r="16" spans="1:5" x14ac:dyDescent="0.35">
      <c r="A16" t="s">
        <v>361</v>
      </c>
      <c r="B16" t="s">
        <v>400</v>
      </c>
      <c r="C16" t="s">
        <v>353</v>
      </c>
      <c r="D16" t="s">
        <v>650</v>
      </c>
      <c r="E16" t="s">
        <v>63</v>
      </c>
    </row>
    <row r="17" spans="1:5" x14ac:dyDescent="0.35">
      <c r="A17" t="s">
        <v>528</v>
      </c>
      <c r="B17" t="s">
        <v>400</v>
      </c>
      <c r="C17" t="s">
        <v>166</v>
      </c>
      <c r="E17" t="s">
        <v>537</v>
      </c>
    </row>
    <row r="18" spans="1:5" x14ac:dyDescent="0.35">
      <c r="A18" t="s">
        <v>550</v>
      </c>
      <c r="B18" t="s">
        <v>313</v>
      </c>
      <c r="C18" t="s">
        <v>649</v>
      </c>
      <c r="D18" t="s">
        <v>692</v>
      </c>
      <c r="E18" t="s">
        <v>477</v>
      </c>
    </row>
    <row r="19" spans="1:5" x14ac:dyDescent="0.35">
      <c r="A19" t="s">
        <v>48</v>
      </c>
      <c r="B19" t="s">
        <v>400</v>
      </c>
      <c r="C19" t="s">
        <v>353</v>
      </c>
      <c r="D19" t="s">
        <v>474</v>
      </c>
      <c r="E19" t="s">
        <v>643</v>
      </c>
    </row>
    <row r="20" spans="1:5" x14ac:dyDescent="0.35">
      <c r="A20" t="s">
        <v>343</v>
      </c>
      <c r="B20" t="s">
        <v>313</v>
      </c>
      <c r="C20" t="s">
        <v>374</v>
      </c>
      <c r="E20" t="s">
        <v>629</v>
      </c>
    </row>
    <row r="21" spans="1:5" x14ac:dyDescent="0.35">
      <c r="A21" t="s">
        <v>463</v>
      </c>
      <c r="B21" t="s">
        <v>313</v>
      </c>
      <c r="C21" t="s">
        <v>649</v>
      </c>
      <c r="E21" t="s">
        <v>120</v>
      </c>
    </row>
    <row r="22" spans="1:5" x14ac:dyDescent="0.35">
      <c r="A22" t="s">
        <v>152</v>
      </c>
      <c r="B22" t="s">
        <v>90</v>
      </c>
      <c r="C22" t="s">
        <v>374</v>
      </c>
      <c r="D22" t="s">
        <v>276</v>
      </c>
      <c r="E22" t="s">
        <v>39</v>
      </c>
    </row>
    <row r="23" spans="1:5" x14ac:dyDescent="0.35">
      <c r="A23" t="s">
        <v>154</v>
      </c>
      <c r="B23" t="s">
        <v>400</v>
      </c>
      <c r="C23" t="s">
        <v>353</v>
      </c>
      <c r="E23" t="s">
        <v>608</v>
      </c>
    </row>
    <row r="24" spans="1:5" x14ac:dyDescent="0.35">
      <c r="A24" t="s">
        <v>71</v>
      </c>
      <c r="B24" t="s">
        <v>134</v>
      </c>
      <c r="C24" t="s">
        <v>353</v>
      </c>
      <c r="E24" t="s">
        <v>372</v>
      </c>
    </row>
    <row r="25" spans="1:5" x14ac:dyDescent="0.35">
      <c r="A25" t="s">
        <v>302</v>
      </c>
      <c r="B25" t="s">
        <v>605</v>
      </c>
      <c r="C25" t="s">
        <v>353</v>
      </c>
      <c r="E25" t="s">
        <v>169</v>
      </c>
    </row>
    <row r="26" spans="1:5" x14ac:dyDescent="0.35">
      <c r="A26" t="s">
        <v>556</v>
      </c>
      <c r="B26" t="s">
        <v>400</v>
      </c>
      <c r="C26" t="s">
        <v>166</v>
      </c>
      <c r="E26" t="s">
        <v>398</v>
      </c>
    </row>
    <row r="27" spans="1:5" x14ac:dyDescent="0.35">
      <c r="A27" t="s">
        <v>226</v>
      </c>
      <c r="B27" t="s">
        <v>400</v>
      </c>
      <c r="C27" t="s">
        <v>166</v>
      </c>
      <c r="D27" t="s">
        <v>507</v>
      </c>
      <c r="E27" t="s">
        <v>590</v>
      </c>
    </row>
    <row r="28" spans="1:5" x14ac:dyDescent="0.35">
      <c r="A28" t="s">
        <v>299</v>
      </c>
      <c r="B28" t="s">
        <v>605</v>
      </c>
      <c r="C28" t="s">
        <v>166</v>
      </c>
      <c r="E28" t="s">
        <v>322</v>
      </c>
    </row>
    <row r="29" spans="1:5" x14ac:dyDescent="0.35">
      <c r="A29" t="s">
        <v>639</v>
      </c>
      <c r="B29" t="s">
        <v>227</v>
      </c>
      <c r="C29" t="s">
        <v>353</v>
      </c>
      <c r="E29" t="s">
        <v>380</v>
      </c>
    </row>
    <row r="30" spans="1:5" x14ac:dyDescent="0.35">
      <c r="A30" t="s">
        <v>518</v>
      </c>
      <c r="B30" t="s">
        <v>605</v>
      </c>
      <c r="C30" t="s">
        <v>374</v>
      </c>
      <c r="E30" t="s">
        <v>56</v>
      </c>
    </row>
    <row r="31" spans="1:5" x14ac:dyDescent="0.35">
      <c r="A31" t="s">
        <v>341</v>
      </c>
      <c r="B31" t="s">
        <v>605</v>
      </c>
      <c r="C31" t="s">
        <v>166</v>
      </c>
      <c r="E31" t="s">
        <v>593</v>
      </c>
    </row>
    <row r="32" spans="1:5" x14ac:dyDescent="0.35">
      <c r="A32" t="s">
        <v>395</v>
      </c>
      <c r="B32" t="s">
        <v>605</v>
      </c>
      <c r="C32" t="s">
        <v>353</v>
      </c>
      <c r="E32" t="s">
        <v>563</v>
      </c>
    </row>
    <row r="33" spans="1:5" x14ac:dyDescent="0.35">
      <c r="A33" t="s">
        <v>129</v>
      </c>
      <c r="B33" t="s">
        <v>490</v>
      </c>
      <c r="C33" t="s">
        <v>353</v>
      </c>
      <c r="E33" t="s">
        <v>435</v>
      </c>
    </row>
    <row r="34" spans="1:5" x14ac:dyDescent="0.35">
      <c r="A34" t="s">
        <v>122</v>
      </c>
      <c r="B34" t="s">
        <v>90</v>
      </c>
      <c r="C34" t="s">
        <v>374</v>
      </c>
      <c r="E34" t="s">
        <v>572</v>
      </c>
    </row>
    <row r="35" spans="1:5" x14ac:dyDescent="0.35">
      <c r="A35" t="s">
        <v>402</v>
      </c>
      <c r="B35" t="s">
        <v>313</v>
      </c>
      <c r="C35" t="s">
        <v>166</v>
      </c>
      <c r="E35" t="s">
        <v>51</v>
      </c>
    </row>
    <row r="36" spans="1:5" x14ac:dyDescent="0.35">
      <c r="A36" t="s">
        <v>492</v>
      </c>
      <c r="B36" t="s">
        <v>313</v>
      </c>
      <c r="C36" t="s">
        <v>649</v>
      </c>
      <c r="E36" t="s">
        <v>188</v>
      </c>
    </row>
    <row r="37" spans="1:5" x14ac:dyDescent="0.35">
      <c r="A37" t="s">
        <v>564</v>
      </c>
      <c r="B37" t="s">
        <v>227</v>
      </c>
      <c r="C37" t="s">
        <v>353</v>
      </c>
      <c r="D37" t="s">
        <v>425</v>
      </c>
      <c r="E37" t="s">
        <v>203</v>
      </c>
    </row>
    <row r="38" spans="1:5" x14ac:dyDescent="0.35">
      <c r="A38" t="s">
        <v>239</v>
      </c>
      <c r="D38" t="s">
        <v>30</v>
      </c>
      <c r="E38" t="s">
        <v>444</v>
      </c>
    </row>
    <row r="39" spans="1:5" x14ac:dyDescent="0.35">
      <c r="A39" t="s">
        <v>648</v>
      </c>
      <c r="B39" t="s">
        <v>400</v>
      </c>
      <c r="C39" t="s">
        <v>353</v>
      </c>
      <c r="E39" t="s">
        <v>191</v>
      </c>
    </row>
    <row r="40" spans="1:5" x14ac:dyDescent="0.35">
      <c r="A40" t="s">
        <v>320</v>
      </c>
      <c r="B40" t="s">
        <v>400</v>
      </c>
      <c r="C40" t="s">
        <v>353</v>
      </c>
      <c r="E40" t="s">
        <v>396</v>
      </c>
    </row>
    <row r="41" spans="1:5" x14ac:dyDescent="0.35">
      <c r="A41" t="s">
        <v>655</v>
      </c>
      <c r="B41" t="s">
        <v>605</v>
      </c>
      <c r="C41" t="s">
        <v>353</v>
      </c>
      <c r="E41" t="s">
        <v>167</v>
      </c>
    </row>
    <row r="42" spans="1:5" ht="409.5" x14ac:dyDescent="0.35">
      <c r="A42" t="s">
        <v>189</v>
      </c>
      <c r="B42" t="s">
        <v>490</v>
      </c>
      <c r="C42" t="s">
        <v>166</v>
      </c>
      <c r="D42" s="1" t="s">
        <v>183</v>
      </c>
      <c r="E42" t="s">
        <v>506</v>
      </c>
    </row>
    <row r="43" spans="1:5" x14ac:dyDescent="0.35">
      <c r="A43" t="s">
        <v>338</v>
      </c>
      <c r="B43" t="s">
        <v>313</v>
      </c>
      <c r="C43" t="s">
        <v>374</v>
      </c>
      <c r="E43" t="s">
        <v>143</v>
      </c>
    </row>
    <row r="44" spans="1:5" x14ac:dyDescent="0.35">
      <c r="A44" t="s">
        <v>79</v>
      </c>
      <c r="B44" t="s">
        <v>313</v>
      </c>
      <c r="C44" t="s">
        <v>374</v>
      </c>
      <c r="E44" t="s">
        <v>742</v>
      </c>
    </row>
    <row r="45" spans="1:5" x14ac:dyDescent="0.35">
      <c r="A45" t="s">
        <v>230</v>
      </c>
      <c r="B45" t="s">
        <v>313</v>
      </c>
      <c r="C45" t="s">
        <v>649</v>
      </c>
      <c r="D45" t="s">
        <v>619</v>
      </c>
      <c r="E45" t="s">
        <v>498</v>
      </c>
    </row>
    <row r="46" spans="1:5" x14ac:dyDescent="0.35">
      <c r="A46" t="s">
        <v>411</v>
      </c>
      <c r="B46" t="s">
        <v>313</v>
      </c>
      <c r="C46" t="s">
        <v>374</v>
      </c>
      <c r="E46" t="s">
        <v>394</v>
      </c>
    </row>
    <row r="47" spans="1:5" x14ac:dyDescent="0.35">
      <c r="A47" t="s">
        <v>305</v>
      </c>
      <c r="B47" t="s">
        <v>605</v>
      </c>
      <c r="C47" t="s">
        <v>166</v>
      </c>
      <c r="E47" t="s">
        <v>559</v>
      </c>
    </row>
    <row r="48" spans="1:5" x14ac:dyDescent="0.35">
      <c r="A48" t="s">
        <v>358</v>
      </c>
      <c r="B48" t="s">
        <v>313</v>
      </c>
      <c r="C48" t="s">
        <v>374</v>
      </c>
      <c r="E48" t="s">
        <v>362</v>
      </c>
    </row>
    <row r="49" spans="1:5" x14ac:dyDescent="0.35">
      <c r="A49" t="s">
        <v>568</v>
      </c>
      <c r="B49" t="s">
        <v>313</v>
      </c>
      <c r="C49" t="s">
        <v>166</v>
      </c>
      <c r="E49" t="s">
        <v>496</v>
      </c>
    </row>
    <row r="50" spans="1:5" x14ac:dyDescent="0.35">
      <c r="A50" t="s">
        <v>11</v>
      </c>
      <c r="B50" t="s">
        <v>605</v>
      </c>
      <c r="C50" t="s">
        <v>353</v>
      </c>
      <c r="E50" t="s">
        <v>346</v>
      </c>
    </row>
    <row r="51" spans="1:5" x14ac:dyDescent="0.35">
      <c r="A51" t="s">
        <v>300</v>
      </c>
      <c r="D51" t="s">
        <v>390</v>
      </c>
      <c r="E51" t="s">
        <v>347</v>
      </c>
    </row>
    <row r="52" spans="1:5" x14ac:dyDescent="0.35">
      <c r="A52" t="s">
        <v>257</v>
      </c>
      <c r="B52" t="s">
        <v>605</v>
      </c>
      <c r="C52" t="s">
        <v>166</v>
      </c>
      <c r="E52" t="s">
        <v>99</v>
      </c>
    </row>
    <row r="53" spans="1:5" x14ac:dyDescent="0.35">
      <c r="A53" t="s">
        <v>100</v>
      </c>
      <c r="B53" t="s">
        <v>605</v>
      </c>
      <c r="C53" t="s">
        <v>353</v>
      </c>
      <c r="E53" t="s">
        <v>409</v>
      </c>
    </row>
    <row r="54" spans="1:5" x14ac:dyDescent="0.35">
      <c r="A54" t="s">
        <v>651</v>
      </c>
      <c r="B54" t="s">
        <v>605</v>
      </c>
      <c r="C54" t="s">
        <v>353</v>
      </c>
      <c r="E54" t="s">
        <v>482</v>
      </c>
    </row>
    <row r="55" spans="1:5" x14ac:dyDescent="0.35">
      <c r="A55" t="s">
        <v>258</v>
      </c>
      <c r="B55" t="s">
        <v>400</v>
      </c>
      <c r="C55" t="s">
        <v>353</v>
      </c>
      <c r="D55" t="s">
        <v>456</v>
      </c>
      <c r="E55" t="s">
        <v>448</v>
      </c>
    </row>
    <row r="56" spans="1:5" x14ac:dyDescent="0.35">
      <c r="A56" t="s">
        <v>668</v>
      </c>
      <c r="B56" t="s">
        <v>400</v>
      </c>
      <c r="C56" t="s">
        <v>353</v>
      </c>
      <c r="E56" t="s">
        <v>354</v>
      </c>
    </row>
    <row r="57" spans="1:5" x14ac:dyDescent="0.35">
      <c r="A57" t="s">
        <v>488</v>
      </c>
      <c r="B57" t="s">
        <v>400</v>
      </c>
      <c r="C57" t="s">
        <v>353</v>
      </c>
      <c r="D57" t="s">
        <v>459</v>
      </c>
      <c r="E57" t="s">
        <v>485</v>
      </c>
    </row>
    <row r="58" spans="1:5" x14ac:dyDescent="0.35">
      <c r="A58" t="s">
        <v>250</v>
      </c>
      <c r="B58" t="s">
        <v>134</v>
      </c>
      <c r="C58" t="s">
        <v>374</v>
      </c>
      <c r="E58" t="s">
        <v>22</v>
      </c>
    </row>
    <row r="59" spans="1:5" x14ac:dyDescent="0.35">
      <c r="A59" t="s">
        <v>265</v>
      </c>
      <c r="B59" t="s">
        <v>605</v>
      </c>
      <c r="C59" t="s">
        <v>166</v>
      </c>
      <c r="E59" t="s">
        <v>690</v>
      </c>
    </row>
    <row r="60" spans="1:5" x14ac:dyDescent="0.35">
      <c r="A60" t="s">
        <v>531</v>
      </c>
      <c r="B60" t="s">
        <v>400</v>
      </c>
      <c r="C60" t="s">
        <v>353</v>
      </c>
      <c r="E60" t="s">
        <v>312</v>
      </c>
    </row>
    <row r="61" spans="1:5" x14ac:dyDescent="0.35">
      <c r="A61" t="s">
        <v>715</v>
      </c>
      <c r="B61" t="s">
        <v>605</v>
      </c>
      <c r="C61" t="s">
        <v>166</v>
      </c>
      <c r="E61" t="s">
        <v>422</v>
      </c>
    </row>
    <row r="62" spans="1:5" x14ac:dyDescent="0.35">
      <c r="A62" t="s">
        <v>31</v>
      </c>
      <c r="B62" t="s">
        <v>134</v>
      </c>
      <c r="C62" t="s">
        <v>166</v>
      </c>
      <c r="E62" t="s">
        <v>689</v>
      </c>
    </row>
    <row r="63" spans="1:5" x14ac:dyDescent="0.35">
      <c r="A63" t="s">
        <v>241</v>
      </c>
      <c r="E63" t="s">
        <v>213</v>
      </c>
    </row>
    <row r="64" spans="1:5" x14ac:dyDescent="0.35">
      <c r="A64" t="s">
        <v>363</v>
      </c>
      <c r="D64" t="s">
        <v>659</v>
      </c>
      <c r="E64" t="s">
        <v>693</v>
      </c>
    </row>
    <row r="65" spans="1:5" x14ac:dyDescent="0.35">
      <c r="A65" t="s">
        <v>586</v>
      </c>
      <c r="D65" t="s">
        <v>7</v>
      </c>
      <c r="E65" t="s">
        <v>490</v>
      </c>
    </row>
    <row r="66" spans="1:5" x14ac:dyDescent="0.35">
      <c r="A66" t="s">
        <v>328</v>
      </c>
      <c r="E66" t="s">
        <v>279</v>
      </c>
    </row>
    <row r="67" spans="1:5" x14ac:dyDescent="0.35">
      <c r="A67" t="s">
        <v>585</v>
      </c>
      <c r="D67" t="s">
        <v>547</v>
      </c>
      <c r="E67" t="s">
        <v>400</v>
      </c>
    </row>
    <row r="68" spans="1:5" x14ac:dyDescent="0.35">
      <c r="A68" t="s">
        <v>111</v>
      </c>
      <c r="B68" t="s">
        <v>605</v>
      </c>
      <c r="C68" t="s">
        <v>166</v>
      </c>
      <c r="E68" t="s">
        <v>251</v>
      </c>
    </row>
    <row r="69" spans="1:5" ht="409.5" x14ac:dyDescent="0.35">
      <c r="A69" t="s">
        <v>672</v>
      </c>
      <c r="B69" t="s">
        <v>134</v>
      </c>
      <c r="C69" t="s">
        <v>374</v>
      </c>
      <c r="D69" s="1" t="s">
        <v>340</v>
      </c>
      <c r="E69" t="s">
        <v>263</v>
      </c>
    </row>
    <row r="70" spans="1:5" x14ac:dyDescent="0.35">
      <c r="A70" t="s">
        <v>410</v>
      </c>
      <c r="D70" t="s">
        <v>290</v>
      </c>
      <c r="E70" t="s">
        <v>144</v>
      </c>
    </row>
    <row r="71" spans="1:5" x14ac:dyDescent="0.35">
      <c r="A71" t="s">
        <v>172</v>
      </c>
      <c r="B71" t="s">
        <v>313</v>
      </c>
      <c r="C71" t="s">
        <v>649</v>
      </c>
      <c r="D71" t="s">
        <v>478</v>
      </c>
      <c r="E71" t="s">
        <v>725</v>
      </c>
    </row>
    <row r="72" spans="1:5" x14ac:dyDescent="0.35">
      <c r="A72" t="s">
        <v>256</v>
      </c>
      <c r="B72" t="s">
        <v>400</v>
      </c>
      <c r="C72" t="s">
        <v>353</v>
      </c>
      <c r="D72" t="s">
        <v>367</v>
      </c>
      <c r="E72" t="s">
        <v>82</v>
      </c>
    </row>
    <row r="73" spans="1:5" x14ac:dyDescent="0.35">
      <c r="A73" t="s">
        <v>657</v>
      </c>
      <c r="B73" t="s">
        <v>400</v>
      </c>
      <c r="C73" t="s">
        <v>353</v>
      </c>
      <c r="D73" t="s">
        <v>514</v>
      </c>
      <c r="E73" t="s">
        <v>516</v>
      </c>
    </row>
    <row r="74" spans="1:5" x14ac:dyDescent="0.35">
      <c r="A74" t="s">
        <v>102</v>
      </c>
      <c r="B74" t="s">
        <v>313</v>
      </c>
      <c r="D74" t="s">
        <v>244</v>
      </c>
      <c r="E74" t="s">
        <v>159</v>
      </c>
    </row>
    <row r="75" spans="1:5" x14ac:dyDescent="0.35">
      <c r="A75" t="s">
        <v>704</v>
      </c>
      <c r="D75" t="s">
        <v>298</v>
      </c>
      <c r="E75" t="s">
        <v>42</v>
      </c>
    </row>
    <row r="76" spans="1:5" x14ac:dyDescent="0.35">
      <c r="A76" t="s">
        <v>359</v>
      </c>
      <c r="D76" t="s">
        <v>57</v>
      </c>
      <c r="E76" t="s">
        <v>222</v>
      </c>
    </row>
    <row r="77" spans="1:5" x14ac:dyDescent="0.35">
      <c r="A77" t="s">
        <v>27</v>
      </c>
      <c r="B77" t="s">
        <v>400</v>
      </c>
      <c r="C77" t="s">
        <v>353</v>
      </c>
      <c r="D77" t="s">
        <v>253</v>
      </c>
      <c r="E77" t="s">
        <v>54</v>
      </c>
    </row>
    <row r="78" spans="1:5" x14ac:dyDescent="0.35">
      <c r="A78" t="s">
        <v>392</v>
      </c>
      <c r="B78" t="s">
        <v>490</v>
      </c>
      <c r="C78" t="s">
        <v>166</v>
      </c>
      <c r="E78" t="s">
        <v>149</v>
      </c>
    </row>
    <row r="79" spans="1:5" x14ac:dyDescent="0.35">
      <c r="A79" t="s">
        <v>626</v>
      </c>
      <c r="B79" t="s">
        <v>400</v>
      </c>
      <c r="C79" t="s">
        <v>353</v>
      </c>
      <c r="D79" t="s">
        <v>621</v>
      </c>
      <c r="E79" t="s">
        <v>381</v>
      </c>
    </row>
    <row r="80" spans="1:5" x14ac:dyDescent="0.35">
      <c r="A80" t="s">
        <v>473</v>
      </c>
      <c r="B80" t="s">
        <v>400</v>
      </c>
      <c r="C80" t="s">
        <v>353</v>
      </c>
      <c r="E80" t="s">
        <v>345</v>
      </c>
    </row>
    <row r="81" spans="1:5" x14ac:dyDescent="0.35">
      <c r="A81" t="s">
        <v>286</v>
      </c>
      <c r="B81" t="s">
        <v>490</v>
      </c>
      <c r="C81" t="s">
        <v>374</v>
      </c>
      <c r="D81" t="s">
        <v>540</v>
      </c>
      <c r="E81" t="s">
        <v>389</v>
      </c>
    </row>
    <row r="82" spans="1:5" x14ac:dyDescent="0.35">
      <c r="A82" t="s">
        <v>373</v>
      </c>
      <c r="B82" t="s">
        <v>313</v>
      </c>
      <c r="C82" t="s">
        <v>166</v>
      </c>
      <c r="E82" t="s">
        <v>501</v>
      </c>
    </row>
    <row r="83" spans="1:5" x14ac:dyDescent="0.35">
      <c r="A83" t="s">
        <v>587</v>
      </c>
      <c r="B83" t="s">
        <v>400</v>
      </c>
      <c r="C83" t="s">
        <v>353</v>
      </c>
      <c r="E83" t="s">
        <v>669</v>
      </c>
    </row>
    <row r="84" spans="1:5" x14ac:dyDescent="0.35">
      <c r="A84" t="s">
        <v>468</v>
      </c>
      <c r="B84" t="s">
        <v>400</v>
      </c>
      <c r="C84" t="s">
        <v>166</v>
      </c>
      <c r="D84" t="s">
        <v>570</v>
      </c>
      <c r="E84" t="s">
        <v>620</v>
      </c>
    </row>
    <row r="85" spans="1:5" x14ac:dyDescent="0.35">
      <c r="A85" t="s">
        <v>551</v>
      </c>
      <c r="B85" t="s">
        <v>313</v>
      </c>
      <c r="C85" t="s">
        <v>374</v>
      </c>
      <c r="D85" t="s">
        <v>708</v>
      </c>
      <c r="E85" t="s">
        <v>170</v>
      </c>
    </row>
    <row r="86" spans="1:5" x14ac:dyDescent="0.35">
      <c r="A86" t="s">
        <v>683</v>
      </c>
      <c r="B86" t="s">
        <v>400</v>
      </c>
      <c r="C86" t="s">
        <v>353</v>
      </c>
      <c r="D86" t="s">
        <v>483</v>
      </c>
      <c r="E86" t="s">
        <v>132</v>
      </c>
    </row>
    <row r="87" spans="1:5" x14ac:dyDescent="0.35">
      <c r="A87" t="s">
        <v>571</v>
      </c>
      <c r="B87" t="s">
        <v>313</v>
      </c>
      <c r="C87" t="s">
        <v>374</v>
      </c>
      <c r="E87" t="s">
        <v>576</v>
      </c>
    </row>
    <row r="88" spans="1:5" x14ac:dyDescent="0.35">
      <c r="A88" t="s">
        <v>86</v>
      </c>
      <c r="B88" t="s">
        <v>313</v>
      </c>
      <c r="C88" t="s">
        <v>649</v>
      </c>
      <c r="E88" t="s">
        <v>26</v>
      </c>
    </row>
    <row r="89" spans="1:5" x14ac:dyDescent="0.35">
      <c r="A89" t="s">
        <v>163</v>
      </c>
      <c r="B89" t="s">
        <v>313</v>
      </c>
      <c r="C89" t="s">
        <v>649</v>
      </c>
      <c r="E89" t="s">
        <v>581</v>
      </c>
    </row>
    <row r="90" spans="1:5" x14ac:dyDescent="0.35">
      <c r="A90" t="s">
        <v>234</v>
      </c>
      <c r="B90" t="s">
        <v>313</v>
      </c>
      <c r="C90" t="s">
        <v>166</v>
      </c>
      <c r="E90" t="s">
        <v>645</v>
      </c>
    </row>
    <row r="91" spans="1:5" x14ac:dyDescent="0.35">
      <c r="A91" t="s">
        <v>545</v>
      </c>
      <c r="B91" t="s">
        <v>400</v>
      </c>
      <c r="C91" t="s">
        <v>353</v>
      </c>
      <c r="D91" t="s">
        <v>426</v>
      </c>
      <c r="E91" t="s">
        <v>691</v>
      </c>
    </row>
    <row r="92" spans="1:5" x14ac:dyDescent="0.35">
      <c r="A92" t="s">
        <v>599</v>
      </c>
      <c r="B92" t="s">
        <v>605</v>
      </c>
      <c r="C92" t="s">
        <v>166</v>
      </c>
      <c r="E92" t="s">
        <v>76</v>
      </c>
    </row>
    <row r="93" spans="1:5" x14ac:dyDescent="0.35">
      <c r="A93" t="s">
        <v>663</v>
      </c>
      <c r="B93" t="s">
        <v>400</v>
      </c>
      <c r="C93" t="s">
        <v>353</v>
      </c>
      <c r="E93" t="s">
        <v>526</v>
      </c>
    </row>
    <row r="94" spans="1:5" x14ac:dyDescent="0.35">
      <c r="A94" t="s">
        <v>140</v>
      </c>
      <c r="B94" t="s">
        <v>605</v>
      </c>
      <c r="C94" t="s">
        <v>166</v>
      </c>
      <c r="D94" t="s">
        <v>108</v>
      </c>
      <c r="E94" t="s">
        <v>268</v>
      </c>
    </row>
    <row r="95" spans="1:5" x14ac:dyDescent="0.35">
      <c r="A95" t="s">
        <v>41</v>
      </c>
      <c r="B95" t="s">
        <v>490</v>
      </c>
      <c r="C95" t="s">
        <v>353</v>
      </c>
      <c r="E95" t="s">
        <v>735</v>
      </c>
    </row>
    <row r="96" spans="1:5" x14ac:dyDescent="0.35">
      <c r="A96" t="s">
        <v>533</v>
      </c>
      <c r="B96" t="s">
        <v>605</v>
      </c>
      <c r="C96" t="s">
        <v>353</v>
      </c>
      <c r="E96" t="s">
        <v>365</v>
      </c>
    </row>
    <row r="97" spans="1:5" x14ac:dyDescent="0.35">
      <c r="A97" t="s">
        <v>534</v>
      </c>
      <c r="D97" t="s">
        <v>156</v>
      </c>
      <c r="E97" t="s">
        <v>353</v>
      </c>
    </row>
    <row r="98" spans="1:5" x14ac:dyDescent="0.35">
      <c r="A98" t="s">
        <v>342</v>
      </c>
      <c r="B98" t="s">
        <v>490</v>
      </c>
      <c r="C98" t="s">
        <v>353</v>
      </c>
      <c r="D98" t="s">
        <v>732</v>
      </c>
      <c r="E98" t="s">
        <v>274</v>
      </c>
    </row>
    <row r="99" spans="1:5" x14ac:dyDescent="0.35">
      <c r="A99" t="s">
        <v>65</v>
      </c>
      <c r="B99" t="s">
        <v>605</v>
      </c>
      <c r="C99" t="s">
        <v>374</v>
      </c>
      <c r="D99" t="s">
        <v>174</v>
      </c>
      <c r="E99" t="s">
        <v>552</v>
      </c>
    </row>
    <row r="100" spans="1:5" x14ac:dyDescent="0.35">
      <c r="A100" t="s">
        <v>160</v>
      </c>
      <c r="D100" t="s">
        <v>627</v>
      </c>
      <c r="E100" t="s">
        <v>684</v>
      </c>
    </row>
    <row r="101" spans="1:5" x14ac:dyDescent="0.35">
      <c r="A101" t="s">
        <v>625</v>
      </c>
      <c r="B101" t="s">
        <v>400</v>
      </c>
      <c r="C101" t="s">
        <v>353</v>
      </c>
      <c r="D101" t="s">
        <v>130</v>
      </c>
      <c r="E101" t="s">
        <v>521</v>
      </c>
    </row>
    <row r="102" spans="1:5" x14ac:dyDescent="0.35">
      <c r="A102" t="s">
        <v>93</v>
      </c>
      <c r="B102" t="s">
        <v>605</v>
      </c>
      <c r="C102" t="s">
        <v>374</v>
      </c>
      <c r="D102" t="s">
        <v>562</v>
      </c>
      <c r="E102" t="s">
        <v>5</v>
      </c>
    </row>
    <row r="103" spans="1:5" x14ac:dyDescent="0.35">
      <c r="A103" t="s">
        <v>637</v>
      </c>
      <c r="B103" t="s">
        <v>400</v>
      </c>
      <c r="C103" t="s">
        <v>353</v>
      </c>
      <c r="E103" t="s">
        <v>53</v>
      </c>
    </row>
    <row r="104" spans="1:5" x14ac:dyDescent="0.35">
      <c r="A104" t="s">
        <v>145</v>
      </c>
      <c r="D104" t="s">
        <v>377</v>
      </c>
      <c r="E104" t="s">
        <v>716</v>
      </c>
    </row>
    <row r="105" spans="1:5" x14ac:dyDescent="0.35">
      <c r="A105" t="s">
        <v>278</v>
      </c>
      <c r="D105" t="s">
        <v>13</v>
      </c>
      <c r="E105" t="s">
        <v>80</v>
      </c>
    </row>
    <row r="106" spans="1:5" x14ac:dyDescent="0.35">
      <c r="A106" t="s">
        <v>549</v>
      </c>
      <c r="D106" t="s">
        <v>254</v>
      </c>
      <c r="E106" t="s">
        <v>737</v>
      </c>
    </row>
    <row r="107" spans="1:5" x14ac:dyDescent="0.35">
      <c r="A107" t="s">
        <v>1</v>
      </c>
      <c r="D107" t="s">
        <v>451</v>
      </c>
      <c r="E107" t="s">
        <v>503</v>
      </c>
    </row>
    <row r="108" spans="1:5" x14ac:dyDescent="0.35">
      <c r="A108" t="s">
        <v>479</v>
      </c>
      <c r="B108" t="s">
        <v>490</v>
      </c>
      <c r="C108" t="s">
        <v>166</v>
      </c>
      <c r="D108" t="s">
        <v>118</v>
      </c>
      <c r="E108" t="s">
        <v>472</v>
      </c>
    </row>
    <row r="109" spans="1:5" x14ac:dyDescent="0.35">
      <c r="A109" t="s">
        <v>675</v>
      </c>
      <c r="D109" t="s">
        <v>243</v>
      </c>
      <c r="E109" t="s">
        <v>731</v>
      </c>
    </row>
    <row r="110" spans="1:5" x14ac:dyDescent="0.35">
      <c r="A110" t="s">
        <v>117</v>
      </c>
      <c r="B110" t="s">
        <v>400</v>
      </c>
      <c r="C110" t="s">
        <v>353</v>
      </c>
      <c r="D110" t="s">
        <v>616</v>
      </c>
      <c r="E110" t="s">
        <v>303</v>
      </c>
    </row>
    <row r="111" spans="1:5" x14ac:dyDescent="0.35">
      <c r="A111" t="s">
        <v>596</v>
      </c>
      <c r="B111" t="s">
        <v>90</v>
      </c>
      <c r="C111" t="s">
        <v>374</v>
      </c>
      <c r="D111" t="s">
        <v>401</v>
      </c>
      <c r="E111" t="s">
        <v>208</v>
      </c>
    </row>
    <row r="112" spans="1:5" x14ac:dyDescent="0.35">
      <c r="A112" t="s">
        <v>58</v>
      </c>
      <c r="B112" t="s">
        <v>400</v>
      </c>
      <c r="C112" t="s">
        <v>353</v>
      </c>
      <c r="D112" t="s">
        <v>92</v>
      </c>
      <c r="E112" t="s">
        <v>106</v>
      </c>
    </row>
    <row r="113" spans="1:5" x14ac:dyDescent="0.35">
      <c r="A113" t="s">
        <v>182</v>
      </c>
      <c r="B113" t="s">
        <v>134</v>
      </c>
      <c r="C113" t="s">
        <v>166</v>
      </c>
      <c r="D113" t="s">
        <v>440</v>
      </c>
      <c r="E113" t="s">
        <v>420</v>
      </c>
    </row>
    <row r="114" spans="1:5" x14ac:dyDescent="0.35">
      <c r="A114" t="s">
        <v>539</v>
      </c>
      <c r="B114" t="s">
        <v>134</v>
      </c>
      <c r="C114" t="s">
        <v>166</v>
      </c>
      <c r="E114" t="s">
        <v>0</v>
      </c>
    </row>
    <row r="115" spans="1:5" x14ac:dyDescent="0.35">
      <c r="A115" t="s">
        <v>146</v>
      </c>
      <c r="B115" t="s">
        <v>400</v>
      </c>
      <c r="C115" t="s">
        <v>353</v>
      </c>
      <c r="E115" t="s">
        <v>29</v>
      </c>
    </row>
    <row r="116" spans="1:5" x14ac:dyDescent="0.35">
      <c r="A116" t="s">
        <v>671</v>
      </c>
      <c r="B116" t="s">
        <v>134</v>
      </c>
      <c r="C116" t="s">
        <v>353</v>
      </c>
      <c r="E116" t="s">
        <v>486</v>
      </c>
    </row>
    <row r="117" spans="1:5" x14ac:dyDescent="0.35">
      <c r="A117" t="s">
        <v>565</v>
      </c>
      <c r="B117" t="s">
        <v>400</v>
      </c>
      <c r="C117" t="s">
        <v>353</v>
      </c>
      <c r="D117" t="s">
        <v>40</v>
      </c>
      <c r="E117" t="s">
        <v>175</v>
      </c>
    </row>
    <row r="118" spans="1:5" x14ac:dyDescent="0.35">
      <c r="A118" t="s">
        <v>702</v>
      </c>
      <c r="B118" t="s">
        <v>605</v>
      </c>
      <c r="C118" t="s">
        <v>166</v>
      </c>
      <c r="E118" t="s">
        <v>127</v>
      </c>
    </row>
    <row r="119" spans="1:5" x14ac:dyDescent="0.35">
      <c r="A119" t="s">
        <v>311</v>
      </c>
      <c r="B119" t="s">
        <v>134</v>
      </c>
      <c r="C119" t="s">
        <v>374</v>
      </c>
      <c r="E119" t="s">
        <v>575</v>
      </c>
    </row>
    <row r="120" spans="1:5" x14ac:dyDescent="0.35">
      <c r="A120" t="s">
        <v>566</v>
      </c>
      <c r="B120" t="s">
        <v>490</v>
      </c>
      <c r="C120" t="s">
        <v>353</v>
      </c>
      <c r="D120" t="s">
        <v>425</v>
      </c>
      <c r="E120" t="s">
        <v>734</v>
      </c>
    </row>
    <row r="121" spans="1:5" x14ac:dyDescent="0.35">
      <c r="A121" t="s">
        <v>292</v>
      </c>
      <c r="B121" t="s">
        <v>400</v>
      </c>
      <c r="C121" t="s">
        <v>166</v>
      </c>
      <c r="E121" t="s">
        <v>84</v>
      </c>
    </row>
    <row r="122" spans="1:5" x14ac:dyDescent="0.35">
      <c r="A122" t="s">
        <v>696</v>
      </c>
      <c r="B122" t="s">
        <v>313</v>
      </c>
      <c r="C122" t="s">
        <v>374</v>
      </c>
      <c r="D122" t="s">
        <v>682</v>
      </c>
      <c r="E122" t="s">
        <v>739</v>
      </c>
    </row>
    <row r="123" spans="1:5" x14ac:dyDescent="0.35">
      <c r="A123" t="s">
        <v>423</v>
      </c>
      <c r="B123" t="s">
        <v>400</v>
      </c>
      <c r="C123" t="s">
        <v>374</v>
      </c>
      <c r="E123" t="s">
        <v>470</v>
      </c>
    </row>
    <row r="124" spans="1:5" x14ac:dyDescent="0.35">
      <c r="A124" t="s">
        <v>709</v>
      </c>
      <c r="B124" t="s">
        <v>490</v>
      </c>
      <c r="C124" t="s">
        <v>374</v>
      </c>
      <c r="D124" t="s">
        <v>235</v>
      </c>
      <c r="E124" t="s">
        <v>674</v>
      </c>
    </row>
    <row r="125" spans="1:5" x14ac:dyDescent="0.35">
      <c r="A125" t="s">
        <v>527</v>
      </c>
      <c r="B125" t="s">
        <v>490</v>
      </c>
      <c r="C125" t="s">
        <v>374</v>
      </c>
      <c r="E125" t="s">
        <v>635</v>
      </c>
    </row>
    <row r="126" spans="1:5" x14ac:dyDescent="0.35">
      <c r="A126" t="s">
        <v>393</v>
      </c>
      <c r="B126" t="s">
        <v>605</v>
      </c>
      <c r="C126" t="s">
        <v>353</v>
      </c>
      <c r="E126" t="s">
        <v>168</v>
      </c>
    </row>
    <row r="127" spans="1:5" x14ac:dyDescent="0.35">
      <c r="A127" t="s">
        <v>667</v>
      </c>
      <c r="B127" t="s">
        <v>490</v>
      </c>
      <c r="C127" t="s">
        <v>353</v>
      </c>
      <c r="E127" t="s">
        <v>197</v>
      </c>
    </row>
    <row r="128" spans="1:5" x14ac:dyDescent="0.35">
      <c r="A128" t="s">
        <v>509</v>
      </c>
      <c r="B128" t="s">
        <v>134</v>
      </c>
      <c r="C128" t="s">
        <v>353</v>
      </c>
      <c r="E128" t="s">
        <v>724</v>
      </c>
    </row>
    <row r="129" spans="1:5" x14ac:dyDescent="0.35">
      <c r="A129" t="s">
        <v>522</v>
      </c>
      <c r="E129" t="s">
        <v>287</v>
      </c>
    </row>
    <row r="130" spans="1:5" x14ac:dyDescent="0.35">
      <c r="A130" t="s">
        <v>245</v>
      </c>
      <c r="B130" t="s">
        <v>490</v>
      </c>
      <c r="C130" t="s">
        <v>374</v>
      </c>
      <c r="D130" t="s">
        <v>242</v>
      </c>
      <c r="E130" t="s">
        <v>574</v>
      </c>
    </row>
    <row r="131" spans="1:5" x14ac:dyDescent="0.35">
      <c r="A131" t="s">
        <v>264</v>
      </c>
      <c r="B131" t="s">
        <v>134</v>
      </c>
      <c r="C131" t="s">
        <v>374</v>
      </c>
      <c r="D131" t="s">
        <v>209</v>
      </c>
      <c r="E131" t="s">
        <v>446</v>
      </c>
    </row>
    <row r="132" spans="1:5" x14ac:dyDescent="0.35">
      <c r="A132" t="s">
        <v>662</v>
      </c>
      <c r="B132" t="s">
        <v>313</v>
      </c>
      <c r="C132" t="s">
        <v>649</v>
      </c>
      <c r="D132" t="s">
        <v>206</v>
      </c>
      <c r="E132" t="s">
        <v>248</v>
      </c>
    </row>
    <row r="133" spans="1:5" x14ac:dyDescent="0.35">
      <c r="A133" t="s">
        <v>666</v>
      </c>
      <c r="B133" t="s">
        <v>134</v>
      </c>
      <c r="C133" t="s">
        <v>166</v>
      </c>
      <c r="E133" t="s">
        <v>555</v>
      </c>
    </row>
    <row r="134" spans="1:5" x14ac:dyDescent="0.35">
      <c r="A134" t="s">
        <v>383</v>
      </c>
      <c r="B134" t="s">
        <v>605</v>
      </c>
      <c r="C134" t="s">
        <v>166</v>
      </c>
      <c r="E134" t="s">
        <v>515</v>
      </c>
    </row>
    <row r="135" spans="1:5" x14ac:dyDescent="0.35">
      <c r="A135" t="s">
        <v>178</v>
      </c>
      <c r="E135" t="s">
        <v>605</v>
      </c>
    </row>
    <row r="136" spans="1:5" x14ac:dyDescent="0.35">
      <c r="A136" t="s">
        <v>589</v>
      </c>
      <c r="E136" t="s">
        <v>284</v>
      </c>
    </row>
    <row r="137" spans="1:5" x14ac:dyDescent="0.35">
      <c r="A137" t="s">
        <v>70</v>
      </c>
      <c r="D137" t="s">
        <v>96</v>
      </c>
      <c r="E137" t="s">
        <v>649</v>
      </c>
    </row>
    <row r="138" spans="1:5" x14ac:dyDescent="0.35">
      <c r="A138" t="s">
        <v>356</v>
      </c>
      <c r="B138" t="s">
        <v>400</v>
      </c>
      <c r="C138" t="s">
        <v>353</v>
      </c>
      <c r="E138" t="s">
        <v>615</v>
      </c>
    </row>
    <row r="139" spans="1:5" x14ac:dyDescent="0.35">
      <c r="A139" t="s">
        <v>687</v>
      </c>
      <c r="B139" t="s">
        <v>90</v>
      </c>
      <c r="C139" t="s">
        <v>374</v>
      </c>
      <c r="E139" t="s">
        <v>3</v>
      </c>
    </row>
    <row r="140" spans="1:5" x14ac:dyDescent="0.35">
      <c r="A140" t="s">
        <v>225</v>
      </c>
      <c r="D140" t="s">
        <v>369</v>
      </c>
      <c r="E140" t="s">
        <v>374</v>
      </c>
    </row>
    <row r="141" spans="1:5" x14ac:dyDescent="0.35">
      <c r="A141" t="s">
        <v>306</v>
      </c>
      <c r="D141" t="s">
        <v>153</v>
      </c>
      <c r="E141" t="s">
        <v>329</v>
      </c>
    </row>
    <row r="142" spans="1:5" x14ac:dyDescent="0.35">
      <c r="A142" t="s">
        <v>259</v>
      </c>
      <c r="B142" t="s">
        <v>313</v>
      </c>
      <c r="C142" t="s">
        <v>374</v>
      </c>
      <c r="D142" t="s">
        <v>425</v>
      </c>
      <c r="E142" t="s">
        <v>502</v>
      </c>
    </row>
    <row r="143" spans="1:5" x14ac:dyDescent="0.35">
      <c r="A143" t="s">
        <v>722</v>
      </c>
      <c r="D143" t="s">
        <v>711</v>
      </c>
      <c r="E143" t="s">
        <v>416</v>
      </c>
    </row>
    <row r="144" spans="1:5" x14ac:dyDescent="0.35">
      <c r="A144" t="s">
        <v>114</v>
      </c>
      <c r="B144" t="s">
        <v>400</v>
      </c>
      <c r="C144" t="s">
        <v>353</v>
      </c>
      <c r="D144" t="s">
        <v>325</v>
      </c>
      <c r="E144" t="s">
        <v>424</v>
      </c>
    </row>
    <row r="145" spans="1:5" x14ac:dyDescent="0.35">
      <c r="A145" t="s">
        <v>546</v>
      </c>
      <c r="B145" t="s">
        <v>400</v>
      </c>
      <c r="C145" t="s">
        <v>353</v>
      </c>
      <c r="D145" t="s">
        <v>366</v>
      </c>
      <c r="E145" t="s">
        <v>301</v>
      </c>
    </row>
    <row r="146" spans="1:5" x14ac:dyDescent="0.35">
      <c r="A146" t="s">
        <v>471</v>
      </c>
      <c r="B146" t="s">
        <v>400</v>
      </c>
      <c r="C146" t="s">
        <v>353</v>
      </c>
      <c r="D146" t="s">
        <v>348</v>
      </c>
      <c r="E146" t="s">
        <v>277</v>
      </c>
    </row>
    <row r="147" spans="1:5" x14ac:dyDescent="0.35">
      <c r="A147" t="s">
        <v>307</v>
      </c>
      <c r="B147" t="s">
        <v>490</v>
      </c>
      <c r="C147" t="s">
        <v>353</v>
      </c>
      <c r="D147" t="s">
        <v>74</v>
      </c>
      <c r="E147" t="s">
        <v>578</v>
      </c>
    </row>
    <row r="148" spans="1:5" x14ac:dyDescent="0.35">
      <c r="A148" t="s">
        <v>475</v>
      </c>
      <c r="B148" t="s">
        <v>605</v>
      </c>
      <c r="C148" t="s">
        <v>353</v>
      </c>
      <c r="E148" t="s">
        <v>406</v>
      </c>
    </row>
    <row r="149" spans="1:5" x14ac:dyDescent="0.35">
      <c r="A149" t="s">
        <v>205</v>
      </c>
      <c r="B149" t="s">
        <v>134</v>
      </c>
      <c r="C149" t="s">
        <v>374</v>
      </c>
      <c r="E149" t="s">
        <v>37</v>
      </c>
    </row>
    <row r="150" spans="1:5" x14ac:dyDescent="0.35">
      <c r="A150" t="s">
        <v>6</v>
      </c>
      <c r="B150" t="s">
        <v>400</v>
      </c>
      <c r="C150" t="s">
        <v>353</v>
      </c>
      <c r="E150" t="s">
        <v>414</v>
      </c>
    </row>
    <row r="151" spans="1:5" x14ac:dyDescent="0.35">
      <c r="A151" t="s">
        <v>88</v>
      </c>
      <c r="B151" t="s">
        <v>400</v>
      </c>
      <c r="C151" t="s">
        <v>166</v>
      </c>
      <c r="D151" t="s">
        <v>386</v>
      </c>
      <c r="E151" t="s">
        <v>484</v>
      </c>
    </row>
    <row r="152" spans="1:5" x14ac:dyDescent="0.35">
      <c r="A152" t="s">
        <v>17</v>
      </c>
      <c r="B152" t="s">
        <v>313</v>
      </c>
      <c r="C152" t="s">
        <v>649</v>
      </c>
      <c r="E152" t="s">
        <v>427</v>
      </c>
    </row>
    <row r="153" spans="1:5" x14ac:dyDescent="0.35">
      <c r="A153" t="s">
        <v>97</v>
      </c>
      <c r="B153" t="s">
        <v>90</v>
      </c>
      <c r="C153" t="s">
        <v>166</v>
      </c>
      <c r="E153" t="s">
        <v>228</v>
      </c>
    </row>
    <row r="154" spans="1:5" x14ac:dyDescent="0.35">
      <c r="A154" t="s">
        <v>164</v>
      </c>
      <c r="D154" t="s">
        <v>202</v>
      </c>
      <c r="E154" t="s">
        <v>583</v>
      </c>
    </row>
    <row r="155" spans="1:5" x14ac:dyDescent="0.35">
      <c r="A155" t="s">
        <v>310</v>
      </c>
      <c r="B155" t="s">
        <v>605</v>
      </c>
      <c r="C155" t="s">
        <v>166</v>
      </c>
      <c r="E155" t="s">
        <v>246</v>
      </c>
    </row>
    <row r="156" spans="1:5" x14ac:dyDescent="0.35">
      <c r="A156" t="s">
        <v>641</v>
      </c>
      <c r="B156" t="s">
        <v>490</v>
      </c>
      <c r="C156" t="s">
        <v>166</v>
      </c>
      <c r="D156" t="s">
        <v>283</v>
      </c>
      <c r="E156" t="s">
        <v>707</v>
      </c>
    </row>
    <row r="157" spans="1:5" x14ac:dyDescent="0.35">
      <c r="A157" t="s">
        <v>600</v>
      </c>
      <c r="D157" t="s">
        <v>33</v>
      </c>
      <c r="E157" t="s">
        <v>458</v>
      </c>
    </row>
    <row r="158" spans="1:5" x14ac:dyDescent="0.35">
      <c r="A158" t="s">
        <v>654</v>
      </c>
      <c r="B158" t="s">
        <v>400</v>
      </c>
      <c r="C158" t="s">
        <v>166</v>
      </c>
      <c r="E158" t="s">
        <v>123</v>
      </c>
    </row>
    <row r="159" spans="1:5" x14ac:dyDescent="0.35">
      <c r="A159" t="s">
        <v>612</v>
      </c>
      <c r="B159" t="s">
        <v>313</v>
      </c>
      <c r="C159" t="s">
        <v>649</v>
      </c>
      <c r="E159" t="s">
        <v>357</v>
      </c>
    </row>
    <row r="160" spans="1:5" x14ac:dyDescent="0.35">
      <c r="A160" t="s">
        <v>119</v>
      </c>
      <c r="B160" t="s">
        <v>134</v>
      </c>
      <c r="C160" t="s">
        <v>353</v>
      </c>
      <c r="D160" t="s">
        <v>223</v>
      </c>
      <c r="E160" t="s">
        <v>407</v>
      </c>
    </row>
    <row r="161" spans="1:5" ht="409.5" x14ac:dyDescent="0.35">
      <c r="A161" t="s">
        <v>69</v>
      </c>
      <c r="B161" t="s">
        <v>490</v>
      </c>
      <c r="C161" t="s">
        <v>374</v>
      </c>
      <c r="D161" s="1" t="s">
        <v>24</v>
      </c>
      <c r="E161" t="s">
        <v>433</v>
      </c>
    </row>
    <row r="162" spans="1:5" x14ac:dyDescent="0.35">
      <c r="A162" t="s">
        <v>553</v>
      </c>
      <c r="D162" t="s">
        <v>180</v>
      </c>
      <c r="E162" t="s">
        <v>660</v>
      </c>
    </row>
    <row r="163" spans="1:5" x14ac:dyDescent="0.35">
      <c r="A163" t="s">
        <v>201</v>
      </c>
      <c r="B163" t="s">
        <v>400</v>
      </c>
      <c r="C163" t="s">
        <v>166</v>
      </c>
      <c r="D163" t="s">
        <v>215</v>
      </c>
      <c r="E163" t="s">
        <v>412</v>
      </c>
    </row>
    <row r="164" spans="1:5" x14ac:dyDescent="0.35">
      <c r="A164" t="s">
        <v>481</v>
      </c>
      <c r="B164" t="s">
        <v>490</v>
      </c>
      <c r="C164" t="s">
        <v>166</v>
      </c>
      <c r="D164" t="s">
        <v>77</v>
      </c>
      <c r="E164" t="s">
        <v>405</v>
      </c>
    </row>
    <row r="165" spans="1:5" x14ac:dyDescent="0.35">
      <c r="A165" t="s">
        <v>613</v>
      </c>
      <c r="B165" t="s">
        <v>490</v>
      </c>
      <c r="C165" t="s">
        <v>353</v>
      </c>
      <c r="E165" t="s">
        <v>184</v>
      </c>
    </row>
    <row r="166" spans="1:5" x14ac:dyDescent="0.35">
      <c r="A166" t="s">
        <v>141</v>
      </c>
      <c r="B166" t="s">
        <v>313</v>
      </c>
      <c r="C166" t="s">
        <v>649</v>
      </c>
      <c r="E166" t="s">
        <v>606</v>
      </c>
    </row>
    <row r="167" spans="1:5" x14ac:dyDescent="0.35">
      <c r="A167" t="s">
        <v>419</v>
      </c>
      <c r="B167" t="s">
        <v>313</v>
      </c>
      <c r="C167" t="s">
        <v>374</v>
      </c>
      <c r="D167" t="s">
        <v>535</v>
      </c>
      <c r="E167" t="s">
        <v>59</v>
      </c>
    </row>
    <row r="168" spans="1:5" x14ac:dyDescent="0.35">
      <c r="A168" t="s">
        <v>429</v>
      </c>
      <c r="B168" t="s">
        <v>313</v>
      </c>
      <c r="C168" t="s">
        <v>166</v>
      </c>
      <c r="E168" t="s">
        <v>52</v>
      </c>
    </row>
    <row r="169" spans="1:5" x14ac:dyDescent="0.35">
      <c r="A169" t="s">
        <v>247</v>
      </c>
      <c r="B169" t="s">
        <v>313</v>
      </c>
      <c r="C169" t="s">
        <v>649</v>
      </c>
      <c r="E169" t="s">
        <v>543</v>
      </c>
    </row>
    <row r="170" spans="1:5" x14ac:dyDescent="0.35">
      <c r="A170" t="s">
        <v>588</v>
      </c>
      <c r="B170" t="s">
        <v>490</v>
      </c>
      <c r="C170" t="s">
        <v>166</v>
      </c>
      <c r="E170" t="s">
        <v>452</v>
      </c>
    </row>
    <row r="171" spans="1:5" x14ac:dyDescent="0.35">
      <c r="A171" t="s">
        <v>664</v>
      </c>
      <c r="D171" t="s">
        <v>370</v>
      </c>
      <c r="E171" t="s">
        <v>227</v>
      </c>
    </row>
    <row r="172" spans="1:5" x14ac:dyDescent="0.35">
      <c r="A172" t="s">
        <v>270</v>
      </c>
      <c r="B172" t="s">
        <v>313</v>
      </c>
      <c r="C172" t="s">
        <v>374</v>
      </c>
      <c r="D172" t="s">
        <v>425</v>
      </c>
      <c r="E172" t="s">
        <v>157</v>
      </c>
    </row>
    <row r="173" spans="1:5" x14ac:dyDescent="0.35">
      <c r="A173" t="s">
        <v>198</v>
      </c>
      <c r="B173" t="s">
        <v>490</v>
      </c>
      <c r="C173" t="s">
        <v>353</v>
      </c>
      <c r="E173" t="s">
        <v>723</v>
      </c>
    </row>
    <row r="174" spans="1:5" x14ac:dyDescent="0.35">
      <c r="A174" t="s">
        <v>142</v>
      </c>
      <c r="B174" t="s">
        <v>313</v>
      </c>
      <c r="C174" t="s">
        <v>649</v>
      </c>
      <c r="E174" t="s">
        <v>181</v>
      </c>
    </row>
    <row r="175" spans="1:5" x14ac:dyDescent="0.35">
      <c r="A175" t="s">
        <v>685</v>
      </c>
      <c r="B175" t="s">
        <v>313</v>
      </c>
      <c r="C175" t="s">
        <v>374</v>
      </c>
      <c r="D175" t="s">
        <v>455</v>
      </c>
      <c r="E175" t="s">
        <v>304</v>
      </c>
    </row>
    <row r="176" spans="1:5" x14ac:dyDescent="0.35">
      <c r="A176" t="s">
        <v>220</v>
      </c>
      <c r="B176" t="s">
        <v>605</v>
      </c>
      <c r="C176" t="s">
        <v>374</v>
      </c>
      <c r="D176" t="s">
        <v>50</v>
      </c>
      <c r="E176" t="s">
        <v>604</v>
      </c>
    </row>
    <row r="177" spans="1:5" x14ac:dyDescent="0.35">
      <c r="A177" t="s">
        <v>517</v>
      </c>
      <c r="B177" t="s">
        <v>400</v>
      </c>
      <c r="C177" t="s">
        <v>353</v>
      </c>
      <c r="D177" t="s">
        <v>536</v>
      </c>
      <c r="E177" t="s">
        <v>14</v>
      </c>
    </row>
    <row r="178" spans="1:5" x14ac:dyDescent="0.35">
      <c r="A178" t="s">
        <v>597</v>
      </c>
      <c r="B178" t="s">
        <v>400</v>
      </c>
      <c r="C178" t="s">
        <v>353</v>
      </c>
      <c r="E178" t="s">
        <v>680</v>
      </c>
    </row>
    <row r="179" spans="1:5" x14ac:dyDescent="0.35">
      <c r="A179" t="s">
        <v>721</v>
      </c>
      <c r="B179" t="s">
        <v>90</v>
      </c>
      <c r="C179" t="s">
        <v>374</v>
      </c>
      <c r="D179" t="s">
        <v>78</v>
      </c>
      <c r="E179" t="s">
        <v>216</v>
      </c>
    </row>
    <row r="180" spans="1:5" x14ac:dyDescent="0.35">
      <c r="A180" t="s">
        <v>272</v>
      </c>
      <c r="B180" t="s">
        <v>490</v>
      </c>
      <c r="C180" t="s">
        <v>353</v>
      </c>
      <c r="D180" t="s">
        <v>276</v>
      </c>
      <c r="E180" t="s">
        <v>105</v>
      </c>
    </row>
    <row r="181" spans="1:5" x14ac:dyDescent="0.35">
      <c r="A181" t="s">
        <v>295</v>
      </c>
      <c r="B181" t="s">
        <v>490</v>
      </c>
      <c r="C181" t="s">
        <v>353</v>
      </c>
      <c r="D181" t="s">
        <v>425</v>
      </c>
      <c r="E181" t="s">
        <v>561</v>
      </c>
    </row>
    <row r="182" spans="1:5" x14ac:dyDescent="0.35">
      <c r="A182" t="s">
        <v>653</v>
      </c>
      <c r="E182" t="s">
        <v>344</v>
      </c>
    </row>
    <row r="183" spans="1:5" x14ac:dyDescent="0.35">
      <c r="A183" t="s">
        <v>567</v>
      </c>
      <c r="B183" t="s">
        <v>134</v>
      </c>
      <c r="C183" t="s">
        <v>353</v>
      </c>
      <c r="E183" t="s">
        <v>697</v>
      </c>
    </row>
    <row r="184" spans="1:5" x14ac:dyDescent="0.35">
      <c r="A184" t="s">
        <v>421</v>
      </c>
      <c r="D184" t="s">
        <v>677</v>
      </c>
      <c r="E184" t="s">
        <v>695</v>
      </c>
    </row>
    <row r="185" spans="1:5" x14ac:dyDescent="0.35">
      <c r="A185" t="s">
        <v>135</v>
      </c>
      <c r="B185" t="s">
        <v>134</v>
      </c>
      <c r="C185" t="s">
        <v>374</v>
      </c>
      <c r="D185" t="s">
        <v>276</v>
      </c>
      <c r="E185" t="s">
        <v>740</v>
      </c>
    </row>
    <row r="186" spans="1:5" x14ac:dyDescent="0.35">
      <c r="A186" t="s">
        <v>465</v>
      </c>
      <c r="B186" t="s">
        <v>605</v>
      </c>
      <c r="C186" t="s">
        <v>353</v>
      </c>
      <c r="E186" t="s">
        <v>541</v>
      </c>
    </row>
    <row r="187" spans="1:5" x14ac:dyDescent="0.35">
      <c r="A187" t="s">
        <v>296</v>
      </c>
      <c r="B187" t="s">
        <v>605</v>
      </c>
      <c r="C187" t="s">
        <v>166</v>
      </c>
      <c r="D187" t="s">
        <v>726</v>
      </c>
      <c r="E187" t="s">
        <v>495</v>
      </c>
    </row>
    <row r="188" spans="1:5" x14ac:dyDescent="0.35">
      <c r="A188" t="s">
        <v>580</v>
      </c>
      <c r="B188" t="s">
        <v>490</v>
      </c>
      <c r="C188" t="s">
        <v>374</v>
      </c>
      <c r="E188" t="s">
        <v>285</v>
      </c>
    </row>
    <row r="189" spans="1:5" x14ac:dyDescent="0.35">
      <c r="A189" t="s">
        <v>384</v>
      </c>
      <c r="B189" t="s">
        <v>490</v>
      </c>
      <c r="C189" t="s">
        <v>353</v>
      </c>
      <c r="D189" t="s">
        <v>283</v>
      </c>
      <c r="E189" t="s">
        <v>679</v>
      </c>
    </row>
    <row r="190" spans="1:5" x14ac:dyDescent="0.35">
      <c r="A190" t="s">
        <v>262</v>
      </c>
      <c r="B190" t="s">
        <v>490</v>
      </c>
      <c r="C190" t="s">
        <v>374</v>
      </c>
      <c r="E190" t="s">
        <v>454</v>
      </c>
    </row>
    <row r="191" spans="1:5" x14ac:dyDescent="0.35">
      <c r="A191" t="s">
        <v>43</v>
      </c>
      <c r="B191" t="s">
        <v>400</v>
      </c>
      <c r="C191" t="s">
        <v>353</v>
      </c>
      <c r="E191" t="s">
        <v>75</v>
      </c>
    </row>
    <row r="192" spans="1:5" x14ac:dyDescent="0.35">
      <c r="A192" t="s">
        <v>294</v>
      </c>
      <c r="D192" t="s">
        <v>4</v>
      </c>
      <c r="E192" t="s">
        <v>237</v>
      </c>
    </row>
    <row r="193" spans="1:5" x14ac:dyDescent="0.35">
      <c r="A193" t="s">
        <v>686</v>
      </c>
      <c r="B193" t="s">
        <v>605</v>
      </c>
      <c r="C193" t="s">
        <v>353</v>
      </c>
      <c r="D193" t="s">
        <v>607</v>
      </c>
      <c r="E193" t="s">
        <v>269</v>
      </c>
    </row>
    <row r="194" spans="1:5" x14ac:dyDescent="0.35">
      <c r="A194" t="s">
        <v>60</v>
      </c>
      <c r="B194" t="s">
        <v>490</v>
      </c>
      <c r="C194" t="s">
        <v>649</v>
      </c>
      <c r="E194" t="s">
        <v>525</v>
      </c>
    </row>
    <row r="195" spans="1:5" x14ac:dyDescent="0.35">
      <c r="A195" t="s">
        <v>192</v>
      </c>
      <c r="B195" t="s">
        <v>400</v>
      </c>
      <c r="C195" t="s">
        <v>353</v>
      </c>
      <c r="D195" t="s">
        <v>453</v>
      </c>
      <c r="E195" t="s">
        <v>434</v>
      </c>
    </row>
    <row r="196" spans="1:5" x14ac:dyDescent="0.35">
      <c r="A196" t="s">
        <v>72</v>
      </c>
      <c r="B196" t="s">
        <v>605</v>
      </c>
      <c r="C196" t="s">
        <v>166</v>
      </c>
      <c r="D196" t="s">
        <v>150</v>
      </c>
      <c r="E196" t="s">
        <v>494</v>
      </c>
    </row>
    <row r="197" spans="1:5" x14ac:dyDescent="0.35">
      <c r="A197" t="s">
        <v>199</v>
      </c>
      <c r="B197" t="s">
        <v>134</v>
      </c>
      <c r="C197" t="s">
        <v>374</v>
      </c>
      <c r="D197" t="s">
        <v>206</v>
      </c>
      <c r="E197" t="s">
        <v>87</v>
      </c>
    </row>
    <row r="198" spans="1:5" x14ac:dyDescent="0.35">
      <c r="A198" t="s">
        <v>210</v>
      </c>
      <c r="D198" t="s">
        <v>109</v>
      </c>
      <c r="E198" t="s">
        <v>131</v>
      </c>
    </row>
    <row r="199" spans="1:5" x14ac:dyDescent="0.35">
      <c r="A199" t="s">
        <v>280</v>
      </c>
      <c r="D199" t="s">
        <v>297</v>
      </c>
      <c r="E199" t="s">
        <v>592</v>
      </c>
    </row>
    <row r="200" spans="1:5" x14ac:dyDescent="0.35">
      <c r="A200" t="s">
        <v>577</v>
      </c>
      <c r="B200" t="s">
        <v>490</v>
      </c>
      <c r="C200" t="s">
        <v>353</v>
      </c>
      <c r="E200" t="s">
        <v>364</v>
      </c>
    </row>
    <row r="201" spans="1:5" x14ac:dyDescent="0.35">
      <c r="A201" t="s">
        <v>25</v>
      </c>
      <c r="B201" t="s">
        <v>134</v>
      </c>
      <c r="C201" t="s">
        <v>353</v>
      </c>
      <c r="E201" t="s">
        <v>614</v>
      </c>
    </row>
    <row r="202" spans="1:5" x14ac:dyDescent="0.35">
      <c r="A202" t="s">
        <v>333</v>
      </c>
      <c r="B202" t="s">
        <v>400</v>
      </c>
      <c r="C202" t="s">
        <v>353</v>
      </c>
      <c r="D202" t="s">
        <v>710</v>
      </c>
      <c r="E202" t="s">
        <v>554</v>
      </c>
    </row>
    <row r="203" spans="1:5" x14ac:dyDescent="0.35">
      <c r="A203" t="s">
        <v>355</v>
      </c>
      <c r="B203" t="s">
        <v>400</v>
      </c>
      <c r="C203" t="s">
        <v>353</v>
      </c>
      <c r="E203" t="s">
        <v>2</v>
      </c>
    </row>
    <row r="204" spans="1:5" x14ac:dyDescent="0.35">
      <c r="A204" t="s">
        <v>94</v>
      </c>
      <c r="B204" t="s">
        <v>313</v>
      </c>
      <c r="C204" t="s">
        <v>649</v>
      </c>
      <c r="E204" t="s">
        <v>273</v>
      </c>
    </row>
    <row r="205" spans="1:5" x14ac:dyDescent="0.35">
      <c r="A205" t="s">
        <v>126</v>
      </c>
      <c r="D205" t="s">
        <v>36</v>
      </c>
      <c r="E205" t="s">
        <v>90</v>
      </c>
    </row>
    <row r="206" spans="1:5" x14ac:dyDescent="0.35">
      <c r="A206" t="s">
        <v>249</v>
      </c>
      <c r="B206" t="s">
        <v>134</v>
      </c>
      <c r="C206" t="s">
        <v>353</v>
      </c>
      <c r="E206" t="s">
        <v>480</v>
      </c>
    </row>
    <row r="207" spans="1:5" x14ac:dyDescent="0.35">
      <c r="A207" t="s">
        <v>466</v>
      </c>
      <c r="B207" t="s">
        <v>313</v>
      </c>
      <c r="C207" t="s">
        <v>649</v>
      </c>
      <c r="D207" t="s">
        <v>438</v>
      </c>
      <c r="E207" t="s">
        <v>232</v>
      </c>
    </row>
    <row r="208" spans="1:5" x14ac:dyDescent="0.35">
      <c r="A208" t="s">
        <v>560</v>
      </c>
      <c r="B208" t="s">
        <v>313</v>
      </c>
      <c r="C208" t="s">
        <v>374</v>
      </c>
      <c r="E208" t="s">
        <v>35</v>
      </c>
    </row>
    <row r="209" spans="1:5" x14ac:dyDescent="0.35">
      <c r="A209" t="s">
        <v>83</v>
      </c>
      <c r="B209" t="s">
        <v>490</v>
      </c>
      <c r="C209" t="s">
        <v>353</v>
      </c>
      <c r="D209" t="s">
        <v>425</v>
      </c>
      <c r="E209" t="s">
        <v>508</v>
      </c>
    </row>
    <row r="210" spans="1:5" x14ac:dyDescent="0.35">
      <c r="A210" t="s">
        <v>316</v>
      </c>
      <c r="B210" t="s">
        <v>490</v>
      </c>
      <c r="C210" t="s">
        <v>374</v>
      </c>
      <c r="E210" t="s">
        <v>101</v>
      </c>
    </row>
    <row r="211" spans="1:5" x14ac:dyDescent="0.35">
      <c r="A211" t="s">
        <v>644</v>
      </c>
      <c r="B211" t="s">
        <v>313</v>
      </c>
      <c r="C211" t="s">
        <v>649</v>
      </c>
      <c r="E211" t="s">
        <v>703</v>
      </c>
    </row>
    <row r="212" spans="1:5" x14ac:dyDescent="0.35">
      <c r="A212" t="s">
        <v>95</v>
      </c>
      <c r="B212" t="s">
        <v>605</v>
      </c>
      <c r="C212" t="s">
        <v>166</v>
      </c>
      <c r="E212" t="s">
        <v>573</v>
      </c>
    </row>
    <row r="213" spans="1:5" x14ac:dyDescent="0.35">
      <c r="A213" t="s">
        <v>519</v>
      </c>
      <c r="B213" t="s">
        <v>400</v>
      </c>
      <c r="C213" t="s">
        <v>353</v>
      </c>
      <c r="E213" t="s">
        <v>457</v>
      </c>
    </row>
    <row r="214" spans="1:5" x14ac:dyDescent="0.35">
      <c r="A214" t="s">
        <v>32</v>
      </c>
      <c r="B214" t="s">
        <v>313</v>
      </c>
      <c r="C214" t="s">
        <v>649</v>
      </c>
      <c r="D214" t="s">
        <v>736</v>
      </c>
      <c r="E214" t="s">
        <v>352</v>
      </c>
    </row>
    <row r="215" spans="1:5" x14ac:dyDescent="0.35">
      <c r="A215" t="s">
        <v>445</v>
      </c>
      <c r="B215" t="s">
        <v>400</v>
      </c>
      <c r="C215" t="s">
        <v>166</v>
      </c>
      <c r="D215" t="s">
        <v>538</v>
      </c>
      <c r="E215" t="s">
        <v>321</v>
      </c>
    </row>
    <row r="216" spans="1:5" x14ac:dyDescent="0.35">
      <c r="A216" t="s">
        <v>460</v>
      </c>
      <c r="E216" t="s">
        <v>61</v>
      </c>
    </row>
    <row r="217" spans="1:5" x14ac:dyDescent="0.35">
      <c r="A217" t="s">
        <v>64</v>
      </c>
      <c r="B217" t="s">
        <v>313</v>
      </c>
      <c r="C217" t="s">
        <v>649</v>
      </c>
      <c r="D217" t="s">
        <v>276</v>
      </c>
      <c r="E217" t="s">
        <v>288</v>
      </c>
    </row>
    <row r="218" spans="1:5" x14ac:dyDescent="0.35">
      <c r="A218" t="s">
        <v>187</v>
      </c>
      <c r="D218" t="s">
        <v>382</v>
      </c>
      <c r="E218" t="s">
        <v>313</v>
      </c>
    </row>
    <row r="219" spans="1:5" x14ac:dyDescent="0.35">
      <c r="A219" t="s">
        <v>196</v>
      </c>
      <c r="D219" t="s">
        <v>113</v>
      </c>
      <c r="E219" t="s">
        <v>44</v>
      </c>
    </row>
    <row r="220" spans="1:5" x14ac:dyDescent="0.35">
      <c r="A220" t="s">
        <v>449</v>
      </c>
      <c r="B220" t="s">
        <v>313</v>
      </c>
      <c r="C220" t="s">
        <v>374</v>
      </c>
      <c r="D220" t="s">
        <v>601</v>
      </c>
      <c r="E220" t="s">
        <v>431</v>
      </c>
    </row>
    <row r="221" spans="1:5" x14ac:dyDescent="0.35">
      <c r="A221" t="s">
        <v>68</v>
      </c>
      <c r="B221" t="s">
        <v>605</v>
      </c>
      <c r="C221" t="s">
        <v>166</v>
      </c>
      <c r="D221" t="s">
        <v>165</v>
      </c>
      <c r="E221" t="s">
        <v>512</v>
      </c>
    </row>
    <row r="222" spans="1:5" x14ac:dyDescent="0.35">
      <c r="A222" t="s">
        <v>151</v>
      </c>
      <c r="B222" t="s">
        <v>400</v>
      </c>
      <c r="C222" t="s">
        <v>353</v>
      </c>
      <c r="D222" t="s">
        <v>623</v>
      </c>
      <c r="E222" t="s">
        <v>387</v>
      </c>
    </row>
    <row r="223" spans="1:5" x14ac:dyDescent="0.35">
      <c r="A223" t="s">
        <v>335</v>
      </c>
      <c r="B223" t="s">
        <v>400</v>
      </c>
      <c r="C223" t="s">
        <v>353</v>
      </c>
      <c r="D223" t="s">
        <v>430</v>
      </c>
      <c r="E223" t="s">
        <v>378</v>
      </c>
    </row>
    <row r="224" spans="1:5" x14ac:dyDescent="0.35">
      <c r="A224" t="s">
        <v>291</v>
      </c>
      <c r="B224" t="s">
        <v>400</v>
      </c>
      <c r="C224" t="s">
        <v>353</v>
      </c>
      <c r="D224" t="s">
        <v>682</v>
      </c>
      <c r="E224" t="s">
        <v>73</v>
      </c>
    </row>
    <row r="225" spans="1:5" x14ac:dyDescent="0.35">
      <c r="A225" t="s">
        <v>139</v>
      </c>
      <c r="B225" t="s">
        <v>313</v>
      </c>
      <c r="C225" t="s">
        <v>374</v>
      </c>
      <c r="D225" t="s">
        <v>339</v>
      </c>
      <c r="E225" t="s">
        <v>656</v>
      </c>
    </row>
    <row r="226" spans="1:5" x14ac:dyDescent="0.35">
      <c r="A226" t="s">
        <v>418</v>
      </c>
      <c r="B226" t="s">
        <v>605</v>
      </c>
      <c r="C226" t="s">
        <v>353</v>
      </c>
      <c r="E226" t="s">
        <v>368</v>
      </c>
    </row>
    <row r="227" spans="1:5" x14ac:dyDescent="0.35">
      <c r="A227" t="s">
        <v>155</v>
      </c>
      <c r="B227" t="s">
        <v>313</v>
      </c>
      <c r="C227" t="s">
        <v>353</v>
      </c>
      <c r="E227" t="s">
        <v>504</v>
      </c>
    </row>
    <row r="228" spans="1:5" x14ac:dyDescent="0.35">
      <c r="A228" t="s">
        <v>224</v>
      </c>
      <c r="B228" t="s">
        <v>134</v>
      </c>
      <c r="C228" t="s">
        <v>649</v>
      </c>
      <c r="D228" t="s">
        <v>212</v>
      </c>
      <c r="E228" t="s">
        <v>179</v>
      </c>
    </row>
    <row r="229" spans="1:5" x14ac:dyDescent="0.35">
      <c r="A229" t="s">
        <v>233</v>
      </c>
      <c r="B229" t="s">
        <v>605</v>
      </c>
      <c r="C229" t="s">
        <v>353</v>
      </c>
      <c r="E229" t="s">
        <v>124</v>
      </c>
    </row>
    <row r="230" spans="1:5" x14ac:dyDescent="0.35">
      <c r="A230" t="s">
        <v>582</v>
      </c>
      <c r="B230" t="s">
        <v>313</v>
      </c>
      <c r="C230" t="s">
        <v>649</v>
      </c>
      <c r="E230" t="s">
        <v>609</v>
      </c>
    </row>
    <row r="231" spans="1:5" x14ac:dyDescent="0.35">
      <c r="A231" t="s">
        <v>379</v>
      </c>
      <c r="D231" t="s">
        <v>317</v>
      </c>
      <c r="E231" t="s">
        <v>10</v>
      </c>
    </row>
    <row r="232" spans="1:5" x14ac:dyDescent="0.35">
      <c r="A232" t="s">
        <v>513</v>
      </c>
      <c r="D232" t="s">
        <v>190</v>
      </c>
      <c r="E232" t="s">
        <v>219</v>
      </c>
    </row>
    <row r="233" spans="1:5" x14ac:dyDescent="0.35">
      <c r="A233" t="s">
        <v>388</v>
      </c>
      <c r="B233" t="s">
        <v>313</v>
      </c>
      <c r="C233" t="s">
        <v>649</v>
      </c>
      <c r="E233" t="s">
        <v>260</v>
      </c>
    </row>
    <row r="234" spans="1:5" x14ac:dyDescent="0.35">
      <c r="A234" t="s">
        <v>450</v>
      </c>
      <c r="B234" t="s">
        <v>490</v>
      </c>
      <c r="C234" t="s">
        <v>166</v>
      </c>
      <c r="D234" t="s">
        <v>327</v>
      </c>
      <c r="E234" t="s">
        <v>557</v>
      </c>
    </row>
    <row r="235" spans="1:5" x14ac:dyDescent="0.35">
      <c r="A235" t="s">
        <v>49</v>
      </c>
      <c r="B235" t="s">
        <v>400</v>
      </c>
      <c r="C235" t="s">
        <v>374</v>
      </c>
      <c r="E235" t="s">
        <v>47</v>
      </c>
    </row>
    <row r="236" spans="1:5" x14ac:dyDescent="0.35">
      <c r="A236" t="s">
        <v>267</v>
      </c>
      <c r="B236" t="s">
        <v>400</v>
      </c>
      <c r="C236" t="s">
        <v>166</v>
      </c>
      <c r="D236" t="s">
        <v>634</v>
      </c>
      <c r="E236" t="s">
        <v>524</v>
      </c>
    </row>
    <row r="237" spans="1:5" x14ac:dyDescent="0.35">
      <c r="A237" t="s">
        <v>611</v>
      </c>
      <c r="D237" t="s">
        <v>461</v>
      </c>
      <c r="E237" t="s">
        <v>314</v>
      </c>
    </row>
    <row r="238" spans="1:5" x14ac:dyDescent="0.35">
      <c r="A238" t="s">
        <v>289</v>
      </c>
      <c r="B238" t="s">
        <v>490</v>
      </c>
      <c r="C238" t="s">
        <v>374</v>
      </c>
      <c r="E238" t="s">
        <v>673</v>
      </c>
    </row>
    <row r="239" spans="1:5" x14ac:dyDescent="0.35">
      <c r="A239" t="s">
        <v>469</v>
      </c>
      <c r="D239" t="s">
        <v>128</v>
      </c>
      <c r="E239" t="s">
        <v>718</v>
      </c>
    </row>
    <row r="240" spans="1:5" x14ac:dyDescent="0.35">
      <c r="A240" t="s">
        <v>624</v>
      </c>
      <c r="B240" t="s">
        <v>490</v>
      </c>
      <c r="C240" t="s">
        <v>166</v>
      </c>
      <c r="D240" t="s">
        <v>276</v>
      </c>
      <c r="E240" t="s">
        <v>646</v>
      </c>
    </row>
    <row r="241" spans="1:5" x14ac:dyDescent="0.35">
      <c r="A241" t="s">
        <v>91</v>
      </c>
      <c r="D241" t="s">
        <v>603</v>
      </c>
      <c r="E241" t="s">
        <v>8</v>
      </c>
    </row>
    <row r="242" spans="1:5" x14ac:dyDescent="0.35">
      <c r="A242" t="s">
        <v>505</v>
      </c>
      <c r="D242" t="s">
        <v>415</v>
      </c>
      <c r="E242" t="s">
        <v>20</v>
      </c>
    </row>
    <row r="243" spans="1:5" x14ac:dyDescent="0.35">
      <c r="A243" t="s">
        <v>176</v>
      </c>
      <c r="B243" t="s">
        <v>605</v>
      </c>
      <c r="C243" t="s">
        <v>353</v>
      </c>
      <c r="E243" t="s">
        <v>665</v>
      </c>
    </row>
    <row r="244" spans="1:5" x14ac:dyDescent="0.35">
      <c r="A244" t="s">
        <v>21</v>
      </c>
      <c r="B244" t="s">
        <v>134</v>
      </c>
      <c r="C244" t="s">
        <v>374</v>
      </c>
      <c r="E244" t="s">
        <v>214</v>
      </c>
    </row>
    <row r="245" spans="1:5" x14ac:dyDescent="0.35">
      <c r="A245" t="s">
        <v>432</v>
      </c>
      <c r="B245" t="s">
        <v>400</v>
      </c>
      <c r="C245" t="s">
        <v>166</v>
      </c>
      <c r="E245" t="s">
        <v>630</v>
      </c>
    </row>
    <row r="246" spans="1:5" x14ac:dyDescent="0.35">
      <c r="A246" t="s">
        <v>98</v>
      </c>
      <c r="B246" t="s">
        <v>490</v>
      </c>
      <c r="C246" t="s">
        <v>166</v>
      </c>
      <c r="E246" t="s">
        <v>443</v>
      </c>
    </row>
    <row r="247" spans="1:5" x14ac:dyDescent="0.35">
      <c r="A247" t="s">
        <v>467</v>
      </c>
      <c r="B247" t="s">
        <v>313</v>
      </c>
      <c r="C247" t="s">
        <v>374</v>
      </c>
      <c r="E247" t="s">
        <v>569</v>
      </c>
    </row>
    <row r="248" spans="1:5" x14ac:dyDescent="0.35">
      <c r="A248" t="s">
        <v>161</v>
      </c>
      <c r="B248" t="s">
        <v>313</v>
      </c>
      <c r="C248" t="s">
        <v>649</v>
      </c>
      <c r="D248" t="s">
        <v>699</v>
      </c>
      <c r="E248" t="s">
        <v>694</v>
      </c>
    </row>
    <row r="249" spans="1:5" x14ac:dyDescent="0.35">
      <c r="A249" t="s">
        <v>510</v>
      </c>
      <c r="B249" t="s">
        <v>400</v>
      </c>
      <c r="C249" t="s">
        <v>166</v>
      </c>
      <c r="E249" t="s">
        <v>441</v>
      </c>
    </row>
    <row r="250" spans="1:5" x14ac:dyDescent="0.35">
      <c r="A250" t="s">
        <v>594</v>
      </c>
      <c r="D250" t="s">
        <v>162</v>
      </c>
      <c r="E250" t="s">
        <v>166</v>
      </c>
    </row>
    <row r="251" spans="1:5" x14ac:dyDescent="0.35">
      <c r="A251" t="s">
        <v>730</v>
      </c>
      <c r="B251" t="s">
        <v>605</v>
      </c>
      <c r="C251" t="s">
        <v>353</v>
      </c>
      <c r="D251" t="s">
        <v>640</v>
      </c>
      <c r="E251" t="s">
        <v>532</v>
      </c>
    </row>
    <row r="252" spans="1:5" x14ac:dyDescent="0.35">
      <c r="A252" t="s">
        <v>617</v>
      </c>
      <c r="B252" t="s">
        <v>227</v>
      </c>
      <c r="C252" t="s">
        <v>353</v>
      </c>
      <c r="E252" t="s">
        <v>408</v>
      </c>
    </row>
    <row r="253" spans="1:5" x14ac:dyDescent="0.35">
      <c r="A253" t="s">
        <v>158</v>
      </c>
      <c r="B253" t="s">
        <v>400</v>
      </c>
      <c r="C253" t="s">
        <v>374</v>
      </c>
      <c r="E253" t="s">
        <v>315</v>
      </c>
    </row>
    <row r="254" spans="1:5" x14ac:dyDescent="0.35">
      <c r="A254" t="s">
        <v>104</v>
      </c>
      <c r="B254" t="s">
        <v>605</v>
      </c>
      <c r="C254" t="s">
        <v>166</v>
      </c>
      <c r="E254" t="s">
        <v>55</v>
      </c>
    </row>
    <row r="255" spans="1:5" x14ac:dyDescent="0.35">
      <c r="A255" t="s">
        <v>324</v>
      </c>
      <c r="B255" t="s">
        <v>605</v>
      </c>
      <c r="E255" t="s">
        <v>81</v>
      </c>
    </row>
    <row r="256" spans="1:5" x14ac:dyDescent="0.35">
      <c r="A256" t="s">
        <v>595</v>
      </c>
      <c r="B256" t="s">
        <v>605</v>
      </c>
      <c r="C256" t="s">
        <v>353</v>
      </c>
      <c r="E256" t="s">
        <v>332</v>
      </c>
    </row>
    <row r="257" spans="1:5" x14ac:dyDescent="0.35">
      <c r="A257" t="s">
        <v>138</v>
      </c>
      <c r="B257" t="s">
        <v>605</v>
      </c>
      <c r="C257" t="s">
        <v>353</v>
      </c>
      <c r="E257" t="s">
        <v>530</v>
      </c>
    </row>
    <row r="258" spans="1:5" x14ac:dyDescent="0.35">
      <c r="A258" t="s">
        <v>636</v>
      </c>
      <c r="B258" t="s">
        <v>490</v>
      </c>
      <c r="C258" t="s">
        <v>374</v>
      </c>
      <c r="E258" t="s">
        <v>399</v>
      </c>
    </row>
    <row r="259" spans="1:5" x14ac:dyDescent="0.35">
      <c r="A259" t="s">
        <v>125</v>
      </c>
      <c r="B259" t="s">
        <v>490</v>
      </c>
      <c r="C259" t="s">
        <v>374</v>
      </c>
      <c r="E259" t="s">
        <v>633</v>
      </c>
    </row>
    <row r="260" spans="1:5" x14ac:dyDescent="0.35">
      <c r="A260" t="s">
        <v>717</v>
      </c>
      <c r="E260" t="s">
        <v>591</v>
      </c>
    </row>
    <row r="261" spans="1:5" x14ac:dyDescent="0.35">
      <c r="A261" t="s">
        <v>491</v>
      </c>
      <c r="B261" t="s">
        <v>490</v>
      </c>
      <c r="C261" t="s">
        <v>166</v>
      </c>
      <c r="D261" t="s">
        <v>276</v>
      </c>
      <c r="E261" t="s">
        <v>185</v>
      </c>
    </row>
    <row r="262" spans="1:5" x14ac:dyDescent="0.35">
      <c r="A262" t="s">
        <v>218</v>
      </c>
      <c r="B262" t="s">
        <v>400</v>
      </c>
      <c r="C262" t="s">
        <v>166</v>
      </c>
      <c r="E262" t="s">
        <v>442</v>
      </c>
    </row>
    <row r="263" spans="1:5" x14ac:dyDescent="0.35">
      <c r="A263" t="s">
        <v>16</v>
      </c>
      <c r="B263" t="s">
        <v>134</v>
      </c>
      <c r="C263" t="s">
        <v>649</v>
      </c>
      <c r="D263" t="s">
        <v>714</v>
      </c>
      <c r="E263" t="s">
        <v>700</v>
      </c>
    </row>
    <row r="264" spans="1:5" x14ac:dyDescent="0.35">
      <c r="A264" t="s">
        <v>397</v>
      </c>
      <c r="B264" t="s">
        <v>313</v>
      </c>
      <c r="C264" t="s">
        <v>166</v>
      </c>
      <c r="D264" t="s">
        <v>425</v>
      </c>
      <c r="E264" t="s">
        <v>493</v>
      </c>
    </row>
    <row r="265" spans="1:5" x14ac:dyDescent="0.35">
      <c r="A265" t="s">
        <v>437</v>
      </c>
      <c r="B265" t="s">
        <v>313</v>
      </c>
      <c r="C265" t="s">
        <v>374</v>
      </c>
      <c r="D265" t="s">
        <v>497</v>
      </c>
      <c r="E265" t="s">
        <v>9</v>
      </c>
    </row>
    <row r="266" spans="1:5" ht="409.5" x14ac:dyDescent="0.35">
      <c r="A266" t="s">
        <v>350</v>
      </c>
      <c r="B266" t="s">
        <v>313</v>
      </c>
      <c r="C266" t="s">
        <v>374</v>
      </c>
      <c r="D266" s="1" t="s">
        <v>28</v>
      </c>
      <c r="E266" t="s">
        <v>741</v>
      </c>
    </row>
  </sheetData>
  <pageMargins left="0.7" right="0.7" top="0.75" bottom="0.75" header="0.3" footer="0.3"/>
  <headerFooter alignWithMargins="0">
    <oddFooter>&amp;L_x000D_&amp;1#&amp;"Aptos"&amp;10&amp;K000000 LUT Group Confidential - Other information (3Y)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DE27B-1762-40B7-B315-3C0B0B8947DC}">
  <dimension ref="A1:D8"/>
  <sheetViews>
    <sheetView workbookViewId="0">
      <selection activeCell="B1" sqref="B1"/>
    </sheetView>
  </sheetViews>
  <sheetFormatPr defaultRowHeight="14.5" x14ac:dyDescent="0.35"/>
  <cols>
    <col min="1" max="1" width="15.54296875" bestFit="1" customWidth="1"/>
    <col min="2" max="2" width="27.7265625" bestFit="1" customWidth="1"/>
    <col min="3" max="3" width="104.90625" bestFit="1" customWidth="1"/>
    <col min="4" max="4" width="255" bestFit="1" customWidth="1"/>
  </cols>
  <sheetData>
    <row r="1" spans="1:4" x14ac:dyDescent="0.35">
      <c r="A1" t="s">
        <v>229</v>
      </c>
      <c r="B1" t="s">
        <v>622</v>
      </c>
      <c r="C1" t="s">
        <v>404</v>
      </c>
      <c r="D1" t="s">
        <v>238</v>
      </c>
    </row>
    <row r="2" spans="1:4" x14ac:dyDescent="0.35">
      <c r="A2" t="s">
        <v>221</v>
      </c>
      <c r="B2" t="s">
        <v>200</v>
      </c>
      <c r="C2" t="s">
        <v>15</v>
      </c>
      <c r="D2" t="s">
        <v>271</v>
      </c>
    </row>
    <row r="3" spans="1:4" x14ac:dyDescent="0.35">
      <c r="A3" t="s">
        <v>744</v>
      </c>
      <c r="B3" t="s">
        <v>743</v>
      </c>
      <c r="C3" t="s">
        <v>769</v>
      </c>
      <c r="D3" t="s">
        <v>271</v>
      </c>
    </row>
    <row r="4" spans="1:4" x14ac:dyDescent="0.35">
      <c r="A4" t="s">
        <v>746</v>
      </c>
      <c r="B4" t="s">
        <v>745</v>
      </c>
      <c r="C4" t="s">
        <v>769</v>
      </c>
      <c r="D4" t="s">
        <v>271</v>
      </c>
    </row>
    <row r="5" spans="1:4" x14ac:dyDescent="0.35">
      <c r="A5" t="s">
        <v>748</v>
      </c>
      <c r="B5" t="s">
        <v>747</v>
      </c>
      <c r="C5" t="s">
        <v>769</v>
      </c>
      <c r="D5" t="s">
        <v>271</v>
      </c>
    </row>
    <row r="6" spans="1:4" x14ac:dyDescent="0.35">
      <c r="A6" t="s">
        <v>750</v>
      </c>
      <c r="B6" t="s">
        <v>749</v>
      </c>
      <c r="C6" t="s">
        <v>769</v>
      </c>
      <c r="D6" t="s">
        <v>271</v>
      </c>
    </row>
    <row r="7" spans="1:4" x14ac:dyDescent="0.35">
      <c r="A7" t="s">
        <v>752</v>
      </c>
      <c r="B7" t="s">
        <v>751</v>
      </c>
      <c r="C7" t="s">
        <v>769</v>
      </c>
      <c r="D7" t="s">
        <v>271</v>
      </c>
    </row>
    <row r="8" spans="1:4" x14ac:dyDescent="0.35">
      <c r="A8" t="s">
        <v>754</v>
      </c>
      <c r="B8" t="s">
        <v>753</v>
      </c>
      <c r="C8" t="s">
        <v>15</v>
      </c>
      <c r="D8" t="s">
        <v>271</v>
      </c>
    </row>
  </sheetData>
  <pageMargins left="0.7" right="0.7" top="0.75" bottom="0.75" header="0.3" footer="0.3"/>
  <headerFooter alignWithMargins="0">
    <oddFooter>&amp;L_x000D_&amp;1#&amp;"Aptos"&amp;10&amp;K000000 LUT Group Confidential - Other information (3Y)</oddFooter>
  </headerFooter>
</worksheet>
</file>

<file path=docMetadata/LabelInfo.xml><?xml version="1.0" encoding="utf-8"?>
<clbl:labelList xmlns:clbl="http://schemas.microsoft.com/office/2020/mipLabelMetadata">
  <clbl:label id="{4306014c-c088-4a50-b503-4830bda7971c}" enabled="1" method="Standard" siteId="{9d97530e-8f27-4137-a2a9-5cb4dcf26f2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lowest_10</vt:lpstr>
      <vt:lpstr>lowest_20</vt:lpstr>
      <vt:lpstr>second_20</vt:lpstr>
      <vt:lpstr>third_20</vt:lpstr>
      <vt:lpstr>fourth_20</vt:lpstr>
      <vt:lpstr>highest_20</vt:lpstr>
      <vt:lpstr>highest_10</vt:lpstr>
      <vt:lpstr>INC_DIST_2015</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 ElSayed (LUT)</cp:lastModifiedBy>
  <dcterms:created xsi:type="dcterms:W3CDTF">2025-12-17T11:18:19Z</dcterms:created>
  <dcterms:modified xsi:type="dcterms:W3CDTF">2025-12-23T13:14:44Z</dcterms:modified>
</cp:coreProperties>
</file>